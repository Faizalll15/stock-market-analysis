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AIZAL\Downloads\Market Analisis\stock-portfolio\excel\"/>
    </mc:Choice>
  </mc:AlternateContent>
  <xr:revisionPtr revIDLastSave="0" documentId="13_ncr:1_{7C2B6FA3-1A22-4A77-BD36-5A69EBD7641B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README" sheetId="1" r:id="rId1"/>
    <sheet name="Dashboard" sheetId="2" r:id="rId2"/>
    <sheet name="Raw_Data" sheetId="3" r:id="rId3"/>
    <sheet name="Ticker_Summary" sheetId="4" r:id="rId4"/>
    <sheet name="Quarterly_Return" sheetId="5" r:id="rId5"/>
    <sheet name="Sector_Trend" sheetId="6" r:id="rId6"/>
    <sheet name="Volume_Spike" sheetId="7" r:id="rId7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3" i="5" l="1"/>
  <c r="D33" i="5"/>
  <c r="F33" i="5" s="1"/>
  <c r="E32" i="5"/>
  <c r="D32" i="5"/>
  <c r="F32" i="5" s="1"/>
  <c r="F31" i="5"/>
  <c r="E31" i="5"/>
  <c r="D31" i="5"/>
  <c r="F30" i="5"/>
  <c r="E30" i="5"/>
  <c r="D30" i="5"/>
  <c r="E29" i="5"/>
  <c r="D29" i="5"/>
  <c r="F29" i="5" s="1"/>
  <c r="E28" i="5"/>
  <c r="D28" i="5"/>
  <c r="F28" i="5" s="1"/>
  <c r="F27" i="5"/>
  <c r="E27" i="5"/>
  <c r="D27" i="5"/>
  <c r="F26" i="5"/>
  <c r="E26" i="5"/>
  <c r="D26" i="5"/>
  <c r="E25" i="5"/>
  <c r="D25" i="5"/>
  <c r="F25" i="5" s="1"/>
  <c r="E24" i="5"/>
  <c r="D24" i="5"/>
  <c r="F24" i="5" s="1"/>
  <c r="F23" i="5"/>
  <c r="E23" i="5"/>
  <c r="D23" i="5"/>
  <c r="F22" i="5"/>
  <c r="E22" i="5"/>
  <c r="D22" i="5"/>
  <c r="E21" i="5"/>
  <c r="D21" i="5"/>
  <c r="F21" i="5" s="1"/>
  <c r="E20" i="5"/>
  <c r="D20" i="5"/>
  <c r="F20" i="5" s="1"/>
  <c r="F19" i="5"/>
  <c r="E19" i="5"/>
  <c r="D19" i="5"/>
  <c r="F18" i="5"/>
  <c r="E18" i="5"/>
  <c r="D18" i="5"/>
  <c r="E17" i="5"/>
  <c r="D17" i="5"/>
  <c r="F17" i="5" s="1"/>
  <c r="E16" i="5"/>
  <c r="D16" i="5"/>
  <c r="F16" i="5" s="1"/>
  <c r="F15" i="5"/>
  <c r="E15" i="5"/>
  <c r="D15" i="5"/>
  <c r="F14" i="5"/>
  <c r="E14" i="5"/>
  <c r="D14" i="5"/>
  <c r="E13" i="5"/>
  <c r="D13" i="5"/>
  <c r="F13" i="5" s="1"/>
  <c r="E12" i="5"/>
  <c r="D12" i="5"/>
  <c r="F12" i="5" s="1"/>
  <c r="F11" i="5"/>
  <c r="E11" i="5"/>
  <c r="D11" i="5"/>
  <c r="F10" i="5"/>
  <c r="E10" i="5"/>
  <c r="D10" i="5"/>
  <c r="E9" i="5"/>
  <c r="D9" i="5"/>
  <c r="F9" i="5" s="1"/>
  <c r="E8" i="5"/>
  <c r="D8" i="5"/>
  <c r="F8" i="5" s="1"/>
  <c r="F7" i="5"/>
  <c r="E7" i="5"/>
  <c r="D7" i="5"/>
  <c r="F6" i="5"/>
  <c r="E6" i="5"/>
  <c r="D6" i="5"/>
  <c r="E5" i="5"/>
  <c r="D5" i="5"/>
  <c r="F5" i="5" s="1"/>
  <c r="E4" i="5"/>
  <c r="D4" i="5"/>
  <c r="F4" i="5" s="1"/>
  <c r="F3" i="5"/>
  <c r="E3" i="5"/>
  <c r="D3" i="5"/>
  <c r="F2" i="5"/>
  <c r="E2" i="5"/>
  <c r="D2" i="5"/>
  <c r="H9" i="4"/>
  <c r="H8" i="4"/>
  <c r="H7" i="4"/>
  <c r="H6" i="4"/>
  <c r="H5" i="4"/>
  <c r="H4" i="4"/>
  <c r="H3" i="4"/>
  <c r="H2" i="4"/>
  <c r="O2097" i="3"/>
  <c r="N2097" i="3"/>
  <c r="M2097" i="3"/>
  <c r="L2097" i="3"/>
  <c r="K2097" i="3"/>
  <c r="J2097" i="3"/>
  <c r="O2096" i="3"/>
  <c r="N2096" i="3"/>
  <c r="M2096" i="3"/>
  <c r="L2096" i="3"/>
  <c r="K2096" i="3"/>
  <c r="J2096" i="3"/>
  <c r="O2095" i="3"/>
  <c r="N2095" i="3"/>
  <c r="M2095" i="3"/>
  <c r="L2095" i="3"/>
  <c r="K2095" i="3"/>
  <c r="J2095" i="3"/>
  <c r="O2094" i="3"/>
  <c r="N2094" i="3"/>
  <c r="M2094" i="3"/>
  <c r="L2094" i="3"/>
  <c r="K2094" i="3"/>
  <c r="J2094" i="3"/>
  <c r="O2093" i="3"/>
  <c r="N2093" i="3"/>
  <c r="M2093" i="3"/>
  <c r="L2093" i="3"/>
  <c r="K2093" i="3"/>
  <c r="J2093" i="3"/>
  <c r="O2092" i="3"/>
  <c r="N2092" i="3"/>
  <c r="M2092" i="3"/>
  <c r="L2092" i="3"/>
  <c r="K2092" i="3"/>
  <c r="J2092" i="3"/>
  <c r="O2091" i="3"/>
  <c r="N2091" i="3"/>
  <c r="M2091" i="3"/>
  <c r="L2091" i="3"/>
  <c r="K2091" i="3"/>
  <c r="J2091" i="3"/>
  <c r="O2090" i="3"/>
  <c r="N2090" i="3"/>
  <c r="M2090" i="3"/>
  <c r="L2090" i="3"/>
  <c r="K2090" i="3"/>
  <c r="J2090" i="3"/>
  <c r="O2089" i="3"/>
  <c r="N2089" i="3"/>
  <c r="M2089" i="3"/>
  <c r="L2089" i="3"/>
  <c r="K2089" i="3"/>
  <c r="J2089" i="3"/>
  <c r="O2088" i="3"/>
  <c r="N2088" i="3"/>
  <c r="M2088" i="3"/>
  <c r="L2088" i="3"/>
  <c r="K2088" i="3"/>
  <c r="J2088" i="3"/>
  <c r="O2087" i="3"/>
  <c r="N2087" i="3"/>
  <c r="M2087" i="3"/>
  <c r="L2087" i="3"/>
  <c r="K2087" i="3"/>
  <c r="J2087" i="3"/>
  <c r="O2086" i="3"/>
  <c r="N2086" i="3"/>
  <c r="M2086" i="3"/>
  <c r="L2086" i="3"/>
  <c r="K2086" i="3"/>
  <c r="J2086" i="3"/>
  <c r="O2085" i="3"/>
  <c r="N2085" i="3"/>
  <c r="M2085" i="3"/>
  <c r="L2085" i="3"/>
  <c r="K2085" i="3"/>
  <c r="J2085" i="3"/>
  <c r="O2084" i="3"/>
  <c r="N2084" i="3"/>
  <c r="M2084" i="3"/>
  <c r="L2084" i="3"/>
  <c r="K2084" i="3"/>
  <c r="J2084" i="3"/>
  <c r="O2083" i="3"/>
  <c r="N2083" i="3"/>
  <c r="M2083" i="3"/>
  <c r="L2083" i="3"/>
  <c r="K2083" i="3"/>
  <c r="J2083" i="3"/>
  <c r="O2082" i="3"/>
  <c r="N2082" i="3"/>
  <c r="M2082" i="3"/>
  <c r="L2082" i="3"/>
  <c r="K2082" i="3"/>
  <c r="J2082" i="3"/>
  <c r="O2081" i="3"/>
  <c r="N2081" i="3"/>
  <c r="M2081" i="3"/>
  <c r="L2081" i="3"/>
  <c r="K2081" i="3"/>
  <c r="J2081" i="3"/>
  <c r="O2080" i="3"/>
  <c r="N2080" i="3"/>
  <c r="M2080" i="3"/>
  <c r="L2080" i="3"/>
  <c r="K2080" i="3"/>
  <c r="J2080" i="3"/>
  <c r="O2079" i="3"/>
  <c r="N2079" i="3"/>
  <c r="M2079" i="3"/>
  <c r="L2079" i="3"/>
  <c r="K2079" i="3"/>
  <c r="J2079" i="3"/>
  <c r="O2078" i="3"/>
  <c r="N2078" i="3"/>
  <c r="M2078" i="3"/>
  <c r="L2078" i="3"/>
  <c r="K2078" i="3"/>
  <c r="J2078" i="3"/>
  <c r="O2077" i="3"/>
  <c r="N2077" i="3"/>
  <c r="M2077" i="3"/>
  <c r="L2077" i="3"/>
  <c r="K2077" i="3"/>
  <c r="J2077" i="3"/>
  <c r="O2076" i="3"/>
  <c r="N2076" i="3"/>
  <c r="M2076" i="3"/>
  <c r="L2076" i="3"/>
  <c r="K2076" i="3"/>
  <c r="J2076" i="3"/>
  <c r="O2075" i="3"/>
  <c r="N2075" i="3"/>
  <c r="M2075" i="3"/>
  <c r="L2075" i="3"/>
  <c r="K2075" i="3"/>
  <c r="J2075" i="3"/>
  <c r="O2074" i="3"/>
  <c r="N2074" i="3"/>
  <c r="M2074" i="3"/>
  <c r="L2074" i="3"/>
  <c r="K2074" i="3"/>
  <c r="J2074" i="3"/>
  <c r="O2073" i="3"/>
  <c r="N2073" i="3"/>
  <c r="M2073" i="3"/>
  <c r="L2073" i="3"/>
  <c r="K2073" i="3"/>
  <c r="J2073" i="3"/>
  <c r="O2072" i="3"/>
  <c r="N2072" i="3"/>
  <c r="M2072" i="3"/>
  <c r="L2072" i="3"/>
  <c r="K2072" i="3"/>
  <c r="J2072" i="3"/>
  <c r="O2071" i="3"/>
  <c r="N2071" i="3"/>
  <c r="M2071" i="3"/>
  <c r="L2071" i="3"/>
  <c r="K2071" i="3"/>
  <c r="J2071" i="3"/>
  <c r="O2070" i="3"/>
  <c r="N2070" i="3"/>
  <c r="M2070" i="3"/>
  <c r="L2070" i="3"/>
  <c r="K2070" i="3"/>
  <c r="J2070" i="3"/>
  <c r="O2069" i="3"/>
  <c r="N2069" i="3"/>
  <c r="M2069" i="3"/>
  <c r="L2069" i="3"/>
  <c r="K2069" i="3"/>
  <c r="J2069" i="3"/>
  <c r="O2068" i="3"/>
  <c r="N2068" i="3"/>
  <c r="M2068" i="3"/>
  <c r="L2068" i="3"/>
  <c r="K2068" i="3"/>
  <c r="J2068" i="3"/>
  <c r="O2067" i="3"/>
  <c r="N2067" i="3"/>
  <c r="M2067" i="3"/>
  <c r="L2067" i="3"/>
  <c r="K2067" i="3"/>
  <c r="J2067" i="3"/>
  <c r="O2066" i="3"/>
  <c r="N2066" i="3"/>
  <c r="M2066" i="3"/>
  <c r="L2066" i="3"/>
  <c r="K2066" i="3"/>
  <c r="J2066" i="3"/>
  <c r="O2065" i="3"/>
  <c r="N2065" i="3"/>
  <c r="M2065" i="3"/>
  <c r="L2065" i="3"/>
  <c r="K2065" i="3"/>
  <c r="J2065" i="3"/>
  <c r="O2064" i="3"/>
  <c r="N2064" i="3"/>
  <c r="M2064" i="3"/>
  <c r="L2064" i="3"/>
  <c r="K2064" i="3"/>
  <c r="J2064" i="3"/>
  <c r="O2063" i="3"/>
  <c r="N2063" i="3"/>
  <c r="M2063" i="3"/>
  <c r="L2063" i="3"/>
  <c r="K2063" i="3"/>
  <c r="J2063" i="3"/>
  <c r="O2062" i="3"/>
  <c r="N2062" i="3"/>
  <c r="M2062" i="3"/>
  <c r="L2062" i="3"/>
  <c r="K2062" i="3"/>
  <c r="J2062" i="3"/>
  <c r="O2061" i="3"/>
  <c r="N2061" i="3"/>
  <c r="M2061" i="3"/>
  <c r="L2061" i="3"/>
  <c r="K2061" i="3"/>
  <c r="J2061" i="3"/>
  <c r="O2060" i="3"/>
  <c r="N2060" i="3"/>
  <c r="M2060" i="3"/>
  <c r="L2060" i="3"/>
  <c r="K2060" i="3"/>
  <c r="J2060" i="3"/>
  <c r="O2059" i="3"/>
  <c r="N2059" i="3"/>
  <c r="M2059" i="3"/>
  <c r="L2059" i="3"/>
  <c r="K2059" i="3"/>
  <c r="J2059" i="3"/>
  <c r="O2058" i="3"/>
  <c r="N2058" i="3"/>
  <c r="M2058" i="3"/>
  <c r="L2058" i="3"/>
  <c r="K2058" i="3"/>
  <c r="J2058" i="3"/>
  <c r="O2057" i="3"/>
  <c r="N2057" i="3"/>
  <c r="M2057" i="3"/>
  <c r="L2057" i="3"/>
  <c r="K2057" i="3"/>
  <c r="J2057" i="3"/>
  <c r="O2056" i="3"/>
  <c r="N2056" i="3"/>
  <c r="M2056" i="3"/>
  <c r="L2056" i="3"/>
  <c r="K2056" i="3"/>
  <c r="J2056" i="3"/>
  <c r="O2055" i="3"/>
  <c r="N2055" i="3"/>
  <c r="M2055" i="3"/>
  <c r="L2055" i="3"/>
  <c r="K2055" i="3"/>
  <c r="J2055" i="3"/>
  <c r="O2054" i="3"/>
  <c r="N2054" i="3"/>
  <c r="M2054" i="3"/>
  <c r="L2054" i="3"/>
  <c r="K2054" i="3"/>
  <c r="J2054" i="3"/>
  <c r="O2053" i="3"/>
  <c r="N2053" i="3"/>
  <c r="M2053" i="3"/>
  <c r="L2053" i="3"/>
  <c r="K2053" i="3"/>
  <c r="J2053" i="3"/>
  <c r="O2052" i="3"/>
  <c r="N2052" i="3"/>
  <c r="M2052" i="3"/>
  <c r="L2052" i="3"/>
  <c r="K2052" i="3"/>
  <c r="J2052" i="3"/>
  <c r="O2051" i="3"/>
  <c r="N2051" i="3"/>
  <c r="M2051" i="3"/>
  <c r="L2051" i="3"/>
  <c r="K2051" i="3"/>
  <c r="J2051" i="3"/>
  <c r="O2050" i="3"/>
  <c r="N2050" i="3"/>
  <c r="M2050" i="3"/>
  <c r="L2050" i="3"/>
  <c r="K2050" i="3"/>
  <c r="J2050" i="3"/>
  <c r="O2049" i="3"/>
  <c r="N2049" i="3"/>
  <c r="M2049" i="3"/>
  <c r="L2049" i="3"/>
  <c r="K2049" i="3"/>
  <c r="J2049" i="3"/>
  <c r="O2048" i="3"/>
  <c r="N2048" i="3"/>
  <c r="M2048" i="3"/>
  <c r="L2048" i="3"/>
  <c r="K2048" i="3"/>
  <c r="J2048" i="3"/>
  <c r="O2047" i="3"/>
  <c r="N2047" i="3"/>
  <c r="M2047" i="3"/>
  <c r="L2047" i="3"/>
  <c r="K2047" i="3"/>
  <c r="J2047" i="3"/>
  <c r="O2046" i="3"/>
  <c r="N2046" i="3"/>
  <c r="M2046" i="3"/>
  <c r="L2046" i="3"/>
  <c r="K2046" i="3"/>
  <c r="J2046" i="3"/>
  <c r="O2045" i="3"/>
  <c r="N2045" i="3"/>
  <c r="M2045" i="3"/>
  <c r="L2045" i="3"/>
  <c r="K2045" i="3"/>
  <c r="J2045" i="3"/>
  <c r="O2044" i="3"/>
  <c r="N2044" i="3"/>
  <c r="M2044" i="3"/>
  <c r="L2044" i="3"/>
  <c r="K2044" i="3"/>
  <c r="J2044" i="3"/>
  <c r="O2043" i="3"/>
  <c r="N2043" i="3"/>
  <c r="M2043" i="3"/>
  <c r="L2043" i="3"/>
  <c r="K2043" i="3"/>
  <c r="J2043" i="3"/>
  <c r="O2042" i="3"/>
  <c r="N2042" i="3"/>
  <c r="M2042" i="3"/>
  <c r="L2042" i="3"/>
  <c r="K2042" i="3"/>
  <c r="J2042" i="3"/>
  <c r="O2041" i="3"/>
  <c r="N2041" i="3"/>
  <c r="M2041" i="3"/>
  <c r="L2041" i="3"/>
  <c r="K2041" i="3"/>
  <c r="J2041" i="3"/>
  <c r="O2040" i="3"/>
  <c r="N2040" i="3"/>
  <c r="M2040" i="3"/>
  <c r="L2040" i="3"/>
  <c r="K2040" i="3"/>
  <c r="J2040" i="3"/>
  <c r="O2039" i="3"/>
  <c r="N2039" i="3"/>
  <c r="M2039" i="3"/>
  <c r="L2039" i="3"/>
  <c r="K2039" i="3"/>
  <c r="J2039" i="3"/>
  <c r="O2038" i="3"/>
  <c r="N2038" i="3"/>
  <c r="M2038" i="3"/>
  <c r="L2038" i="3"/>
  <c r="K2038" i="3"/>
  <c r="J2038" i="3"/>
  <c r="O2037" i="3"/>
  <c r="N2037" i="3"/>
  <c r="M2037" i="3"/>
  <c r="L2037" i="3"/>
  <c r="K2037" i="3"/>
  <c r="J2037" i="3"/>
  <c r="O2036" i="3"/>
  <c r="N2036" i="3"/>
  <c r="M2036" i="3"/>
  <c r="L2036" i="3"/>
  <c r="K2036" i="3"/>
  <c r="J2036" i="3"/>
  <c r="O2035" i="3"/>
  <c r="N2035" i="3"/>
  <c r="M2035" i="3"/>
  <c r="L2035" i="3"/>
  <c r="K2035" i="3"/>
  <c r="J2035" i="3"/>
  <c r="O2034" i="3"/>
  <c r="N2034" i="3"/>
  <c r="M2034" i="3"/>
  <c r="L2034" i="3"/>
  <c r="K2034" i="3"/>
  <c r="J2034" i="3"/>
  <c r="O2033" i="3"/>
  <c r="N2033" i="3"/>
  <c r="M2033" i="3"/>
  <c r="L2033" i="3"/>
  <c r="K2033" i="3"/>
  <c r="J2033" i="3"/>
  <c r="O2032" i="3"/>
  <c r="N2032" i="3"/>
  <c r="M2032" i="3"/>
  <c r="L2032" i="3"/>
  <c r="K2032" i="3"/>
  <c r="J2032" i="3"/>
  <c r="O2031" i="3"/>
  <c r="N2031" i="3"/>
  <c r="M2031" i="3"/>
  <c r="L2031" i="3"/>
  <c r="K2031" i="3"/>
  <c r="J2031" i="3"/>
  <c r="O2030" i="3"/>
  <c r="N2030" i="3"/>
  <c r="M2030" i="3"/>
  <c r="L2030" i="3"/>
  <c r="K2030" i="3"/>
  <c r="J2030" i="3"/>
  <c r="O2029" i="3"/>
  <c r="N2029" i="3"/>
  <c r="M2029" i="3"/>
  <c r="L2029" i="3"/>
  <c r="K2029" i="3"/>
  <c r="J2029" i="3"/>
  <c r="O2028" i="3"/>
  <c r="N2028" i="3"/>
  <c r="M2028" i="3"/>
  <c r="L2028" i="3"/>
  <c r="K2028" i="3"/>
  <c r="J2028" i="3"/>
  <c r="O2027" i="3"/>
  <c r="N2027" i="3"/>
  <c r="M2027" i="3"/>
  <c r="L2027" i="3"/>
  <c r="K2027" i="3"/>
  <c r="J2027" i="3"/>
  <c r="O2026" i="3"/>
  <c r="N2026" i="3"/>
  <c r="M2026" i="3"/>
  <c r="L2026" i="3"/>
  <c r="K2026" i="3"/>
  <c r="J2026" i="3"/>
  <c r="O2025" i="3"/>
  <c r="N2025" i="3"/>
  <c r="M2025" i="3"/>
  <c r="L2025" i="3"/>
  <c r="K2025" i="3"/>
  <c r="J2025" i="3"/>
  <c r="O2024" i="3"/>
  <c r="N2024" i="3"/>
  <c r="M2024" i="3"/>
  <c r="L2024" i="3"/>
  <c r="K2024" i="3"/>
  <c r="J2024" i="3"/>
  <c r="O2023" i="3"/>
  <c r="N2023" i="3"/>
  <c r="M2023" i="3"/>
  <c r="L2023" i="3"/>
  <c r="K2023" i="3"/>
  <c r="J2023" i="3"/>
  <c r="O2022" i="3"/>
  <c r="N2022" i="3"/>
  <c r="M2022" i="3"/>
  <c r="L2022" i="3"/>
  <c r="K2022" i="3"/>
  <c r="J2022" i="3"/>
  <c r="O2021" i="3"/>
  <c r="N2021" i="3"/>
  <c r="M2021" i="3"/>
  <c r="L2021" i="3"/>
  <c r="K2021" i="3"/>
  <c r="J2021" i="3"/>
  <c r="O2020" i="3"/>
  <c r="N2020" i="3"/>
  <c r="M2020" i="3"/>
  <c r="L2020" i="3"/>
  <c r="K2020" i="3"/>
  <c r="J2020" i="3"/>
  <c r="O2019" i="3"/>
  <c r="N2019" i="3"/>
  <c r="M2019" i="3"/>
  <c r="L2019" i="3"/>
  <c r="K2019" i="3"/>
  <c r="J2019" i="3"/>
  <c r="O2018" i="3"/>
  <c r="N2018" i="3"/>
  <c r="M2018" i="3"/>
  <c r="L2018" i="3"/>
  <c r="K2018" i="3"/>
  <c r="J2018" i="3"/>
  <c r="O2017" i="3"/>
  <c r="N2017" i="3"/>
  <c r="M2017" i="3"/>
  <c r="L2017" i="3"/>
  <c r="K2017" i="3"/>
  <c r="J2017" i="3"/>
  <c r="O2016" i="3"/>
  <c r="N2016" i="3"/>
  <c r="M2016" i="3"/>
  <c r="L2016" i="3"/>
  <c r="K2016" i="3"/>
  <c r="J2016" i="3"/>
  <c r="O2015" i="3"/>
  <c r="N2015" i="3"/>
  <c r="M2015" i="3"/>
  <c r="L2015" i="3"/>
  <c r="K2015" i="3"/>
  <c r="J2015" i="3"/>
  <c r="O2014" i="3"/>
  <c r="N2014" i="3"/>
  <c r="M2014" i="3"/>
  <c r="L2014" i="3"/>
  <c r="K2014" i="3"/>
  <c r="J2014" i="3"/>
  <c r="O2013" i="3"/>
  <c r="N2013" i="3"/>
  <c r="M2013" i="3"/>
  <c r="L2013" i="3"/>
  <c r="K2013" i="3"/>
  <c r="J2013" i="3"/>
  <c r="O2012" i="3"/>
  <c r="N2012" i="3"/>
  <c r="M2012" i="3"/>
  <c r="L2012" i="3"/>
  <c r="K2012" i="3"/>
  <c r="J2012" i="3"/>
  <c r="O2011" i="3"/>
  <c r="N2011" i="3"/>
  <c r="M2011" i="3"/>
  <c r="L2011" i="3"/>
  <c r="K2011" i="3"/>
  <c r="J2011" i="3"/>
  <c r="O2010" i="3"/>
  <c r="N2010" i="3"/>
  <c r="M2010" i="3"/>
  <c r="L2010" i="3"/>
  <c r="K2010" i="3"/>
  <c r="J2010" i="3"/>
  <c r="O2009" i="3"/>
  <c r="N2009" i="3"/>
  <c r="M2009" i="3"/>
  <c r="L2009" i="3"/>
  <c r="K2009" i="3"/>
  <c r="J2009" i="3"/>
  <c r="O2008" i="3"/>
  <c r="N2008" i="3"/>
  <c r="M2008" i="3"/>
  <c r="L2008" i="3"/>
  <c r="K2008" i="3"/>
  <c r="J2008" i="3"/>
  <c r="O2007" i="3"/>
  <c r="N2007" i="3"/>
  <c r="M2007" i="3"/>
  <c r="L2007" i="3"/>
  <c r="K2007" i="3"/>
  <c r="J2007" i="3"/>
  <c r="O2006" i="3"/>
  <c r="N2006" i="3"/>
  <c r="M2006" i="3"/>
  <c r="L2006" i="3"/>
  <c r="K2006" i="3"/>
  <c r="J2006" i="3"/>
  <c r="O2005" i="3"/>
  <c r="N2005" i="3"/>
  <c r="M2005" i="3"/>
  <c r="L2005" i="3"/>
  <c r="K2005" i="3"/>
  <c r="J2005" i="3"/>
  <c r="O2004" i="3"/>
  <c r="N2004" i="3"/>
  <c r="M2004" i="3"/>
  <c r="L2004" i="3"/>
  <c r="K2004" i="3"/>
  <c r="J2004" i="3"/>
  <c r="O2003" i="3"/>
  <c r="N2003" i="3"/>
  <c r="M2003" i="3"/>
  <c r="L2003" i="3"/>
  <c r="K2003" i="3"/>
  <c r="J2003" i="3"/>
  <c r="O2002" i="3"/>
  <c r="N2002" i="3"/>
  <c r="M2002" i="3"/>
  <c r="L2002" i="3"/>
  <c r="K2002" i="3"/>
  <c r="J2002" i="3"/>
  <c r="O2001" i="3"/>
  <c r="N2001" i="3"/>
  <c r="M2001" i="3"/>
  <c r="L2001" i="3"/>
  <c r="K2001" i="3"/>
  <c r="J2001" i="3"/>
  <c r="O2000" i="3"/>
  <c r="N2000" i="3"/>
  <c r="M2000" i="3"/>
  <c r="L2000" i="3"/>
  <c r="K2000" i="3"/>
  <c r="J2000" i="3"/>
  <c r="O1999" i="3"/>
  <c r="N1999" i="3"/>
  <c r="M1999" i="3"/>
  <c r="L1999" i="3"/>
  <c r="K1999" i="3"/>
  <c r="J1999" i="3"/>
  <c r="O1998" i="3"/>
  <c r="N1998" i="3"/>
  <c r="M1998" i="3"/>
  <c r="L1998" i="3"/>
  <c r="K1998" i="3"/>
  <c r="J1998" i="3"/>
  <c r="O1997" i="3"/>
  <c r="N1997" i="3"/>
  <c r="M1997" i="3"/>
  <c r="L1997" i="3"/>
  <c r="K1997" i="3"/>
  <c r="J1997" i="3"/>
  <c r="O1996" i="3"/>
  <c r="N1996" i="3"/>
  <c r="M1996" i="3"/>
  <c r="L1996" i="3"/>
  <c r="K1996" i="3"/>
  <c r="J1996" i="3"/>
  <c r="O1995" i="3"/>
  <c r="N1995" i="3"/>
  <c r="M1995" i="3"/>
  <c r="L1995" i="3"/>
  <c r="K1995" i="3"/>
  <c r="J1995" i="3"/>
  <c r="O1994" i="3"/>
  <c r="N1994" i="3"/>
  <c r="M1994" i="3"/>
  <c r="L1994" i="3"/>
  <c r="K1994" i="3"/>
  <c r="J1994" i="3"/>
  <c r="O1993" i="3"/>
  <c r="N1993" i="3"/>
  <c r="M1993" i="3"/>
  <c r="L1993" i="3"/>
  <c r="K1993" i="3"/>
  <c r="J1993" i="3"/>
  <c r="O1992" i="3"/>
  <c r="N1992" i="3"/>
  <c r="M1992" i="3"/>
  <c r="L1992" i="3"/>
  <c r="K1992" i="3"/>
  <c r="J1992" i="3"/>
  <c r="O1991" i="3"/>
  <c r="N1991" i="3"/>
  <c r="M1991" i="3"/>
  <c r="L1991" i="3"/>
  <c r="K1991" i="3"/>
  <c r="J1991" i="3"/>
  <c r="O1990" i="3"/>
  <c r="N1990" i="3"/>
  <c r="M1990" i="3"/>
  <c r="L1990" i="3"/>
  <c r="K1990" i="3"/>
  <c r="J1990" i="3"/>
  <c r="O1989" i="3"/>
  <c r="N1989" i="3"/>
  <c r="M1989" i="3"/>
  <c r="L1989" i="3"/>
  <c r="K1989" i="3"/>
  <c r="J1989" i="3"/>
  <c r="O1988" i="3"/>
  <c r="N1988" i="3"/>
  <c r="M1988" i="3"/>
  <c r="L1988" i="3"/>
  <c r="K1988" i="3"/>
  <c r="J1988" i="3"/>
  <c r="O1987" i="3"/>
  <c r="N1987" i="3"/>
  <c r="M1987" i="3"/>
  <c r="L1987" i="3"/>
  <c r="K1987" i="3"/>
  <c r="J1987" i="3"/>
  <c r="O1986" i="3"/>
  <c r="N1986" i="3"/>
  <c r="M1986" i="3"/>
  <c r="L1986" i="3"/>
  <c r="K1986" i="3"/>
  <c r="J1986" i="3"/>
  <c r="O1985" i="3"/>
  <c r="N1985" i="3"/>
  <c r="M1985" i="3"/>
  <c r="L1985" i="3"/>
  <c r="K1985" i="3"/>
  <c r="J1985" i="3"/>
  <c r="O1984" i="3"/>
  <c r="N1984" i="3"/>
  <c r="M1984" i="3"/>
  <c r="L1984" i="3"/>
  <c r="K1984" i="3"/>
  <c r="J1984" i="3"/>
  <c r="O1983" i="3"/>
  <c r="N1983" i="3"/>
  <c r="M1983" i="3"/>
  <c r="L1983" i="3"/>
  <c r="K1983" i="3"/>
  <c r="J1983" i="3"/>
  <c r="O1982" i="3"/>
  <c r="N1982" i="3"/>
  <c r="M1982" i="3"/>
  <c r="L1982" i="3"/>
  <c r="K1982" i="3"/>
  <c r="J1982" i="3"/>
  <c r="O1981" i="3"/>
  <c r="N1981" i="3"/>
  <c r="M1981" i="3"/>
  <c r="L1981" i="3"/>
  <c r="K1981" i="3"/>
  <c r="J1981" i="3"/>
  <c r="O1980" i="3"/>
  <c r="N1980" i="3"/>
  <c r="M1980" i="3"/>
  <c r="L1980" i="3"/>
  <c r="K1980" i="3"/>
  <c r="J1980" i="3"/>
  <c r="O1979" i="3"/>
  <c r="N1979" i="3"/>
  <c r="M1979" i="3"/>
  <c r="L1979" i="3"/>
  <c r="K1979" i="3"/>
  <c r="J1979" i="3"/>
  <c r="O1978" i="3"/>
  <c r="N1978" i="3"/>
  <c r="M1978" i="3"/>
  <c r="L1978" i="3"/>
  <c r="K1978" i="3"/>
  <c r="J1978" i="3"/>
  <c r="O1977" i="3"/>
  <c r="N1977" i="3"/>
  <c r="M1977" i="3"/>
  <c r="L1977" i="3"/>
  <c r="K1977" i="3"/>
  <c r="J1977" i="3"/>
  <c r="O1976" i="3"/>
  <c r="N1976" i="3"/>
  <c r="M1976" i="3"/>
  <c r="L1976" i="3"/>
  <c r="K1976" i="3"/>
  <c r="J1976" i="3"/>
  <c r="O1975" i="3"/>
  <c r="N1975" i="3"/>
  <c r="M1975" i="3"/>
  <c r="L1975" i="3"/>
  <c r="K1975" i="3"/>
  <c r="J1975" i="3"/>
  <c r="O1974" i="3"/>
  <c r="N1974" i="3"/>
  <c r="M1974" i="3"/>
  <c r="L1974" i="3"/>
  <c r="K1974" i="3"/>
  <c r="J1974" i="3"/>
  <c r="O1973" i="3"/>
  <c r="N1973" i="3"/>
  <c r="M1973" i="3"/>
  <c r="L1973" i="3"/>
  <c r="K1973" i="3"/>
  <c r="J1973" i="3"/>
  <c r="O1972" i="3"/>
  <c r="N1972" i="3"/>
  <c r="M1972" i="3"/>
  <c r="L1972" i="3"/>
  <c r="K1972" i="3"/>
  <c r="J1972" i="3"/>
  <c r="O1971" i="3"/>
  <c r="N1971" i="3"/>
  <c r="M1971" i="3"/>
  <c r="L1971" i="3"/>
  <c r="K1971" i="3"/>
  <c r="J1971" i="3"/>
  <c r="O1970" i="3"/>
  <c r="N1970" i="3"/>
  <c r="M1970" i="3"/>
  <c r="L1970" i="3"/>
  <c r="K1970" i="3"/>
  <c r="J1970" i="3"/>
  <c r="O1969" i="3"/>
  <c r="N1969" i="3"/>
  <c r="M1969" i="3"/>
  <c r="L1969" i="3"/>
  <c r="K1969" i="3"/>
  <c r="J1969" i="3"/>
  <c r="O1968" i="3"/>
  <c r="N1968" i="3"/>
  <c r="M1968" i="3"/>
  <c r="L1968" i="3"/>
  <c r="K1968" i="3"/>
  <c r="J1968" i="3"/>
  <c r="O1967" i="3"/>
  <c r="N1967" i="3"/>
  <c r="M1967" i="3"/>
  <c r="L1967" i="3"/>
  <c r="K1967" i="3"/>
  <c r="J1967" i="3"/>
  <c r="O1966" i="3"/>
  <c r="N1966" i="3"/>
  <c r="M1966" i="3"/>
  <c r="L1966" i="3"/>
  <c r="K1966" i="3"/>
  <c r="J1966" i="3"/>
  <c r="O1965" i="3"/>
  <c r="N1965" i="3"/>
  <c r="M1965" i="3"/>
  <c r="L1965" i="3"/>
  <c r="K1965" i="3"/>
  <c r="J1965" i="3"/>
  <c r="O1964" i="3"/>
  <c r="N1964" i="3"/>
  <c r="M1964" i="3"/>
  <c r="L1964" i="3"/>
  <c r="K1964" i="3"/>
  <c r="J1964" i="3"/>
  <c r="O1963" i="3"/>
  <c r="N1963" i="3"/>
  <c r="M1963" i="3"/>
  <c r="L1963" i="3"/>
  <c r="K1963" i="3"/>
  <c r="J1963" i="3"/>
  <c r="O1962" i="3"/>
  <c r="N1962" i="3"/>
  <c r="M1962" i="3"/>
  <c r="L1962" i="3"/>
  <c r="K1962" i="3"/>
  <c r="J1962" i="3"/>
  <c r="O1961" i="3"/>
  <c r="N1961" i="3"/>
  <c r="M1961" i="3"/>
  <c r="L1961" i="3"/>
  <c r="K1961" i="3"/>
  <c r="J1961" i="3"/>
  <c r="O1960" i="3"/>
  <c r="N1960" i="3"/>
  <c r="M1960" i="3"/>
  <c r="L1960" i="3"/>
  <c r="K1960" i="3"/>
  <c r="J1960" i="3"/>
  <c r="O1959" i="3"/>
  <c r="N1959" i="3"/>
  <c r="M1959" i="3"/>
  <c r="L1959" i="3"/>
  <c r="K1959" i="3"/>
  <c r="J1959" i="3"/>
  <c r="O1958" i="3"/>
  <c r="N1958" i="3"/>
  <c r="M1958" i="3"/>
  <c r="L1958" i="3"/>
  <c r="K1958" i="3"/>
  <c r="J1958" i="3"/>
  <c r="O1957" i="3"/>
  <c r="N1957" i="3"/>
  <c r="M1957" i="3"/>
  <c r="L1957" i="3"/>
  <c r="K1957" i="3"/>
  <c r="J1957" i="3"/>
  <c r="O1956" i="3"/>
  <c r="N1956" i="3"/>
  <c r="M1956" i="3"/>
  <c r="L1956" i="3"/>
  <c r="K1956" i="3"/>
  <c r="J1956" i="3"/>
  <c r="O1955" i="3"/>
  <c r="N1955" i="3"/>
  <c r="M1955" i="3"/>
  <c r="L1955" i="3"/>
  <c r="K1955" i="3"/>
  <c r="J1955" i="3"/>
  <c r="O1954" i="3"/>
  <c r="N1954" i="3"/>
  <c r="M1954" i="3"/>
  <c r="L1954" i="3"/>
  <c r="K1954" i="3"/>
  <c r="J1954" i="3"/>
  <c r="O1953" i="3"/>
  <c r="N1953" i="3"/>
  <c r="M1953" i="3"/>
  <c r="L1953" i="3"/>
  <c r="K1953" i="3"/>
  <c r="J1953" i="3"/>
  <c r="O1952" i="3"/>
  <c r="N1952" i="3"/>
  <c r="M1952" i="3"/>
  <c r="L1952" i="3"/>
  <c r="K1952" i="3"/>
  <c r="J1952" i="3"/>
  <c r="O1951" i="3"/>
  <c r="N1951" i="3"/>
  <c r="M1951" i="3"/>
  <c r="L1951" i="3"/>
  <c r="K1951" i="3"/>
  <c r="J1951" i="3"/>
  <c r="O1950" i="3"/>
  <c r="N1950" i="3"/>
  <c r="M1950" i="3"/>
  <c r="L1950" i="3"/>
  <c r="K1950" i="3"/>
  <c r="J1950" i="3"/>
  <c r="O1949" i="3"/>
  <c r="N1949" i="3"/>
  <c r="M1949" i="3"/>
  <c r="L1949" i="3"/>
  <c r="K1949" i="3"/>
  <c r="J1949" i="3"/>
  <c r="O1948" i="3"/>
  <c r="N1948" i="3"/>
  <c r="M1948" i="3"/>
  <c r="L1948" i="3"/>
  <c r="K1948" i="3"/>
  <c r="J1948" i="3"/>
  <c r="O1947" i="3"/>
  <c r="N1947" i="3"/>
  <c r="M1947" i="3"/>
  <c r="L1947" i="3"/>
  <c r="K1947" i="3"/>
  <c r="J1947" i="3"/>
  <c r="O1946" i="3"/>
  <c r="N1946" i="3"/>
  <c r="M1946" i="3"/>
  <c r="L1946" i="3"/>
  <c r="K1946" i="3"/>
  <c r="J1946" i="3"/>
  <c r="O1945" i="3"/>
  <c r="N1945" i="3"/>
  <c r="M1945" i="3"/>
  <c r="L1945" i="3"/>
  <c r="K1945" i="3"/>
  <c r="J1945" i="3"/>
  <c r="O1944" i="3"/>
  <c r="N1944" i="3"/>
  <c r="M1944" i="3"/>
  <c r="L1944" i="3"/>
  <c r="K1944" i="3"/>
  <c r="J1944" i="3"/>
  <c r="O1943" i="3"/>
  <c r="N1943" i="3"/>
  <c r="M1943" i="3"/>
  <c r="L1943" i="3"/>
  <c r="K1943" i="3"/>
  <c r="J1943" i="3"/>
  <c r="O1942" i="3"/>
  <c r="N1942" i="3"/>
  <c r="M1942" i="3"/>
  <c r="L1942" i="3"/>
  <c r="K1942" i="3"/>
  <c r="J1942" i="3"/>
  <c r="O1941" i="3"/>
  <c r="N1941" i="3"/>
  <c r="M1941" i="3"/>
  <c r="L1941" i="3"/>
  <c r="K1941" i="3"/>
  <c r="J1941" i="3"/>
  <c r="O1940" i="3"/>
  <c r="N1940" i="3"/>
  <c r="M1940" i="3"/>
  <c r="L1940" i="3"/>
  <c r="K1940" i="3"/>
  <c r="J1940" i="3"/>
  <c r="O1939" i="3"/>
  <c r="N1939" i="3"/>
  <c r="M1939" i="3"/>
  <c r="L1939" i="3"/>
  <c r="K1939" i="3"/>
  <c r="J1939" i="3"/>
  <c r="O1938" i="3"/>
  <c r="N1938" i="3"/>
  <c r="M1938" i="3"/>
  <c r="L1938" i="3"/>
  <c r="K1938" i="3"/>
  <c r="J1938" i="3"/>
  <c r="O1937" i="3"/>
  <c r="N1937" i="3"/>
  <c r="M1937" i="3"/>
  <c r="L1937" i="3"/>
  <c r="K1937" i="3"/>
  <c r="J1937" i="3"/>
  <c r="O1936" i="3"/>
  <c r="N1936" i="3"/>
  <c r="M1936" i="3"/>
  <c r="L1936" i="3"/>
  <c r="K1936" i="3"/>
  <c r="J1936" i="3"/>
  <c r="O1935" i="3"/>
  <c r="N1935" i="3"/>
  <c r="M1935" i="3"/>
  <c r="L1935" i="3"/>
  <c r="K1935" i="3"/>
  <c r="J1935" i="3"/>
  <c r="O1934" i="3"/>
  <c r="N1934" i="3"/>
  <c r="M1934" i="3"/>
  <c r="L1934" i="3"/>
  <c r="K1934" i="3"/>
  <c r="J1934" i="3"/>
  <c r="O1933" i="3"/>
  <c r="N1933" i="3"/>
  <c r="M1933" i="3"/>
  <c r="L1933" i="3"/>
  <c r="K1933" i="3"/>
  <c r="J1933" i="3"/>
  <c r="O1932" i="3"/>
  <c r="N1932" i="3"/>
  <c r="M1932" i="3"/>
  <c r="L1932" i="3"/>
  <c r="K1932" i="3"/>
  <c r="J1932" i="3"/>
  <c r="O1931" i="3"/>
  <c r="N1931" i="3"/>
  <c r="M1931" i="3"/>
  <c r="L1931" i="3"/>
  <c r="K1931" i="3"/>
  <c r="J1931" i="3"/>
  <c r="O1930" i="3"/>
  <c r="N1930" i="3"/>
  <c r="M1930" i="3"/>
  <c r="L1930" i="3"/>
  <c r="K1930" i="3"/>
  <c r="J1930" i="3"/>
  <c r="O1929" i="3"/>
  <c r="N1929" i="3"/>
  <c r="M1929" i="3"/>
  <c r="L1929" i="3"/>
  <c r="K1929" i="3"/>
  <c r="J1929" i="3"/>
  <c r="O1928" i="3"/>
  <c r="N1928" i="3"/>
  <c r="M1928" i="3"/>
  <c r="L1928" i="3"/>
  <c r="K1928" i="3"/>
  <c r="J1928" i="3"/>
  <c r="O1927" i="3"/>
  <c r="N1927" i="3"/>
  <c r="M1927" i="3"/>
  <c r="L1927" i="3"/>
  <c r="K1927" i="3"/>
  <c r="J1927" i="3"/>
  <c r="O1926" i="3"/>
  <c r="N1926" i="3"/>
  <c r="M1926" i="3"/>
  <c r="L1926" i="3"/>
  <c r="K1926" i="3"/>
  <c r="J1926" i="3"/>
  <c r="O1925" i="3"/>
  <c r="N1925" i="3"/>
  <c r="M1925" i="3"/>
  <c r="L1925" i="3"/>
  <c r="K1925" i="3"/>
  <c r="J1925" i="3"/>
  <c r="O1924" i="3"/>
  <c r="N1924" i="3"/>
  <c r="M1924" i="3"/>
  <c r="L1924" i="3"/>
  <c r="K1924" i="3"/>
  <c r="J1924" i="3"/>
  <c r="O1923" i="3"/>
  <c r="N1923" i="3"/>
  <c r="M1923" i="3"/>
  <c r="L1923" i="3"/>
  <c r="K1923" i="3"/>
  <c r="J1923" i="3"/>
  <c r="O1922" i="3"/>
  <c r="N1922" i="3"/>
  <c r="M1922" i="3"/>
  <c r="L1922" i="3"/>
  <c r="K1922" i="3"/>
  <c r="J1922" i="3"/>
  <c r="O1921" i="3"/>
  <c r="N1921" i="3"/>
  <c r="M1921" i="3"/>
  <c r="L1921" i="3"/>
  <c r="K1921" i="3"/>
  <c r="J1921" i="3"/>
  <c r="O1920" i="3"/>
  <c r="N1920" i="3"/>
  <c r="M1920" i="3"/>
  <c r="L1920" i="3"/>
  <c r="K1920" i="3"/>
  <c r="J1920" i="3"/>
  <c r="O1919" i="3"/>
  <c r="N1919" i="3"/>
  <c r="M1919" i="3"/>
  <c r="L1919" i="3"/>
  <c r="K1919" i="3"/>
  <c r="J1919" i="3"/>
  <c r="O1918" i="3"/>
  <c r="N1918" i="3"/>
  <c r="M1918" i="3"/>
  <c r="L1918" i="3"/>
  <c r="K1918" i="3"/>
  <c r="J1918" i="3"/>
  <c r="O1917" i="3"/>
  <c r="N1917" i="3"/>
  <c r="M1917" i="3"/>
  <c r="L1917" i="3"/>
  <c r="K1917" i="3"/>
  <c r="J1917" i="3"/>
  <c r="O1916" i="3"/>
  <c r="N1916" i="3"/>
  <c r="M1916" i="3"/>
  <c r="L1916" i="3"/>
  <c r="K1916" i="3"/>
  <c r="J1916" i="3"/>
  <c r="O1915" i="3"/>
  <c r="N1915" i="3"/>
  <c r="M1915" i="3"/>
  <c r="L1915" i="3"/>
  <c r="K1915" i="3"/>
  <c r="J1915" i="3"/>
  <c r="O1914" i="3"/>
  <c r="N1914" i="3"/>
  <c r="M1914" i="3"/>
  <c r="L1914" i="3"/>
  <c r="K1914" i="3"/>
  <c r="J1914" i="3"/>
  <c r="O1913" i="3"/>
  <c r="N1913" i="3"/>
  <c r="M1913" i="3"/>
  <c r="L1913" i="3"/>
  <c r="K1913" i="3"/>
  <c r="J1913" i="3"/>
  <c r="O1912" i="3"/>
  <c r="N1912" i="3"/>
  <c r="M1912" i="3"/>
  <c r="L1912" i="3"/>
  <c r="K1912" i="3"/>
  <c r="J1912" i="3"/>
  <c r="O1911" i="3"/>
  <c r="N1911" i="3"/>
  <c r="M1911" i="3"/>
  <c r="L1911" i="3"/>
  <c r="K1911" i="3"/>
  <c r="J1911" i="3"/>
  <c r="O1910" i="3"/>
  <c r="N1910" i="3"/>
  <c r="M1910" i="3"/>
  <c r="L1910" i="3"/>
  <c r="K1910" i="3"/>
  <c r="J1910" i="3"/>
  <c r="O1909" i="3"/>
  <c r="N1909" i="3"/>
  <c r="M1909" i="3"/>
  <c r="L1909" i="3"/>
  <c r="K1909" i="3"/>
  <c r="J1909" i="3"/>
  <c r="O1908" i="3"/>
  <c r="N1908" i="3"/>
  <c r="M1908" i="3"/>
  <c r="L1908" i="3"/>
  <c r="K1908" i="3"/>
  <c r="J1908" i="3"/>
  <c r="O1907" i="3"/>
  <c r="N1907" i="3"/>
  <c r="M1907" i="3"/>
  <c r="L1907" i="3"/>
  <c r="K1907" i="3"/>
  <c r="J1907" i="3"/>
  <c r="O1906" i="3"/>
  <c r="N1906" i="3"/>
  <c r="M1906" i="3"/>
  <c r="L1906" i="3"/>
  <c r="K1906" i="3"/>
  <c r="J1906" i="3"/>
  <c r="O1905" i="3"/>
  <c r="N1905" i="3"/>
  <c r="M1905" i="3"/>
  <c r="L1905" i="3"/>
  <c r="K1905" i="3"/>
  <c r="J1905" i="3"/>
  <c r="O1904" i="3"/>
  <c r="N1904" i="3"/>
  <c r="M1904" i="3"/>
  <c r="L1904" i="3"/>
  <c r="K1904" i="3"/>
  <c r="J1904" i="3"/>
  <c r="O1903" i="3"/>
  <c r="N1903" i="3"/>
  <c r="M1903" i="3"/>
  <c r="L1903" i="3"/>
  <c r="K1903" i="3"/>
  <c r="J1903" i="3"/>
  <c r="O1902" i="3"/>
  <c r="N1902" i="3"/>
  <c r="M1902" i="3"/>
  <c r="L1902" i="3"/>
  <c r="K1902" i="3"/>
  <c r="J1902" i="3"/>
  <c r="O1901" i="3"/>
  <c r="N1901" i="3"/>
  <c r="M1901" i="3"/>
  <c r="L1901" i="3"/>
  <c r="K1901" i="3"/>
  <c r="J1901" i="3"/>
  <c r="O1900" i="3"/>
  <c r="N1900" i="3"/>
  <c r="M1900" i="3"/>
  <c r="L1900" i="3"/>
  <c r="K1900" i="3"/>
  <c r="J1900" i="3"/>
  <c r="O1899" i="3"/>
  <c r="N1899" i="3"/>
  <c r="M1899" i="3"/>
  <c r="L1899" i="3"/>
  <c r="K1899" i="3"/>
  <c r="J1899" i="3"/>
  <c r="O1898" i="3"/>
  <c r="N1898" i="3"/>
  <c r="M1898" i="3"/>
  <c r="L1898" i="3"/>
  <c r="K1898" i="3"/>
  <c r="J1898" i="3"/>
  <c r="O1897" i="3"/>
  <c r="N1897" i="3"/>
  <c r="M1897" i="3"/>
  <c r="L1897" i="3"/>
  <c r="K1897" i="3"/>
  <c r="J1897" i="3"/>
  <c r="O1896" i="3"/>
  <c r="N1896" i="3"/>
  <c r="M1896" i="3"/>
  <c r="L1896" i="3"/>
  <c r="K1896" i="3"/>
  <c r="J1896" i="3"/>
  <c r="O1895" i="3"/>
  <c r="N1895" i="3"/>
  <c r="M1895" i="3"/>
  <c r="L1895" i="3"/>
  <c r="K1895" i="3"/>
  <c r="J1895" i="3"/>
  <c r="O1894" i="3"/>
  <c r="N1894" i="3"/>
  <c r="M1894" i="3"/>
  <c r="L1894" i="3"/>
  <c r="K1894" i="3"/>
  <c r="J1894" i="3"/>
  <c r="O1893" i="3"/>
  <c r="N1893" i="3"/>
  <c r="M1893" i="3"/>
  <c r="L1893" i="3"/>
  <c r="K1893" i="3"/>
  <c r="J1893" i="3"/>
  <c r="O1892" i="3"/>
  <c r="N1892" i="3"/>
  <c r="M1892" i="3"/>
  <c r="L1892" i="3"/>
  <c r="K1892" i="3"/>
  <c r="J1892" i="3"/>
  <c r="O1891" i="3"/>
  <c r="N1891" i="3"/>
  <c r="M1891" i="3"/>
  <c r="L1891" i="3"/>
  <c r="K1891" i="3"/>
  <c r="J1891" i="3"/>
  <c r="O1890" i="3"/>
  <c r="N1890" i="3"/>
  <c r="M1890" i="3"/>
  <c r="L1890" i="3"/>
  <c r="K1890" i="3"/>
  <c r="J1890" i="3"/>
  <c r="O1889" i="3"/>
  <c r="N1889" i="3"/>
  <c r="M1889" i="3"/>
  <c r="L1889" i="3"/>
  <c r="K1889" i="3"/>
  <c r="J1889" i="3"/>
  <c r="O1888" i="3"/>
  <c r="N1888" i="3"/>
  <c r="M1888" i="3"/>
  <c r="L1888" i="3"/>
  <c r="K1888" i="3"/>
  <c r="J1888" i="3"/>
  <c r="O1887" i="3"/>
  <c r="N1887" i="3"/>
  <c r="M1887" i="3"/>
  <c r="L1887" i="3"/>
  <c r="K1887" i="3"/>
  <c r="J1887" i="3"/>
  <c r="O1886" i="3"/>
  <c r="N1886" i="3"/>
  <c r="M1886" i="3"/>
  <c r="L1886" i="3"/>
  <c r="K1886" i="3"/>
  <c r="J1886" i="3"/>
  <c r="O1885" i="3"/>
  <c r="N1885" i="3"/>
  <c r="M1885" i="3"/>
  <c r="L1885" i="3"/>
  <c r="K1885" i="3"/>
  <c r="J1885" i="3"/>
  <c r="F9" i="4" s="1"/>
  <c r="O1884" i="3"/>
  <c r="N1884" i="3"/>
  <c r="M1884" i="3"/>
  <c r="K1884" i="3"/>
  <c r="J1884" i="3"/>
  <c r="O1883" i="3"/>
  <c r="M1883" i="3"/>
  <c r="N1883" i="3" s="1"/>
  <c r="K1883" i="3"/>
  <c r="J1883" i="3"/>
  <c r="O1882" i="3"/>
  <c r="M1882" i="3"/>
  <c r="N1882" i="3" s="1"/>
  <c r="K1882" i="3"/>
  <c r="J1882" i="3"/>
  <c r="O1881" i="3"/>
  <c r="M1881" i="3"/>
  <c r="N1881" i="3" s="1"/>
  <c r="K1881" i="3"/>
  <c r="J1881" i="3"/>
  <c r="O1880" i="3"/>
  <c r="N1880" i="3"/>
  <c r="M1880" i="3"/>
  <c r="K1880" i="3"/>
  <c r="J1880" i="3"/>
  <c r="O1879" i="3"/>
  <c r="M1879" i="3"/>
  <c r="N1879" i="3" s="1"/>
  <c r="K1879" i="3"/>
  <c r="J1879" i="3"/>
  <c r="O1878" i="3"/>
  <c r="N1878" i="3"/>
  <c r="M1878" i="3"/>
  <c r="K1878" i="3"/>
  <c r="J1878" i="3"/>
  <c r="O1877" i="3"/>
  <c r="M1877" i="3"/>
  <c r="N1877" i="3" s="1"/>
  <c r="K1877" i="3"/>
  <c r="J1877" i="3"/>
  <c r="O1876" i="3"/>
  <c r="N1876" i="3"/>
  <c r="M1876" i="3"/>
  <c r="K1876" i="3"/>
  <c r="J1876" i="3"/>
  <c r="O1875" i="3"/>
  <c r="M1875" i="3"/>
  <c r="N1875" i="3" s="1"/>
  <c r="K1875" i="3"/>
  <c r="J1875" i="3"/>
  <c r="O1874" i="3"/>
  <c r="N1874" i="3"/>
  <c r="M1874" i="3"/>
  <c r="K1874" i="3"/>
  <c r="J1874" i="3"/>
  <c r="O1873" i="3"/>
  <c r="N1873" i="3"/>
  <c r="M1873" i="3"/>
  <c r="K1873" i="3"/>
  <c r="J1873" i="3"/>
  <c r="O1872" i="3"/>
  <c r="N1872" i="3"/>
  <c r="M1872" i="3"/>
  <c r="K1872" i="3"/>
  <c r="J1872" i="3"/>
  <c r="O1871" i="3"/>
  <c r="M1871" i="3"/>
  <c r="N1871" i="3" s="1"/>
  <c r="K1871" i="3"/>
  <c r="J1871" i="3"/>
  <c r="O1870" i="3"/>
  <c r="M1870" i="3"/>
  <c r="N1870" i="3" s="1"/>
  <c r="K1870" i="3"/>
  <c r="J1870" i="3"/>
  <c r="O1869" i="3"/>
  <c r="N1869" i="3"/>
  <c r="M1869" i="3"/>
  <c r="K1869" i="3"/>
  <c r="J1869" i="3"/>
  <c r="O1868" i="3"/>
  <c r="N1868" i="3"/>
  <c r="M1868" i="3"/>
  <c r="K1868" i="3"/>
  <c r="J1868" i="3"/>
  <c r="O1867" i="3"/>
  <c r="M1867" i="3"/>
  <c r="N1867" i="3" s="1"/>
  <c r="K1867" i="3"/>
  <c r="J1867" i="3"/>
  <c r="O1866" i="3"/>
  <c r="M1866" i="3"/>
  <c r="N1866" i="3" s="1"/>
  <c r="K1866" i="3"/>
  <c r="J1866" i="3"/>
  <c r="O1865" i="3"/>
  <c r="N1865" i="3"/>
  <c r="M1865" i="3"/>
  <c r="K1865" i="3"/>
  <c r="J1865" i="3"/>
  <c r="O1864" i="3"/>
  <c r="N1864" i="3"/>
  <c r="M1864" i="3"/>
  <c r="K1864" i="3"/>
  <c r="J1864" i="3"/>
  <c r="O1863" i="3"/>
  <c r="M1863" i="3"/>
  <c r="N1863" i="3" s="1"/>
  <c r="K1863" i="3"/>
  <c r="J1863" i="3"/>
  <c r="O1862" i="3"/>
  <c r="N1862" i="3"/>
  <c r="M1862" i="3"/>
  <c r="K1862" i="3"/>
  <c r="J1862" i="3"/>
  <c r="O1861" i="3"/>
  <c r="M1861" i="3"/>
  <c r="N1861" i="3" s="1"/>
  <c r="K1861" i="3"/>
  <c r="J1861" i="3"/>
  <c r="O1860" i="3"/>
  <c r="N1860" i="3"/>
  <c r="M1860" i="3"/>
  <c r="K1860" i="3"/>
  <c r="J1860" i="3"/>
  <c r="O1859" i="3"/>
  <c r="M1859" i="3"/>
  <c r="N1859" i="3" s="1"/>
  <c r="K1859" i="3"/>
  <c r="J1859" i="3"/>
  <c r="O1858" i="3"/>
  <c r="N1858" i="3"/>
  <c r="M1858" i="3"/>
  <c r="K1858" i="3"/>
  <c r="J1858" i="3"/>
  <c r="O1857" i="3"/>
  <c r="N1857" i="3"/>
  <c r="M1857" i="3"/>
  <c r="K1857" i="3"/>
  <c r="J1857" i="3"/>
  <c r="D9" i="4" s="1"/>
  <c r="O1856" i="3"/>
  <c r="N1856" i="3"/>
  <c r="M1856" i="3"/>
  <c r="K1856" i="3"/>
  <c r="J1856" i="3"/>
  <c r="O1855" i="3"/>
  <c r="M1855" i="3"/>
  <c r="N1855" i="3" s="1"/>
  <c r="K1855" i="3"/>
  <c r="J1855" i="3"/>
  <c r="O1854" i="3"/>
  <c r="N1854" i="3"/>
  <c r="M1854" i="3"/>
  <c r="J1854" i="3"/>
  <c r="O1853" i="3"/>
  <c r="N1853" i="3"/>
  <c r="M1853" i="3"/>
  <c r="J1853" i="3"/>
  <c r="O1852" i="3"/>
  <c r="N1852" i="3"/>
  <c r="M1852" i="3"/>
  <c r="J1852" i="3"/>
  <c r="O1851" i="3"/>
  <c r="N1851" i="3"/>
  <c r="M1851" i="3"/>
  <c r="J1851" i="3"/>
  <c r="O1850" i="3"/>
  <c r="N1850" i="3"/>
  <c r="M1850" i="3"/>
  <c r="J1850" i="3"/>
  <c r="O1849" i="3"/>
  <c r="N1849" i="3"/>
  <c r="M1849" i="3"/>
  <c r="J1849" i="3"/>
  <c r="O1848" i="3"/>
  <c r="N1848" i="3"/>
  <c r="M1848" i="3"/>
  <c r="J1848" i="3"/>
  <c r="O1847" i="3"/>
  <c r="N1847" i="3"/>
  <c r="M1847" i="3"/>
  <c r="J1847" i="3"/>
  <c r="O1846" i="3"/>
  <c r="N1846" i="3"/>
  <c r="M1846" i="3"/>
  <c r="J1846" i="3"/>
  <c r="O1845" i="3"/>
  <c r="N1845" i="3"/>
  <c r="M1845" i="3"/>
  <c r="J1845" i="3"/>
  <c r="O1844" i="3"/>
  <c r="N1844" i="3"/>
  <c r="M1844" i="3"/>
  <c r="J1844" i="3"/>
  <c r="O1843" i="3"/>
  <c r="N1843" i="3"/>
  <c r="M1843" i="3"/>
  <c r="J1843" i="3"/>
  <c r="O1842" i="3"/>
  <c r="N1842" i="3"/>
  <c r="M1842" i="3"/>
  <c r="J1842" i="3"/>
  <c r="O1841" i="3"/>
  <c r="N1841" i="3"/>
  <c r="M1841" i="3"/>
  <c r="J1841" i="3"/>
  <c r="O1840" i="3"/>
  <c r="N1840" i="3"/>
  <c r="M1840" i="3"/>
  <c r="J1840" i="3"/>
  <c r="O1839" i="3"/>
  <c r="N1839" i="3"/>
  <c r="M1839" i="3"/>
  <c r="J1839" i="3"/>
  <c r="O1838" i="3"/>
  <c r="N1838" i="3"/>
  <c r="M1838" i="3"/>
  <c r="J1838" i="3"/>
  <c r="O1837" i="3"/>
  <c r="N1837" i="3"/>
  <c r="M1837" i="3"/>
  <c r="J1837" i="3"/>
  <c r="O1836" i="3"/>
  <c r="N1836" i="3"/>
  <c r="M1836" i="3"/>
  <c r="O1835" i="3"/>
  <c r="M1835" i="3"/>
  <c r="N1835" i="3" s="1"/>
  <c r="L1835" i="3"/>
  <c r="K1835" i="3"/>
  <c r="J1835" i="3"/>
  <c r="O1834" i="3"/>
  <c r="N1834" i="3"/>
  <c r="M1834" i="3"/>
  <c r="L1834" i="3"/>
  <c r="K1834" i="3"/>
  <c r="J1834" i="3"/>
  <c r="O1833" i="3"/>
  <c r="M1833" i="3"/>
  <c r="N1833" i="3" s="1"/>
  <c r="L1833" i="3"/>
  <c r="K1833" i="3"/>
  <c r="J1833" i="3"/>
  <c r="O1832" i="3"/>
  <c r="M1832" i="3"/>
  <c r="N1832" i="3" s="1"/>
  <c r="L1832" i="3"/>
  <c r="K1832" i="3"/>
  <c r="J1832" i="3"/>
  <c r="O1831" i="3"/>
  <c r="M1831" i="3"/>
  <c r="N1831" i="3" s="1"/>
  <c r="L1831" i="3"/>
  <c r="K1831" i="3"/>
  <c r="J1831" i="3"/>
  <c r="O1830" i="3"/>
  <c r="N1830" i="3"/>
  <c r="M1830" i="3"/>
  <c r="L1830" i="3"/>
  <c r="K1830" i="3"/>
  <c r="J1830" i="3"/>
  <c r="O1829" i="3"/>
  <c r="M1829" i="3"/>
  <c r="N1829" i="3" s="1"/>
  <c r="L1829" i="3"/>
  <c r="K1829" i="3"/>
  <c r="J1829" i="3"/>
  <c r="O1828" i="3"/>
  <c r="N1828" i="3"/>
  <c r="M1828" i="3"/>
  <c r="L1828" i="3"/>
  <c r="K1828" i="3"/>
  <c r="J1828" i="3"/>
  <c r="O1827" i="3"/>
  <c r="M1827" i="3"/>
  <c r="N1827" i="3" s="1"/>
  <c r="L1827" i="3"/>
  <c r="K1827" i="3"/>
  <c r="J1827" i="3"/>
  <c r="O1826" i="3"/>
  <c r="M1826" i="3"/>
  <c r="N1826" i="3" s="1"/>
  <c r="L1826" i="3"/>
  <c r="K1826" i="3"/>
  <c r="J1826" i="3"/>
  <c r="O1825" i="3"/>
  <c r="M1825" i="3"/>
  <c r="N1825" i="3" s="1"/>
  <c r="L1825" i="3"/>
  <c r="K1825" i="3"/>
  <c r="J1825" i="3"/>
  <c r="O1824" i="3"/>
  <c r="M1824" i="3"/>
  <c r="N1824" i="3" s="1"/>
  <c r="L1824" i="3"/>
  <c r="K1824" i="3"/>
  <c r="J1824" i="3"/>
  <c r="O1823" i="3"/>
  <c r="M1823" i="3"/>
  <c r="N1823" i="3" s="1"/>
  <c r="L1823" i="3"/>
  <c r="K1823" i="3"/>
  <c r="J1823" i="3"/>
  <c r="O1822" i="3"/>
  <c r="N1822" i="3"/>
  <c r="M1822" i="3"/>
  <c r="L1822" i="3"/>
  <c r="K1822" i="3"/>
  <c r="J1822" i="3"/>
  <c r="O1821" i="3"/>
  <c r="M1821" i="3"/>
  <c r="N1821" i="3" s="1"/>
  <c r="L1821" i="3"/>
  <c r="K1821" i="3"/>
  <c r="J1821" i="3"/>
  <c r="O1820" i="3"/>
  <c r="N1820" i="3"/>
  <c r="M1820" i="3"/>
  <c r="L1820" i="3"/>
  <c r="K1820" i="3"/>
  <c r="J1820" i="3"/>
  <c r="O1819" i="3"/>
  <c r="M1819" i="3"/>
  <c r="N1819" i="3" s="1"/>
  <c r="L1819" i="3"/>
  <c r="K1819" i="3"/>
  <c r="J1819" i="3"/>
  <c r="O1818" i="3"/>
  <c r="N1818" i="3"/>
  <c r="M1818" i="3"/>
  <c r="L1818" i="3"/>
  <c r="K1818" i="3"/>
  <c r="J1818" i="3"/>
  <c r="O1817" i="3"/>
  <c r="M1817" i="3"/>
  <c r="N1817" i="3" s="1"/>
  <c r="L1817" i="3"/>
  <c r="K1817" i="3"/>
  <c r="J1817" i="3"/>
  <c r="O1816" i="3"/>
  <c r="N1816" i="3"/>
  <c r="M1816" i="3"/>
  <c r="L1816" i="3"/>
  <c r="K1816" i="3"/>
  <c r="J1816" i="3"/>
  <c r="O1815" i="3"/>
  <c r="M1815" i="3"/>
  <c r="N1815" i="3" s="1"/>
  <c r="L1815" i="3"/>
  <c r="K1815" i="3"/>
  <c r="J1815" i="3"/>
  <c r="O1814" i="3"/>
  <c r="N1814" i="3"/>
  <c r="M1814" i="3"/>
  <c r="L1814" i="3"/>
  <c r="K1814" i="3"/>
  <c r="J1814" i="3"/>
  <c r="O1813" i="3"/>
  <c r="M1813" i="3"/>
  <c r="N1813" i="3" s="1"/>
  <c r="L1813" i="3"/>
  <c r="K1813" i="3"/>
  <c r="J1813" i="3"/>
  <c r="O1812" i="3"/>
  <c r="N1812" i="3"/>
  <c r="M1812" i="3"/>
  <c r="L1812" i="3"/>
  <c r="K1812" i="3"/>
  <c r="J1812" i="3"/>
  <c r="O1811" i="3"/>
  <c r="M1811" i="3"/>
  <c r="N1811" i="3" s="1"/>
  <c r="L1811" i="3"/>
  <c r="K1811" i="3"/>
  <c r="J1811" i="3"/>
  <c r="O1810" i="3"/>
  <c r="N1810" i="3"/>
  <c r="M1810" i="3"/>
  <c r="L1810" i="3"/>
  <c r="K1810" i="3"/>
  <c r="J1810" i="3"/>
  <c r="O1809" i="3"/>
  <c r="M1809" i="3"/>
  <c r="N1809" i="3" s="1"/>
  <c r="L1809" i="3"/>
  <c r="K1809" i="3"/>
  <c r="J1809" i="3"/>
  <c r="O1808" i="3"/>
  <c r="M1808" i="3"/>
  <c r="N1808" i="3" s="1"/>
  <c r="L1808" i="3"/>
  <c r="K1808" i="3"/>
  <c r="J1808" i="3"/>
  <c r="O1807" i="3"/>
  <c r="N1807" i="3"/>
  <c r="M1807" i="3"/>
  <c r="L1807" i="3"/>
  <c r="K1807" i="3"/>
  <c r="J1807" i="3"/>
  <c r="O1806" i="3"/>
  <c r="M1806" i="3"/>
  <c r="N1806" i="3" s="1"/>
  <c r="L1806" i="3"/>
  <c r="K1806" i="3"/>
  <c r="J1806" i="3"/>
  <c r="O1805" i="3"/>
  <c r="N1805" i="3"/>
  <c r="M1805" i="3"/>
  <c r="L1805" i="3"/>
  <c r="K1805" i="3"/>
  <c r="J1805" i="3"/>
  <c r="O1804" i="3"/>
  <c r="M1804" i="3"/>
  <c r="N1804" i="3" s="1"/>
  <c r="L1804" i="3"/>
  <c r="K1804" i="3"/>
  <c r="J1804" i="3"/>
  <c r="O1803" i="3"/>
  <c r="M1803" i="3"/>
  <c r="N1803" i="3" s="1"/>
  <c r="L1803" i="3"/>
  <c r="K1803" i="3"/>
  <c r="J1803" i="3"/>
  <c r="O1802" i="3"/>
  <c r="M1802" i="3"/>
  <c r="N1802" i="3" s="1"/>
  <c r="L1802" i="3"/>
  <c r="K1802" i="3"/>
  <c r="J1802" i="3"/>
  <c r="O1801" i="3"/>
  <c r="M1801" i="3"/>
  <c r="N1801" i="3" s="1"/>
  <c r="L1801" i="3"/>
  <c r="K1801" i="3"/>
  <c r="J1801" i="3"/>
  <c r="O1800" i="3"/>
  <c r="M1800" i="3"/>
  <c r="N1800" i="3" s="1"/>
  <c r="L1800" i="3"/>
  <c r="K1800" i="3"/>
  <c r="J1800" i="3"/>
  <c r="O1799" i="3"/>
  <c r="N1799" i="3"/>
  <c r="M1799" i="3"/>
  <c r="L1799" i="3"/>
  <c r="K1799" i="3"/>
  <c r="J1799" i="3"/>
  <c r="O1798" i="3"/>
  <c r="M1798" i="3"/>
  <c r="N1798" i="3" s="1"/>
  <c r="L1798" i="3"/>
  <c r="K1798" i="3"/>
  <c r="J1798" i="3"/>
  <c r="O1797" i="3"/>
  <c r="N1797" i="3"/>
  <c r="M1797" i="3"/>
  <c r="L1797" i="3"/>
  <c r="K1797" i="3"/>
  <c r="J1797" i="3"/>
  <c r="O1796" i="3"/>
  <c r="M1796" i="3"/>
  <c r="N1796" i="3" s="1"/>
  <c r="L1796" i="3"/>
  <c r="K1796" i="3"/>
  <c r="J1796" i="3"/>
  <c r="O1795" i="3"/>
  <c r="M1795" i="3"/>
  <c r="N1795" i="3" s="1"/>
  <c r="L1795" i="3"/>
  <c r="K1795" i="3"/>
  <c r="J1795" i="3"/>
  <c r="O1794" i="3"/>
  <c r="M1794" i="3"/>
  <c r="N1794" i="3" s="1"/>
  <c r="L1794" i="3"/>
  <c r="K1794" i="3"/>
  <c r="J1794" i="3"/>
  <c r="O1793" i="3"/>
  <c r="M1793" i="3"/>
  <c r="N1793" i="3" s="1"/>
  <c r="L1793" i="3"/>
  <c r="K1793" i="3"/>
  <c r="J1793" i="3"/>
  <c r="O1792" i="3"/>
  <c r="M1792" i="3"/>
  <c r="N1792" i="3" s="1"/>
  <c r="L1792" i="3"/>
  <c r="K1792" i="3"/>
  <c r="J1792" i="3"/>
  <c r="O1791" i="3"/>
  <c r="N1791" i="3"/>
  <c r="M1791" i="3"/>
  <c r="L1791" i="3"/>
  <c r="K1791" i="3"/>
  <c r="J1791" i="3"/>
  <c r="O1790" i="3"/>
  <c r="M1790" i="3"/>
  <c r="N1790" i="3" s="1"/>
  <c r="L1790" i="3"/>
  <c r="K1790" i="3"/>
  <c r="J1790" i="3"/>
  <c r="O1789" i="3"/>
  <c r="N1789" i="3"/>
  <c r="M1789" i="3"/>
  <c r="L1789" i="3"/>
  <c r="K1789" i="3"/>
  <c r="J1789" i="3"/>
  <c r="O1788" i="3"/>
  <c r="M1788" i="3"/>
  <c r="N1788" i="3" s="1"/>
  <c r="L1788" i="3"/>
  <c r="K1788" i="3"/>
  <c r="J1788" i="3"/>
  <c r="O1787" i="3"/>
  <c r="M1787" i="3"/>
  <c r="N1787" i="3" s="1"/>
  <c r="L1787" i="3"/>
  <c r="K1787" i="3"/>
  <c r="J1787" i="3"/>
  <c r="O1786" i="3"/>
  <c r="M1786" i="3"/>
  <c r="N1786" i="3" s="1"/>
  <c r="L1786" i="3"/>
  <c r="K1786" i="3"/>
  <c r="J1786" i="3"/>
  <c r="O1785" i="3"/>
  <c r="M1785" i="3"/>
  <c r="N1785" i="3" s="1"/>
  <c r="L1785" i="3"/>
  <c r="K1785" i="3"/>
  <c r="J1785" i="3"/>
  <c r="O1784" i="3"/>
  <c r="M1784" i="3"/>
  <c r="N1784" i="3" s="1"/>
  <c r="L1784" i="3"/>
  <c r="K1784" i="3"/>
  <c r="J1784" i="3"/>
  <c r="O1783" i="3"/>
  <c r="N1783" i="3"/>
  <c r="M1783" i="3"/>
  <c r="L1783" i="3"/>
  <c r="K1783" i="3"/>
  <c r="J1783" i="3"/>
  <c r="O1782" i="3"/>
  <c r="M1782" i="3"/>
  <c r="N1782" i="3" s="1"/>
  <c r="L1782" i="3"/>
  <c r="K1782" i="3"/>
  <c r="J1782" i="3"/>
  <c r="O1781" i="3"/>
  <c r="N1781" i="3"/>
  <c r="M1781" i="3"/>
  <c r="L1781" i="3"/>
  <c r="K1781" i="3"/>
  <c r="J1781" i="3"/>
  <c r="O1780" i="3"/>
  <c r="M1780" i="3"/>
  <c r="N1780" i="3" s="1"/>
  <c r="L1780" i="3"/>
  <c r="K1780" i="3"/>
  <c r="J1780" i="3"/>
  <c r="O1779" i="3"/>
  <c r="M1779" i="3"/>
  <c r="N1779" i="3" s="1"/>
  <c r="L1779" i="3"/>
  <c r="K1779" i="3"/>
  <c r="J1779" i="3"/>
  <c r="O1778" i="3"/>
  <c r="M1778" i="3"/>
  <c r="N1778" i="3" s="1"/>
  <c r="L1778" i="3"/>
  <c r="K1778" i="3"/>
  <c r="J1778" i="3"/>
  <c r="O1777" i="3"/>
  <c r="M1777" i="3"/>
  <c r="N1777" i="3" s="1"/>
  <c r="L1777" i="3"/>
  <c r="K1777" i="3"/>
  <c r="J1777" i="3"/>
  <c r="O1776" i="3"/>
  <c r="M1776" i="3"/>
  <c r="N1776" i="3" s="1"/>
  <c r="L1776" i="3"/>
  <c r="K1776" i="3"/>
  <c r="J1776" i="3"/>
  <c r="O1775" i="3"/>
  <c r="N1775" i="3"/>
  <c r="M1775" i="3"/>
  <c r="L1775" i="3"/>
  <c r="K1775" i="3"/>
  <c r="J1775" i="3"/>
  <c r="O1774" i="3"/>
  <c r="M1774" i="3"/>
  <c r="N1774" i="3" s="1"/>
  <c r="L1774" i="3"/>
  <c r="K1774" i="3"/>
  <c r="J1774" i="3"/>
  <c r="O1773" i="3"/>
  <c r="N1773" i="3"/>
  <c r="M1773" i="3"/>
  <c r="L1773" i="3"/>
  <c r="K1773" i="3"/>
  <c r="J1773" i="3"/>
  <c r="O1772" i="3"/>
  <c r="M1772" i="3"/>
  <c r="N1772" i="3" s="1"/>
  <c r="L1772" i="3"/>
  <c r="K1772" i="3"/>
  <c r="J1772" i="3"/>
  <c r="O1771" i="3"/>
  <c r="M1771" i="3"/>
  <c r="N1771" i="3" s="1"/>
  <c r="L1771" i="3"/>
  <c r="K1771" i="3"/>
  <c r="J1771" i="3"/>
  <c r="O1770" i="3"/>
  <c r="M1770" i="3"/>
  <c r="N1770" i="3" s="1"/>
  <c r="L1770" i="3"/>
  <c r="K1770" i="3"/>
  <c r="J1770" i="3"/>
  <c r="O1769" i="3"/>
  <c r="M1769" i="3"/>
  <c r="N1769" i="3" s="1"/>
  <c r="L1769" i="3"/>
  <c r="K1769" i="3"/>
  <c r="J1769" i="3"/>
  <c r="O1768" i="3"/>
  <c r="M1768" i="3"/>
  <c r="N1768" i="3" s="1"/>
  <c r="L1768" i="3"/>
  <c r="K1768" i="3"/>
  <c r="J1768" i="3"/>
  <c r="O1767" i="3"/>
  <c r="N1767" i="3"/>
  <c r="M1767" i="3"/>
  <c r="L1767" i="3"/>
  <c r="K1767" i="3"/>
  <c r="J1767" i="3"/>
  <c r="O1766" i="3"/>
  <c r="M1766" i="3"/>
  <c r="N1766" i="3" s="1"/>
  <c r="L1766" i="3"/>
  <c r="K1766" i="3"/>
  <c r="J1766" i="3"/>
  <c r="O1765" i="3"/>
  <c r="N1765" i="3"/>
  <c r="M1765" i="3"/>
  <c r="L1765" i="3"/>
  <c r="K1765" i="3"/>
  <c r="J1765" i="3"/>
  <c r="O1764" i="3"/>
  <c r="M1764" i="3"/>
  <c r="N1764" i="3" s="1"/>
  <c r="L1764" i="3"/>
  <c r="K1764" i="3"/>
  <c r="J1764" i="3"/>
  <c r="O1763" i="3"/>
  <c r="M1763" i="3"/>
  <c r="N1763" i="3" s="1"/>
  <c r="L1763" i="3"/>
  <c r="K1763" i="3"/>
  <c r="J1763" i="3"/>
  <c r="O1762" i="3"/>
  <c r="M1762" i="3"/>
  <c r="N1762" i="3" s="1"/>
  <c r="L1762" i="3"/>
  <c r="K1762" i="3"/>
  <c r="J1762" i="3"/>
  <c r="O1761" i="3"/>
  <c r="M1761" i="3"/>
  <c r="N1761" i="3" s="1"/>
  <c r="L1761" i="3"/>
  <c r="K1761" i="3"/>
  <c r="J1761" i="3"/>
  <c r="O1760" i="3"/>
  <c r="M1760" i="3"/>
  <c r="N1760" i="3" s="1"/>
  <c r="L1760" i="3"/>
  <c r="K1760" i="3"/>
  <c r="J1760" i="3"/>
  <c r="O1759" i="3"/>
  <c r="N1759" i="3"/>
  <c r="M1759" i="3"/>
  <c r="L1759" i="3"/>
  <c r="K1759" i="3"/>
  <c r="J1759" i="3"/>
  <c r="O1758" i="3"/>
  <c r="M1758" i="3"/>
  <c r="N1758" i="3" s="1"/>
  <c r="L1758" i="3"/>
  <c r="K1758" i="3"/>
  <c r="J1758" i="3"/>
  <c r="O1757" i="3"/>
  <c r="N1757" i="3"/>
  <c r="M1757" i="3"/>
  <c r="L1757" i="3"/>
  <c r="K1757" i="3"/>
  <c r="J1757" i="3"/>
  <c r="O1756" i="3"/>
  <c r="M1756" i="3"/>
  <c r="N1756" i="3" s="1"/>
  <c r="L1756" i="3"/>
  <c r="K1756" i="3"/>
  <c r="J1756" i="3"/>
  <c r="O1755" i="3"/>
  <c r="M1755" i="3"/>
  <c r="N1755" i="3" s="1"/>
  <c r="L1755" i="3"/>
  <c r="K1755" i="3"/>
  <c r="J1755" i="3"/>
  <c r="O1754" i="3"/>
  <c r="M1754" i="3"/>
  <c r="N1754" i="3" s="1"/>
  <c r="L1754" i="3"/>
  <c r="K1754" i="3"/>
  <c r="J1754" i="3"/>
  <c r="O1753" i="3"/>
  <c r="M1753" i="3"/>
  <c r="N1753" i="3" s="1"/>
  <c r="L1753" i="3"/>
  <c r="K1753" i="3"/>
  <c r="J1753" i="3"/>
  <c r="O1752" i="3"/>
  <c r="M1752" i="3"/>
  <c r="N1752" i="3" s="1"/>
  <c r="L1752" i="3"/>
  <c r="K1752" i="3"/>
  <c r="J1752" i="3"/>
  <c r="O1751" i="3"/>
  <c r="N1751" i="3"/>
  <c r="M1751" i="3"/>
  <c r="L1751" i="3"/>
  <c r="K1751" i="3"/>
  <c r="J1751" i="3"/>
  <c r="O1750" i="3"/>
  <c r="M1750" i="3"/>
  <c r="N1750" i="3" s="1"/>
  <c r="L1750" i="3"/>
  <c r="K1750" i="3"/>
  <c r="J1750" i="3"/>
  <c r="O1749" i="3"/>
  <c r="N1749" i="3"/>
  <c r="M1749" i="3"/>
  <c r="L1749" i="3"/>
  <c r="K1749" i="3"/>
  <c r="J1749" i="3"/>
  <c r="O1748" i="3"/>
  <c r="M1748" i="3"/>
  <c r="N1748" i="3" s="1"/>
  <c r="L1748" i="3"/>
  <c r="K1748" i="3"/>
  <c r="J1748" i="3"/>
  <c r="O1747" i="3"/>
  <c r="M1747" i="3"/>
  <c r="N1747" i="3" s="1"/>
  <c r="L1747" i="3"/>
  <c r="K1747" i="3"/>
  <c r="J1747" i="3"/>
  <c r="O1746" i="3"/>
  <c r="M1746" i="3"/>
  <c r="N1746" i="3" s="1"/>
  <c r="L1746" i="3"/>
  <c r="K1746" i="3"/>
  <c r="J1746" i="3"/>
  <c r="O1745" i="3"/>
  <c r="M1745" i="3"/>
  <c r="N1745" i="3" s="1"/>
  <c r="L1745" i="3"/>
  <c r="K1745" i="3"/>
  <c r="J1745" i="3"/>
  <c r="O1744" i="3"/>
  <c r="M1744" i="3"/>
  <c r="N1744" i="3" s="1"/>
  <c r="L1744" i="3"/>
  <c r="K1744" i="3"/>
  <c r="J1744" i="3"/>
  <c r="O1743" i="3"/>
  <c r="N1743" i="3"/>
  <c r="M1743" i="3"/>
  <c r="L1743" i="3"/>
  <c r="K1743" i="3"/>
  <c r="J1743" i="3"/>
  <c r="O1742" i="3"/>
  <c r="M1742" i="3"/>
  <c r="N1742" i="3" s="1"/>
  <c r="L1742" i="3"/>
  <c r="K1742" i="3"/>
  <c r="J1742" i="3"/>
  <c r="O1741" i="3"/>
  <c r="N1741" i="3"/>
  <c r="M1741" i="3"/>
  <c r="L1741" i="3"/>
  <c r="K1741" i="3"/>
  <c r="J1741" i="3"/>
  <c r="O1740" i="3"/>
  <c r="M1740" i="3"/>
  <c r="N1740" i="3" s="1"/>
  <c r="L1740" i="3"/>
  <c r="K1740" i="3"/>
  <c r="J1740" i="3"/>
  <c r="O1739" i="3"/>
  <c r="M1739" i="3"/>
  <c r="N1739" i="3" s="1"/>
  <c r="L1739" i="3"/>
  <c r="K1739" i="3"/>
  <c r="J1739" i="3"/>
  <c r="O1738" i="3"/>
  <c r="M1738" i="3"/>
  <c r="N1738" i="3" s="1"/>
  <c r="L1738" i="3"/>
  <c r="K1738" i="3"/>
  <c r="J1738" i="3"/>
  <c r="O1737" i="3"/>
  <c r="M1737" i="3"/>
  <c r="N1737" i="3" s="1"/>
  <c r="L1737" i="3"/>
  <c r="K1737" i="3"/>
  <c r="J1737" i="3"/>
  <c r="O1736" i="3"/>
  <c r="M1736" i="3"/>
  <c r="N1736" i="3" s="1"/>
  <c r="L1736" i="3"/>
  <c r="K1736" i="3"/>
  <c r="J1736" i="3"/>
  <c r="O1735" i="3"/>
  <c r="N1735" i="3"/>
  <c r="M1735" i="3"/>
  <c r="L1735" i="3"/>
  <c r="K1735" i="3"/>
  <c r="J1735" i="3"/>
  <c r="O1734" i="3"/>
  <c r="M1734" i="3"/>
  <c r="N1734" i="3" s="1"/>
  <c r="L1734" i="3"/>
  <c r="K1734" i="3"/>
  <c r="J1734" i="3"/>
  <c r="O1733" i="3"/>
  <c r="N1733" i="3"/>
  <c r="M1733" i="3"/>
  <c r="L1733" i="3"/>
  <c r="K1733" i="3"/>
  <c r="J1733" i="3"/>
  <c r="O1732" i="3"/>
  <c r="M1732" i="3"/>
  <c r="N1732" i="3" s="1"/>
  <c r="L1732" i="3"/>
  <c r="K1732" i="3"/>
  <c r="J1732" i="3"/>
  <c r="O1731" i="3"/>
  <c r="M1731" i="3"/>
  <c r="N1731" i="3" s="1"/>
  <c r="L1731" i="3"/>
  <c r="K1731" i="3"/>
  <c r="J1731" i="3"/>
  <c r="O1730" i="3"/>
  <c r="M1730" i="3"/>
  <c r="N1730" i="3" s="1"/>
  <c r="L1730" i="3"/>
  <c r="K1730" i="3"/>
  <c r="J1730" i="3"/>
  <c r="O1729" i="3"/>
  <c r="M1729" i="3"/>
  <c r="N1729" i="3" s="1"/>
  <c r="L1729" i="3"/>
  <c r="K1729" i="3"/>
  <c r="J1729" i="3"/>
  <c r="O1728" i="3"/>
  <c r="M1728" i="3"/>
  <c r="N1728" i="3" s="1"/>
  <c r="L1728" i="3"/>
  <c r="K1728" i="3"/>
  <c r="J1728" i="3"/>
  <c r="O1727" i="3"/>
  <c r="N1727" i="3"/>
  <c r="M1727" i="3"/>
  <c r="L1727" i="3"/>
  <c r="K1727" i="3"/>
  <c r="J1727" i="3"/>
  <c r="O1726" i="3"/>
  <c r="M1726" i="3"/>
  <c r="N1726" i="3" s="1"/>
  <c r="L1726" i="3"/>
  <c r="K1726" i="3"/>
  <c r="J1726" i="3"/>
  <c r="O1725" i="3"/>
  <c r="N1725" i="3"/>
  <c r="M1725" i="3"/>
  <c r="L1725" i="3"/>
  <c r="K1725" i="3"/>
  <c r="J1725" i="3"/>
  <c r="O1724" i="3"/>
  <c r="M1724" i="3"/>
  <c r="N1724" i="3" s="1"/>
  <c r="L1724" i="3"/>
  <c r="K1724" i="3"/>
  <c r="J1724" i="3"/>
  <c r="O1723" i="3"/>
  <c r="M1723" i="3"/>
  <c r="N1723" i="3" s="1"/>
  <c r="L1723" i="3"/>
  <c r="K1723" i="3"/>
  <c r="J1723" i="3"/>
  <c r="O1722" i="3"/>
  <c r="M1722" i="3"/>
  <c r="N1722" i="3" s="1"/>
  <c r="L1722" i="3"/>
  <c r="K1722" i="3"/>
  <c r="J1722" i="3"/>
  <c r="O1721" i="3"/>
  <c r="M1721" i="3"/>
  <c r="N1721" i="3" s="1"/>
  <c r="L1721" i="3"/>
  <c r="K1721" i="3"/>
  <c r="J1721" i="3"/>
  <c r="O1720" i="3"/>
  <c r="M1720" i="3"/>
  <c r="N1720" i="3" s="1"/>
  <c r="L1720" i="3"/>
  <c r="K1720" i="3"/>
  <c r="J1720" i="3"/>
  <c r="O1719" i="3"/>
  <c r="N1719" i="3"/>
  <c r="M1719" i="3"/>
  <c r="L1719" i="3"/>
  <c r="K1719" i="3"/>
  <c r="J1719" i="3"/>
  <c r="O1718" i="3"/>
  <c r="M1718" i="3"/>
  <c r="N1718" i="3" s="1"/>
  <c r="L1718" i="3"/>
  <c r="K1718" i="3"/>
  <c r="J1718" i="3"/>
  <c r="O1717" i="3"/>
  <c r="N1717" i="3"/>
  <c r="M1717" i="3"/>
  <c r="L1717" i="3"/>
  <c r="K1717" i="3"/>
  <c r="J1717" i="3"/>
  <c r="O1716" i="3"/>
  <c r="M1716" i="3"/>
  <c r="N1716" i="3" s="1"/>
  <c r="L1716" i="3"/>
  <c r="K1716" i="3"/>
  <c r="J1716" i="3"/>
  <c r="O1715" i="3"/>
  <c r="M1715" i="3"/>
  <c r="N1715" i="3" s="1"/>
  <c r="L1715" i="3"/>
  <c r="K1715" i="3"/>
  <c r="J1715" i="3"/>
  <c r="O1714" i="3"/>
  <c r="M1714" i="3"/>
  <c r="N1714" i="3" s="1"/>
  <c r="L1714" i="3"/>
  <c r="K1714" i="3"/>
  <c r="J1714" i="3"/>
  <c r="O1713" i="3"/>
  <c r="M1713" i="3"/>
  <c r="N1713" i="3" s="1"/>
  <c r="L1713" i="3"/>
  <c r="K1713" i="3"/>
  <c r="J1713" i="3"/>
  <c r="O1712" i="3"/>
  <c r="M1712" i="3"/>
  <c r="N1712" i="3" s="1"/>
  <c r="L1712" i="3"/>
  <c r="K1712" i="3"/>
  <c r="J1712" i="3"/>
  <c r="O1711" i="3"/>
  <c r="N1711" i="3"/>
  <c r="M1711" i="3"/>
  <c r="L1711" i="3"/>
  <c r="K1711" i="3"/>
  <c r="J1711" i="3"/>
  <c r="O1710" i="3"/>
  <c r="M1710" i="3"/>
  <c r="N1710" i="3" s="1"/>
  <c r="L1710" i="3"/>
  <c r="K1710" i="3"/>
  <c r="J1710" i="3"/>
  <c r="O1709" i="3"/>
  <c r="N1709" i="3"/>
  <c r="M1709" i="3"/>
  <c r="L1709" i="3"/>
  <c r="K1709" i="3"/>
  <c r="J1709" i="3"/>
  <c r="O1708" i="3"/>
  <c r="M1708" i="3"/>
  <c r="N1708" i="3" s="1"/>
  <c r="L1708" i="3"/>
  <c r="K1708" i="3"/>
  <c r="J1708" i="3"/>
  <c r="O1707" i="3"/>
  <c r="M1707" i="3"/>
  <c r="N1707" i="3" s="1"/>
  <c r="L1707" i="3"/>
  <c r="K1707" i="3"/>
  <c r="J1707" i="3"/>
  <c r="O1706" i="3"/>
  <c r="M1706" i="3"/>
  <c r="N1706" i="3" s="1"/>
  <c r="L1706" i="3"/>
  <c r="K1706" i="3"/>
  <c r="J1706" i="3"/>
  <c r="O1705" i="3"/>
  <c r="M1705" i="3"/>
  <c r="N1705" i="3" s="1"/>
  <c r="L1705" i="3"/>
  <c r="K1705" i="3"/>
  <c r="J1705" i="3"/>
  <c r="O1704" i="3"/>
  <c r="M1704" i="3"/>
  <c r="N1704" i="3" s="1"/>
  <c r="L1704" i="3"/>
  <c r="K1704" i="3"/>
  <c r="J1704" i="3"/>
  <c r="O1703" i="3"/>
  <c r="N1703" i="3"/>
  <c r="M1703" i="3"/>
  <c r="L1703" i="3"/>
  <c r="K1703" i="3"/>
  <c r="J1703" i="3"/>
  <c r="O1702" i="3"/>
  <c r="M1702" i="3"/>
  <c r="N1702" i="3" s="1"/>
  <c r="L1702" i="3"/>
  <c r="K1702" i="3"/>
  <c r="J1702" i="3"/>
  <c r="O1701" i="3"/>
  <c r="N1701" i="3"/>
  <c r="M1701" i="3"/>
  <c r="L1701" i="3"/>
  <c r="K1701" i="3"/>
  <c r="J1701" i="3"/>
  <c r="O1700" i="3"/>
  <c r="M1700" i="3"/>
  <c r="N1700" i="3" s="1"/>
  <c r="L1700" i="3"/>
  <c r="K1700" i="3"/>
  <c r="J1700" i="3"/>
  <c r="O1699" i="3"/>
  <c r="M1699" i="3"/>
  <c r="N1699" i="3" s="1"/>
  <c r="L1699" i="3"/>
  <c r="K1699" i="3"/>
  <c r="J1699" i="3"/>
  <c r="O1698" i="3"/>
  <c r="M1698" i="3"/>
  <c r="N1698" i="3" s="1"/>
  <c r="L1698" i="3"/>
  <c r="K1698" i="3"/>
  <c r="J1698" i="3"/>
  <c r="O1697" i="3"/>
  <c r="M1697" i="3"/>
  <c r="N1697" i="3" s="1"/>
  <c r="L1697" i="3"/>
  <c r="K1697" i="3"/>
  <c r="J1697" i="3"/>
  <c r="O1696" i="3"/>
  <c r="M1696" i="3"/>
  <c r="N1696" i="3" s="1"/>
  <c r="L1696" i="3"/>
  <c r="K1696" i="3"/>
  <c r="J1696" i="3"/>
  <c r="O1695" i="3"/>
  <c r="N1695" i="3"/>
  <c r="M1695" i="3"/>
  <c r="L1695" i="3"/>
  <c r="K1695" i="3"/>
  <c r="J1695" i="3"/>
  <c r="O1694" i="3"/>
  <c r="M1694" i="3"/>
  <c r="N1694" i="3" s="1"/>
  <c r="L1694" i="3"/>
  <c r="K1694" i="3"/>
  <c r="J1694" i="3"/>
  <c r="O1693" i="3"/>
  <c r="N1693" i="3"/>
  <c r="M1693" i="3"/>
  <c r="L1693" i="3"/>
  <c r="K1693" i="3"/>
  <c r="J1693" i="3"/>
  <c r="O1692" i="3"/>
  <c r="M1692" i="3"/>
  <c r="N1692" i="3" s="1"/>
  <c r="L1692" i="3"/>
  <c r="K1692" i="3"/>
  <c r="J1692" i="3"/>
  <c r="O1691" i="3"/>
  <c r="M1691" i="3"/>
  <c r="N1691" i="3" s="1"/>
  <c r="L1691" i="3"/>
  <c r="K1691" i="3"/>
  <c r="J1691" i="3"/>
  <c r="O1690" i="3"/>
  <c r="M1690" i="3"/>
  <c r="N1690" i="3" s="1"/>
  <c r="L1690" i="3"/>
  <c r="K1690" i="3"/>
  <c r="J1690" i="3"/>
  <c r="O1689" i="3"/>
  <c r="M1689" i="3"/>
  <c r="N1689" i="3" s="1"/>
  <c r="L1689" i="3"/>
  <c r="K1689" i="3"/>
  <c r="J1689" i="3"/>
  <c r="O1688" i="3"/>
  <c r="M1688" i="3"/>
  <c r="N1688" i="3" s="1"/>
  <c r="L1688" i="3"/>
  <c r="K1688" i="3"/>
  <c r="J1688" i="3"/>
  <c r="O1687" i="3"/>
  <c r="N1687" i="3"/>
  <c r="M1687" i="3"/>
  <c r="L1687" i="3"/>
  <c r="K1687" i="3"/>
  <c r="J1687" i="3"/>
  <c r="O1686" i="3"/>
  <c r="M1686" i="3"/>
  <c r="N1686" i="3" s="1"/>
  <c r="L1686" i="3"/>
  <c r="K1686" i="3"/>
  <c r="J1686" i="3"/>
  <c r="O1685" i="3"/>
  <c r="N1685" i="3"/>
  <c r="M1685" i="3"/>
  <c r="L1685" i="3"/>
  <c r="K1685" i="3"/>
  <c r="J1685" i="3"/>
  <c r="O1684" i="3"/>
  <c r="M1684" i="3"/>
  <c r="N1684" i="3" s="1"/>
  <c r="L1684" i="3"/>
  <c r="K1684" i="3"/>
  <c r="J1684" i="3"/>
  <c r="O1683" i="3"/>
  <c r="M1683" i="3"/>
  <c r="N1683" i="3" s="1"/>
  <c r="L1683" i="3"/>
  <c r="K1683" i="3"/>
  <c r="J1683" i="3"/>
  <c r="O1682" i="3"/>
  <c r="M1682" i="3"/>
  <c r="N1682" i="3" s="1"/>
  <c r="L1682" i="3"/>
  <c r="K1682" i="3"/>
  <c r="J1682" i="3"/>
  <c r="O1681" i="3"/>
  <c r="M1681" i="3"/>
  <c r="N1681" i="3" s="1"/>
  <c r="L1681" i="3"/>
  <c r="K1681" i="3"/>
  <c r="J1681" i="3"/>
  <c r="O1680" i="3"/>
  <c r="M1680" i="3"/>
  <c r="N1680" i="3" s="1"/>
  <c r="L1680" i="3"/>
  <c r="K1680" i="3"/>
  <c r="J1680" i="3"/>
  <c r="O1679" i="3"/>
  <c r="N1679" i="3"/>
  <c r="M1679" i="3"/>
  <c r="L1679" i="3"/>
  <c r="K1679" i="3"/>
  <c r="J1679" i="3"/>
  <c r="O1678" i="3"/>
  <c r="M1678" i="3"/>
  <c r="N1678" i="3" s="1"/>
  <c r="L1678" i="3"/>
  <c r="K1678" i="3"/>
  <c r="J1678" i="3"/>
  <c r="O1677" i="3"/>
  <c r="N1677" i="3"/>
  <c r="M1677" i="3"/>
  <c r="L1677" i="3"/>
  <c r="K1677" i="3"/>
  <c r="J1677" i="3"/>
  <c r="O1676" i="3"/>
  <c r="M1676" i="3"/>
  <c r="N1676" i="3" s="1"/>
  <c r="L1676" i="3"/>
  <c r="K1676" i="3"/>
  <c r="J1676" i="3"/>
  <c r="O1675" i="3"/>
  <c r="M1675" i="3"/>
  <c r="N1675" i="3" s="1"/>
  <c r="L1675" i="3"/>
  <c r="K1675" i="3"/>
  <c r="J1675" i="3"/>
  <c r="O1674" i="3"/>
  <c r="M1674" i="3"/>
  <c r="N1674" i="3" s="1"/>
  <c r="L1674" i="3"/>
  <c r="K1674" i="3"/>
  <c r="J1674" i="3"/>
  <c r="O1673" i="3"/>
  <c r="M1673" i="3"/>
  <c r="N1673" i="3" s="1"/>
  <c r="L1673" i="3"/>
  <c r="K1673" i="3"/>
  <c r="J1673" i="3"/>
  <c r="O1672" i="3"/>
  <c r="M1672" i="3"/>
  <c r="N1672" i="3" s="1"/>
  <c r="L1672" i="3"/>
  <c r="K1672" i="3"/>
  <c r="J1672" i="3"/>
  <c r="O1671" i="3"/>
  <c r="N1671" i="3"/>
  <c r="M1671" i="3"/>
  <c r="L1671" i="3"/>
  <c r="K1671" i="3"/>
  <c r="J1671" i="3"/>
  <c r="O1670" i="3"/>
  <c r="M1670" i="3"/>
  <c r="N1670" i="3" s="1"/>
  <c r="L1670" i="3"/>
  <c r="K1670" i="3"/>
  <c r="J1670" i="3"/>
  <c r="O1669" i="3"/>
  <c r="N1669" i="3"/>
  <c r="M1669" i="3"/>
  <c r="L1669" i="3"/>
  <c r="K1669" i="3"/>
  <c r="J1669" i="3"/>
  <c r="O1668" i="3"/>
  <c r="M1668" i="3"/>
  <c r="N1668" i="3" s="1"/>
  <c r="L1668" i="3"/>
  <c r="K1668" i="3"/>
  <c r="J1668" i="3"/>
  <c r="O1667" i="3"/>
  <c r="M1667" i="3"/>
  <c r="N1667" i="3" s="1"/>
  <c r="L1667" i="3"/>
  <c r="K1667" i="3"/>
  <c r="J1667" i="3"/>
  <c r="O1666" i="3"/>
  <c r="M1666" i="3"/>
  <c r="N1666" i="3" s="1"/>
  <c r="L1666" i="3"/>
  <c r="K1666" i="3"/>
  <c r="J1666" i="3"/>
  <c r="O1665" i="3"/>
  <c r="M1665" i="3"/>
  <c r="N1665" i="3" s="1"/>
  <c r="L1665" i="3"/>
  <c r="K1665" i="3"/>
  <c r="J1665" i="3"/>
  <c r="O1664" i="3"/>
  <c r="M1664" i="3"/>
  <c r="N1664" i="3" s="1"/>
  <c r="L1664" i="3"/>
  <c r="K1664" i="3"/>
  <c r="J1664" i="3"/>
  <c r="O1663" i="3"/>
  <c r="N1663" i="3"/>
  <c r="M1663" i="3"/>
  <c r="L1663" i="3"/>
  <c r="K1663" i="3"/>
  <c r="J1663" i="3"/>
  <c r="O1662" i="3"/>
  <c r="M1662" i="3"/>
  <c r="N1662" i="3" s="1"/>
  <c r="L1662" i="3"/>
  <c r="K1662" i="3"/>
  <c r="J1662" i="3"/>
  <c r="O1661" i="3"/>
  <c r="N1661" i="3"/>
  <c r="M1661" i="3"/>
  <c r="L1661" i="3"/>
  <c r="K1661" i="3"/>
  <c r="J1661" i="3"/>
  <c r="O1660" i="3"/>
  <c r="M1660" i="3"/>
  <c r="N1660" i="3" s="1"/>
  <c r="L1660" i="3"/>
  <c r="K1660" i="3"/>
  <c r="J1660" i="3"/>
  <c r="O1659" i="3"/>
  <c r="M1659" i="3"/>
  <c r="N1659" i="3" s="1"/>
  <c r="L1659" i="3"/>
  <c r="K1659" i="3"/>
  <c r="J1659" i="3"/>
  <c r="O1658" i="3"/>
  <c r="M1658" i="3"/>
  <c r="N1658" i="3" s="1"/>
  <c r="L1658" i="3"/>
  <c r="K1658" i="3"/>
  <c r="J1658" i="3"/>
  <c r="O1657" i="3"/>
  <c r="M1657" i="3"/>
  <c r="N1657" i="3" s="1"/>
  <c r="L1657" i="3"/>
  <c r="K1657" i="3"/>
  <c r="J1657" i="3"/>
  <c r="O1656" i="3"/>
  <c r="M1656" i="3"/>
  <c r="N1656" i="3" s="1"/>
  <c r="L1656" i="3"/>
  <c r="K1656" i="3"/>
  <c r="J1656" i="3"/>
  <c r="O1655" i="3"/>
  <c r="N1655" i="3"/>
  <c r="M1655" i="3"/>
  <c r="L1655" i="3"/>
  <c r="K1655" i="3"/>
  <c r="J1655" i="3"/>
  <c r="O1654" i="3"/>
  <c r="M1654" i="3"/>
  <c r="N1654" i="3" s="1"/>
  <c r="L1654" i="3"/>
  <c r="K1654" i="3"/>
  <c r="J1654" i="3"/>
  <c r="O1653" i="3"/>
  <c r="N1653" i="3"/>
  <c r="M1653" i="3"/>
  <c r="L1653" i="3"/>
  <c r="K1653" i="3"/>
  <c r="J1653" i="3"/>
  <c r="O1652" i="3"/>
  <c r="M1652" i="3"/>
  <c r="N1652" i="3" s="1"/>
  <c r="L1652" i="3"/>
  <c r="K1652" i="3"/>
  <c r="J1652" i="3"/>
  <c r="O1651" i="3"/>
  <c r="M1651" i="3"/>
  <c r="N1651" i="3" s="1"/>
  <c r="L1651" i="3"/>
  <c r="K1651" i="3"/>
  <c r="J1651" i="3"/>
  <c r="O1650" i="3"/>
  <c r="M1650" i="3"/>
  <c r="N1650" i="3" s="1"/>
  <c r="L1650" i="3"/>
  <c r="K1650" i="3"/>
  <c r="J1650" i="3"/>
  <c r="O1649" i="3"/>
  <c r="M1649" i="3"/>
  <c r="N1649" i="3" s="1"/>
  <c r="L1649" i="3"/>
  <c r="K1649" i="3"/>
  <c r="J1649" i="3"/>
  <c r="O1648" i="3"/>
  <c r="M1648" i="3"/>
  <c r="N1648" i="3" s="1"/>
  <c r="L1648" i="3"/>
  <c r="K1648" i="3"/>
  <c r="J1648" i="3"/>
  <c r="O1647" i="3"/>
  <c r="N1647" i="3"/>
  <c r="M1647" i="3"/>
  <c r="L1647" i="3"/>
  <c r="K1647" i="3"/>
  <c r="J1647" i="3"/>
  <c r="O1646" i="3"/>
  <c r="M1646" i="3"/>
  <c r="N1646" i="3" s="1"/>
  <c r="L1646" i="3"/>
  <c r="K1646" i="3"/>
  <c r="J1646" i="3"/>
  <c r="O1645" i="3"/>
  <c r="N1645" i="3"/>
  <c r="M1645" i="3"/>
  <c r="L1645" i="3"/>
  <c r="K1645" i="3"/>
  <c r="J1645" i="3"/>
  <c r="O1644" i="3"/>
  <c r="M1644" i="3"/>
  <c r="N1644" i="3" s="1"/>
  <c r="L1644" i="3"/>
  <c r="K1644" i="3"/>
  <c r="J1644" i="3"/>
  <c r="O1643" i="3"/>
  <c r="M1643" i="3"/>
  <c r="N1643" i="3" s="1"/>
  <c r="L1643" i="3"/>
  <c r="K1643" i="3"/>
  <c r="J1643" i="3"/>
  <c r="O1642" i="3"/>
  <c r="M1642" i="3"/>
  <c r="N1642" i="3" s="1"/>
  <c r="L1642" i="3"/>
  <c r="K1642" i="3"/>
  <c r="J1642" i="3"/>
  <c r="O1641" i="3"/>
  <c r="M1641" i="3"/>
  <c r="N1641" i="3" s="1"/>
  <c r="L1641" i="3"/>
  <c r="K1641" i="3"/>
  <c r="J1641" i="3"/>
  <c r="O1640" i="3"/>
  <c r="M1640" i="3"/>
  <c r="N1640" i="3" s="1"/>
  <c r="L1640" i="3"/>
  <c r="K1640" i="3"/>
  <c r="J1640" i="3"/>
  <c r="O1639" i="3"/>
  <c r="N1639" i="3"/>
  <c r="M1639" i="3"/>
  <c r="L1639" i="3"/>
  <c r="K1639" i="3"/>
  <c r="J1639" i="3"/>
  <c r="O1638" i="3"/>
  <c r="M1638" i="3"/>
  <c r="N1638" i="3" s="1"/>
  <c r="L1638" i="3"/>
  <c r="K1638" i="3"/>
  <c r="J1638" i="3"/>
  <c r="O1637" i="3"/>
  <c r="N1637" i="3"/>
  <c r="M1637" i="3"/>
  <c r="L1637" i="3"/>
  <c r="K1637" i="3"/>
  <c r="J1637" i="3"/>
  <c r="O1636" i="3"/>
  <c r="M1636" i="3"/>
  <c r="N1636" i="3" s="1"/>
  <c r="L1636" i="3"/>
  <c r="K1636" i="3"/>
  <c r="J1636" i="3"/>
  <c r="O1635" i="3"/>
  <c r="M1635" i="3"/>
  <c r="N1635" i="3" s="1"/>
  <c r="L1635" i="3"/>
  <c r="K1635" i="3"/>
  <c r="J1635" i="3"/>
  <c r="O1634" i="3"/>
  <c r="M1634" i="3"/>
  <c r="N1634" i="3" s="1"/>
  <c r="L1634" i="3"/>
  <c r="K1634" i="3"/>
  <c r="J1634" i="3"/>
  <c r="O1633" i="3"/>
  <c r="M1633" i="3"/>
  <c r="N1633" i="3" s="1"/>
  <c r="L1633" i="3"/>
  <c r="K1633" i="3"/>
  <c r="J1633" i="3"/>
  <c r="O1632" i="3"/>
  <c r="M1632" i="3"/>
  <c r="N1632" i="3" s="1"/>
  <c r="L1632" i="3"/>
  <c r="K1632" i="3"/>
  <c r="J1632" i="3"/>
  <c r="O1631" i="3"/>
  <c r="N1631" i="3"/>
  <c r="M1631" i="3"/>
  <c r="L1631" i="3"/>
  <c r="K1631" i="3"/>
  <c r="J1631" i="3"/>
  <c r="O1630" i="3"/>
  <c r="M1630" i="3"/>
  <c r="N1630" i="3" s="1"/>
  <c r="L1630" i="3"/>
  <c r="K1630" i="3"/>
  <c r="J1630" i="3"/>
  <c r="O1629" i="3"/>
  <c r="N1629" i="3"/>
  <c r="M1629" i="3"/>
  <c r="L1629" i="3"/>
  <c r="K1629" i="3"/>
  <c r="J1629" i="3"/>
  <c r="O1628" i="3"/>
  <c r="M1628" i="3"/>
  <c r="N1628" i="3" s="1"/>
  <c r="L1628" i="3"/>
  <c r="K1628" i="3"/>
  <c r="J1628" i="3"/>
  <c r="O1627" i="3"/>
  <c r="M1627" i="3"/>
  <c r="N1627" i="3" s="1"/>
  <c r="L1627" i="3"/>
  <c r="K1627" i="3"/>
  <c r="J1627" i="3"/>
  <c r="O1626" i="3"/>
  <c r="M1626" i="3"/>
  <c r="N1626" i="3" s="1"/>
  <c r="L1626" i="3"/>
  <c r="K1626" i="3"/>
  <c r="J1626" i="3"/>
  <c r="O1625" i="3"/>
  <c r="M1625" i="3"/>
  <c r="N1625" i="3" s="1"/>
  <c r="L1625" i="3"/>
  <c r="K1625" i="3"/>
  <c r="J1625" i="3"/>
  <c r="O1624" i="3"/>
  <c r="M1624" i="3"/>
  <c r="N1624" i="3" s="1"/>
  <c r="L1624" i="3"/>
  <c r="K1624" i="3"/>
  <c r="J1624" i="3"/>
  <c r="O1623" i="3"/>
  <c r="N1623" i="3"/>
  <c r="M1623" i="3"/>
  <c r="L1623" i="3"/>
  <c r="K1623" i="3"/>
  <c r="J1623" i="3"/>
  <c r="O1622" i="3"/>
  <c r="M1622" i="3"/>
  <c r="N1622" i="3" s="1"/>
  <c r="K1622" i="3"/>
  <c r="J1622" i="3"/>
  <c r="O1621" i="3"/>
  <c r="M1621" i="3"/>
  <c r="N1621" i="3" s="1"/>
  <c r="K1621" i="3"/>
  <c r="J1621" i="3"/>
  <c r="O1620" i="3"/>
  <c r="M1620" i="3"/>
  <c r="N1620" i="3" s="1"/>
  <c r="K1620" i="3"/>
  <c r="J1620" i="3"/>
  <c r="O1619" i="3"/>
  <c r="N1619" i="3"/>
  <c r="M1619" i="3"/>
  <c r="K1619" i="3"/>
  <c r="J1619" i="3"/>
  <c r="O1618" i="3"/>
  <c r="M1618" i="3"/>
  <c r="N1618" i="3" s="1"/>
  <c r="K1618" i="3"/>
  <c r="J1618" i="3"/>
  <c r="O1617" i="3"/>
  <c r="M1617" i="3"/>
  <c r="N1617" i="3" s="1"/>
  <c r="K1617" i="3"/>
  <c r="J1617" i="3"/>
  <c r="O1616" i="3"/>
  <c r="N1616" i="3"/>
  <c r="M1616" i="3"/>
  <c r="K1616" i="3"/>
  <c r="J1616" i="3"/>
  <c r="O1615" i="3"/>
  <c r="N1615" i="3"/>
  <c r="M1615" i="3"/>
  <c r="K1615" i="3"/>
  <c r="J1615" i="3"/>
  <c r="O1614" i="3"/>
  <c r="M1614" i="3"/>
  <c r="N1614" i="3" s="1"/>
  <c r="K1614" i="3"/>
  <c r="J1614" i="3"/>
  <c r="O1613" i="3"/>
  <c r="M1613" i="3"/>
  <c r="N1613" i="3" s="1"/>
  <c r="K1613" i="3"/>
  <c r="J1613" i="3"/>
  <c r="O1612" i="3"/>
  <c r="M1612" i="3"/>
  <c r="N1612" i="3" s="1"/>
  <c r="K1612" i="3"/>
  <c r="J1612" i="3"/>
  <c r="O1611" i="3"/>
  <c r="N1611" i="3"/>
  <c r="M1611" i="3"/>
  <c r="K1611" i="3"/>
  <c r="J1611" i="3"/>
  <c r="O1610" i="3"/>
  <c r="M1610" i="3"/>
  <c r="N1610" i="3" s="1"/>
  <c r="K1610" i="3"/>
  <c r="J1610" i="3"/>
  <c r="O1609" i="3"/>
  <c r="M1609" i="3"/>
  <c r="N1609" i="3" s="1"/>
  <c r="K1609" i="3"/>
  <c r="J1609" i="3"/>
  <c r="O1608" i="3"/>
  <c r="N1608" i="3"/>
  <c r="M1608" i="3"/>
  <c r="K1608" i="3"/>
  <c r="J1608" i="3"/>
  <c r="O1607" i="3"/>
  <c r="N1607" i="3"/>
  <c r="M1607" i="3"/>
  <c r="K1607" i="3"/>
  <c r="J1607" i="3"/>
  <c r="O1606" i="3"/>
  <c r="M1606" i="3"/>
  <c r="N1606" i="3" s="1"/>
  <c r="K1606" i="3"/>
  <c r="J1606" i="3"/>
  <c r="O1605" i="3"/>
  <c r="M1605" i="3"/>
  <c r="N1605" i="3" s="1"/>
  <c r="K1605" i="3"/>
  <c r="J1605" i="3"/>
  <c r="O1604" i="3"/>
  <c r="M1604" i="3"/>
  <c r="N1604" i="3" s="1"/>
  <c r="K1604" i="3"/>
  <c r="J1604" i="3"/>
  <c r="O1603" i="3"/>
  <c r="N1603" i="3"/>
  <c r="M1603" i="3"/>
  <c r="K1603" i="3"/>
  <c r="J1603" i="3"/>
  <c r="O1602" i="3"/>
  <c r="M1602" i="3"/>
  <c r="N1602" i="3" s="1"/>
  <c r="K1602" i="3"/>
  <c r="J1602" i="3"/>
  <c r="O1601" i="3"/>
  <c r="M1601" i="3"/>
  <c r="N1601" i="3" s="1"/>
  <c r="K1601" i="3"/>
  <c r="J1601" i="3"/>
  <c r="O1600" i="3"/>
  <c r="N1600" i="3"/>
  <c r="M1600" i="3"/>
  <c r="K1600" i="3"/>
  <c r="J1600" i="3"/>
  <c r="O1599" i="3"/>
  <c r="N1599" i="3"/>
  <c r="M1599" i="3"/>
  <c r="K1599" i="3"/>
  <c r="J1599" i="3"/>
  <c r="O1598" i="3"/>
  <c r="M1598" i="3"/>
  <c r="N1598" i="3" s="1"/>
  <c r="K1598" i="3"/>
  <c r="J1598" i="3"/>
  <c r="O1597" i="3"/>
  <c r="M1597" i="3"/>
  <c r="N1597" i="3" s="1"/>
  <c r="K1597" i="3"/>
  <c r="J1597" i="3"/>
  <c r="O1596" i="3"/>
  <c r="M1596" i="3"/>
  <c r="N1596" i="3" s="1"/>
  <c r="K1596" i="3"/>
  <c r="J1596" i="3"/>
  <c r="O1595" i="3"/>
  <c r="N1595" i="3"/>
  <c r="M1595" i="3"/>
  <c r="K1595" i="3"/>
  <c r="J1595" i="3"/>
  <c r="O1594" i="3"/>
  <c r="M1594" i="3"/>
  <c r="N1594" i="3" s="1"/>
  <c r="K1594" i="3"/>
  <c r="J1594" i="3"/>
  <c r="G8" i="4" s="1"/>
  <c r="O1593" i="3"/>
  <c r="M1593" i="3"/>
  <c r="N1593" i="3" s="1"/>
  <c r="K1593" i="3"/>
  <c r="J1593" i="3"/>
  <c r="O1592" i="3"/>
  <c r="N1592" i="3"/>
  <c r="M1592" i="3"/>
  <c r="J1592" i="3"/>
  <c r="O1591" i="3"/>
  <c r="N1591" i="3"/>
  <c r="M1591" i="3"/>
  <c r="J1591" i="3"/>
  <c r="O1590" i="3"/>
  <c r="N1590" i="3"/>
  <c r="M1590" i="3"/>
  <c r="J1590" i="3"/>
  <c r="O1589" i="3"/>
  <c r="N1589" i="3"/>
  <c r="M1589" i="3"/>
  <c r="J1589" i="3"/>
  <c r="O1588" i="3"/>
  <c r="N1588" i="3"/>
  <c r="M1588" i="3"/>
  <c r="J1588" i="3"/>
  <c r="O1587" i="3"/>
  <c r="N1587" i="3"/>
  <c r="M1587" i="3"/>
  <c r="J1587" i="3"/>
  <c r="O1586" i="3"/>
  <c r="N1586" i="3"/>
  <c r="M1586" i="3"/>
  <c r="J1586" i="3"/>
  <c r="O1585" i="3"/>
  <c r="N1585" i="3"/>
  <c r="M1585" i="3"/>
  <c r="J1585" i="3"/>
  <c r="O1584" i="3"/>
  <c r="N1584" i="3"/>
  <c r="M1584" i="3"/>
  <c r="J1584" i="3"/>
  <c r="O1583" i="3"/>
  <c r="N1583" i="3"/>
  <c r="M1583" i="3"/>
  <c r="J1583" i="3"/>
  <c r="O1582" i="3"/>
  <c r="N1582" i="3"/>
  <c r="M1582" i="3"/>
  <c r="J1582" i="3"/>
  <c r="O1581" i="3"/>
  <c r="N1581" i="3"/>
  <c r="M1581" i="3"/>
  <c r="J1581" i="3"/>
  <c r="O1580" i="3"/>
  <c r="N1580" i="3"/>
  <c r="M1580" i="3"/>
  <c r="J1580" i="3"/>
  <c r="O1579" i="3"/>
  <c r="N1579" i="3"/>
  <c r="M1579" i="3"/>
  <c r="J1579" i="3"/>
  <c r="O1578" i="3"/>
  <c r="N1578" i="3"/>
  <c r="M1578" i="3"/>
  <c r="J1578" i="3"/>
  <c r="O1577" i="3"/>
  <c r="N1577" i="3"/>
  <c r="M1577" i="3"/>
  <c r="J1577" i="3"/>
  <c r="O1576" i="3"/>
  <c r="N1576" i="3"/>
  <c r="M1576" i="3"/>
  <c r="J1576" i="3"/>
  <c r="O1575" i="3"/>
  <c r="N1575" i="3"/>
  <c r="M1575" i="3"/>
  <c r="J1575" i="3"/>
  <c r="O1574" i="3"/>
  <c r="N1574" i="3"/>
  <c r="M1574" i="3"/>
  <c r="O1573" i="3"/>
  <c r="M1573" i="3"/>
  <c r="N1573" i="3" s="1"/>
  <c r="L1573" i="3"/>
  <c r="K1573" i="3"/>
  <c r="J1573" i="3"/>
  <c r="O1572" i="3"/>
  <c r="N1572" i="3"/>
  <c r="M1572" i="3"/>
  <c r="L1572" i="3"/>
  <c r="K1572" i="3"/>
  <c r="J1572" i="3"/>
  <c r="O1571" i="3"/>
  <c r="M1571" i="3"/>
  <c r="N1571" i="3" s="1"/>
  <c r="L1571" i="3"/>
  <c r="K1571" i="3"/>
  <c r="J1571" i="3"/>
  <c r="O1570" i="3"/>
  <c r="N1570" i="3"/>
  <c r="M1570" i="3"/>
  <c r="L1570" i="3"/>
  <c r="K1570" i="3"/>
  <c r="J1570" i="3"/>
  <c r="O1569" i="3"/>
  <c r="M1569" i="3"/>
  <c r="N1569" i="3" s="1"/>
  <c r="L1569" i="3"/>
  <c r="K1569" i="3"/>
  <c r="J1569" i="3"/>
  <c r="O1568" i="3"/>
  <c r="N1568" i="3"/>
  <c r="M1568" i="3"/>
  <c r="L1568" i="3"/>
  <c r="K1568" i="3"/>
  <c r="J1568" i="3"/>
  <c r="O1567" i="3"/>
  <c r="M1567" i="3"/>
  <c r="N1567" i="3" s="1"/>
  <c r="L1567" i="3"/>
  <c r="K1567" i="3"/>
  <c r="J1567" i="3"/>
  <c r="O1566" i="3"/>
  <c r="N1566" i="3"/>
  <c r="M1566" i="3"/>
  <c r="L1566" i="3"/>
  <c r="K1566" i="3"/>
  <c r="J1566" i="3"/>
  <c r="O1565" i="3"/>
  <c r="M1565" i="3"/>
  <c r="N1565" i="3" s="1"/>
  <c r="L1565" i="3"/>
  <c r="K1565" i="3"/>
  <c r="J1565" i="3"/>
  <c r="O1564" i="3"/>
  <c r="N1564" i="3"/>
  <c r="M1564" i="3"/>
  <c r="L1564" i="3"/>
  <c r="K1564" i="3"/>
  <c r="J1564" i="3"/>
  <c r="O1563" i="3"/>
  <c r="M1563" i="3"/>
  <c r="N1563" i="3" s="1"/>
  <c r="L1563" i="3"/>
  <c r="K1563" i="3"/>
  <c r="J1563" i="3"/>
  <c r="O1562" i="3"/>
  <c r="N1562" i="3"/>
  <c r="M1562" i="3"/>
  <c r="L1562" i="3"/>
  <c r="K1562" i="3"/>
  <c r="J1562" i="3"/>
  <c r="O1561" i="3"/>
  <c r="M1561" i="3"/>
  <c r="N1561" i="3" s="1"/>
  <c r="L1561" i="3"/>
  <c r="K1561" i="3"/>
  <c r="J1561" i="3"/>
  <c r="O1560" i="3"/>
  <c r="N1560" i="3"/>
  <c r="M1560" i="3"/>
  <c r="L1560" i="3"/>
  <c r="K1560" i="3"/>
  <c r="J1560" i="3"/>
  <c r="O1559" i="3"/>
  <c r="M1559" i="3"/>
  <c r="N1559" i="3" s="1"/>
  <c r="L1559" i="3"/>
  <c r="K1559" i="3"/>
  <c r="J1559" i="3"/>
  <c r="O1558" i="3"/>
  <c r="N1558" i="3"/>
  <c r="M1558" i="3"/>
  <c r="L1558" i="3"/>
  <c r="K1558" i="3"/>
  <c r="J1558" i="3"/>
  <c r="O1557" i="3"/>
  <c r="M1557" i="3"/>
  <c r="N1557" i="3" s="1"/>
  <c r="L1557" i="3"/>
  <c r="K1557" i="3"/>
  <c r="J1557" i="3"/>
  <c r="O1556" i="3"/>
  <c r="N1556" i="3"/>
  <c r="M1556" i="3"/>
  <c r="L1556" i="3"/>
  <c r="K1556" i="3"/>
  <c r="J1556" i="3"/>
  <c r="O1555" i="3"/>
  <c r="M1555" i="3"/>
  <c r="N1555" i="3" s="1"/>
  <c r="L1555" i="3"/>
  <c r="K1555" i="3"/>
  <c r="J1555" i="3"/>
  <c r="O1554" i="3"/>
  <c r="N1554" i="3"/>
  <c r="M1554" i="3"/>
  <c r="L1554" i="3"/>
  <c r="K1554" i="3"/>
  <c r="J1554" i="3"/>
  <c r="O1553" i="3"/>
  <c r="M1553" i="3"/>
  <c r="N1553" i="3" s="1"/>
  <c r="L1553" i="3"/>
  <c r="K1553" i="3"/>
  <c r="J1553" i="3"/>
  <c r="O1552" i="3"/>
  <c r="N1552" i="3"/>
  <c r="M1552" i="3"/>
  <c r="L1552" i="3"/>
  <c r="K1552" i="3"/>
  <c r="J1552" i="3"/>
  <c r="O1551" i="3"/>
  <c r="M1551" i="3"/>
  <c r="N1551" i="3" s="1"/>
  <c r="L1551" i="3"/>
  <c r="K1551" i="3"/>
  <c r="J1551" i="3"/>
  <c r="O1550" i="3"/>
  <c r="N1550" i="3"/>
  <c r="M1550" i="3"/>
  <c r="L1550" i="3"/>
  <c r="K1550" i="3"/>
  <c r="J1550" i="3"/>
  <c r="O1549" i="3"/>
  <c r="M1549" i="3"/>
  <c r="N1549" i="3" s="1"/>
  <c r="L1549" i="3"/>
  <c r="K1549" i="3"/>
  <c r="J1549" i="3"/>
  <c r="O1548" i="3"/>
  <c r="N1548" i="3"/>
  <c r="M1548" i="3"/>
  <c r="L1548" i="3"/>
  <c r="K1548" i="3"/>
  <c r="J1548" i="3"/>
  <c r="O1547" i="3"/>
  <c r="M1547" i="3"/>
  <c r="N1547" i="3" s="1"/>
  <c r="L1547" i="3"/>
  <c r="K1547" i="3"/>
  <c r="J1547" i="3"/>
  <c r="O1546" i="3"/>
  <c r="N1546" i="3"/>
  <c r="M1546" i="3"/>
  <c r="L1546" i="3"/>
  <c r="K1546" i="3"/>
  <c r="J1546" i="3"/>
  <c r="O1545" i="3"/>
  <c r="M1545" i="3"/>
  <c r="N1545" i="3" s="1"/>
  <c r="L1545" i="3"/>
  <c r="K1545" i="3"/>
  <c r="J1545" i="3"/>
  <c r="O1544" i="3"/>
  <c r="N1544" i="3"/>
  <c r="M1544" i="3"/>
  <c r="L1544" i="3"/>
  <c r="K1544" i="3"/>
  <c r="J1544" i="3"/>
  <c r="O1543" i="3"/>
  <c r="M1543" i="3"/>
  <c r="N1543" i="3" s="1"/>
  <c r="L1543" i="3"/>
  <c r="K1543" i="3"/>
  <c r="J1543" i="3"/>
  <c r="O1542" i="3"/>
  <c r="N1542" i="3"/>
  <c r="M1542" i="3"/>
  <c r="L1542" i="3"/>
  <c r="K1542" i="3"/>
  <c r="J1542" i="3"/>
  <c r="O1541" i="3"/>
  <c r="M1541" i="3"/>
  <c r="N1541" i="3" s="1"/>
  <c r="L1541" i="3"/>
  <c r="K1541" i="3"/>
  <c r="J1541" i="3"/>
  <c r="O1540" i="3"/>
  <c r="N1540" i="3"/>
  <c r="M1540" i="3"/>
  <c r="L1540" i="3"/>
  <c r="K1540" i="3"/>
  <c r="J1540" i="3"/>
  <c r="O1539" i="3"/>
  <c r="M1539" i="3"/>
  <c r="N1539" i="3" s="1"/>
  <c r="L1539" i="3"/>
  <c r="K1539" i="3"/>
  <c r="J1539" i="3"/>
  <c r="O1538" i="3"/>
  <c r="N1538" i="3"/>
  <c r="M1538" i="3"/>
  <c r="L1538" i="3"/>
  <c r="K1538" i="3"/>
  <c r="J1538" i="3"/>
  <c r="O1537" i="3"/>
  <c r="M1537" i="3"/>
  <c r="N1537" i="3" s="1"/>
  <c r="L1537" i="3"/>
  <c r="K1537" i="3"/>
  <c r="J1537" i="3"/>
  <c r="O1536" i="3"/>
  <c r="N1536" i="3"/>
  <c r="M1536" i="3"/>
  <c r="L1536" i="3"/>
  <c r="K1536" i="3"/>
  <c r="J1536" i="3"/>
  <c r="O1535" i="3"/>
  <c r="M1535" i="3"/>
  <c r="N1535" i="3" s="1"/>
  <c r="L1535" i="3"/>
  <c r="K1535" i="3"/>
  <c r="J1535" i="3"/>
  <c r="O1534" i="3"/>
  <c r="N1534" i="3"/>
  <c r="M1534" i="3"/>
  <c r="L1534" i="3"/>
  <c r="K1534" i="3"/>
  <c r="J1534" i="3"/>
  <c r="O1533" i="3"/>
  <c r="M1533" i="3"/>
  <c r="N1533" i="3" s="1"/>
  <c r="L1533" i="3"/>
  <c r="K1533" i="3"/>
  <c r="J1533" i="3"/>
  <c r="O1532" i="3"/>
  <c r="N1532" i="3"/>
  <c r="M1532" i="3"/>
  <c r="L1532" i="3"/>
  <c r="K1532" i="3"/>
  <c r="J1532" i="3"/>
  <c r="O1531" i="3"/>
  <c r="M1531" i="3"/>
  <c r="N1531" i="3" s="1"/>
  <c r="L1531" i="3"/>
  <c r="K1531" i="3"/>
  <c r="J1531" i="3"/>
  <c r="O1530" i="3"/>
  <c r="N1530" i="3"/>
  <c r="M1530" i="3"/>
  <c r="L1530" i="3"/>
  <c r="K1530" i="3"/>
  <c r="J1530" i="3"/>
  <c r="O1529" i="3"/>
  <c r="M1529" i="3"/>
  <c r="N1529" i="3" s="1"/>
  <c r="L1529" i="3"/>
  <c r="K1529" i="3"/>
  <c r="J1529" i="3"/>
  <c r="O1528" i="3"/>
  <c r="M1528" i="3"/>
  <c r="N1528" i="3" s="1"/>
  <c r="L1528" i="3"/>
  <c r="K1528" i="3"/>
  <c r="J1528" i="3"/>
  <c r="O1527" i="3"/>
  <c r="M1527" i="3"/>
  <c r="N1527" i="3" s="1"/>
  <c r="L1527" i="3"/>
  <c r="K1527" i="3"/>
  <c r="J1527" i="3"/>
  <c r="O1526" i="3"/>
  <c r="M1526" i="3"/>
  <c r="N1526" i="3" s="1"/>
  <c r="L1526" i="3"/>
  <c r="K1526" i="3"/>
  <c r="J1526" i="3"/>
  <c r="O1525" i="3"/>
  <c r="M1525" i="3"/>
  <c r="N1525" i="3" s="1"/>
  <c r="L1525" i="3"/>
  <c r="K1525" i="3"/>
  <c r="J1525" i="3"/>
  <c r="O1524" i="3"/>
  <c r="N1524" i="3"/>
  <c r="M1524" i="3"/>
  <c r="L1524" i="3"/>
  <c r="K1524" i="3"/>
  <c r="J1524" i="3"/>
  <c r="O1523" i="3"/>
  <c r="M1523" i="3"/>
  <c r="N1523" i="3" s="1"/>
  <c r="L1523" i="3"/>
  <c r="K1523" i="3"/>
  <c r="J1523" i="3"/>
  <c r="O1522" i="3"/>
  <c r="N1522" i="3"/>
  <c r="M1522" i="3"/>
  <c r="L1522" i="3"/>
  <c r="K1522" i="3"/>
  <c r="J1522" i="3"/>
  <c r="O1521" i="3"/>
  <c r="M1521" i="3"/>
  <c r="N1521" i="3" s="1"/>
  <c r="L1521" i="3"/>
  <c r="K1521" i="3"/>
  <c r="J1521" i="3"/>
  <c r="O1520" i="3"/>
  <c r="M1520" i="3"/>
  <c r="N1520" i="3" s="1"/>
  <c r="L1520" i="3"/>
  <c r="K1520" i="3"/>
  <c r="J1520" i="3"/>
  <c r="O1519" i="3"/>
  <c r="M1519" i="3"/>
  <c r="N1519" i="3" s="1"/>
  <c r="L1519" i="3"/>
  <c r="K1519" i="3"/>
  <c r="J1519" i="3"/>
  <c r="O1518" i="3"/>
  <c r="M1518" i="3"/>
  <c r="N1518" i="3" s="1"/>
  <c r="L1518" i="3"/>
  <c r="K1518" i="3"/>
  <c r="J1518" i="3"/>
  <c r="O1517" i="3"/>
  <c r="M1517" i="3"/>
  <c r="N1517" i="3" s="1"/>
  <c r="L1517" i="3"/>
  <c r="K1517" i="3"/>
  <c r="J1517" i="3"/>
  <c r="O1516" i="3"/>
  <c r="N1516" i="3"/>
  <c r="M1516" i="3"/>
  <c r="L1516" i="3"/>
  <c r="K1516" i="3"/>
  <c r="J1516" i="3"/>
  <c r="O1515" i="3"/>
  <c r="M1515" i="3"/>
  <c r="N1515" i="3" s="1"/>
  <c r="L1515" i="3"/>
  <c r="K1515" i="3"/>
  <c r="J1515" i="3"/>
  <c r="O1514" i="3"/>
  <c r="N1514" i="3"/>
  <c r="M1514" i="3"/>
  <c r="L1514" i="3"/>
  <c r="K1514" i="3"/>
  <c r="J1514" i="3"/>
  <c r="O1513" i="3"/>
  <c r="M1513" i="3"/>
  <c r="N1513" i="3" s="1"/>
  <c r="L1513" i="3"/>
  <c r="K1513" i="3"/>
  <c r="J1513" i="3"/>
  <c r="O1512" i="3"/>
  <c r="M1512" i="3"/>
  <c r="N1512" i="3" s="1"/>
  <c r="L1512" i="3"/>
  <c r="K1512" i="3"/>
  <c r="J1512" i="3"/>
  <c r="O1511" i="3"/>
  <c r="M1511" i="3"/>
  <c r="N1511" i="3" s="1"/>
  <c r="L1511" i="3"/>
  <c r="K1511" i="3"/>
  <c r="J1511" i="3"/>
  <c r="O1510" i="3"/>
  <c r="M1510" i="3"/>
  <c r="N1510" i="3" s="1"/>
  <c r="L1510" i="3"/>
  <c r="K1510" i="3"/>
  <c r="J1510" i="3"/>
  <c r="O1509" i="3"/>
  <c r="M1509" i="3"/>
  <c r="N1509" i="3" s="1"/>
  <c r="L1509" i="3"/>
  <c r="K1509" i="3"/>
  <c r="J1509" i="3"/>
  <c r="O1508" i="3"/>
  <c r="N1508" i="3"/>
  <c r="M1508" i="3"/>
  <c r="L1508" i="3"/>
  <c r="K1508" i="3"/>
  <c r="J1508" i="3"/>
  <c r="O1507" i="3"/>
  <c r="M1507" i="3"/>
  <c r="N1507" i="3" s="1"/>
  <c r="L1507" i="3"/>
  <c r="K1507" i="3"/>
  <c r="J1507" i="3"/>
  <c r="O1506" i="3"/>
  <c r="N1506" i="3"/>
  <c r="M1506" i="3"/>
  <c r="L1506" i="3"/>
  <c r="K1506" i="3"/>
  <c r="J1506" i="3"/>
  <c r="O1505" i="3"/>
  <c r="M1505" i="3"/>
  <c r="N1505" i="3" s="1"/>
  <c r="L1505" i="3"/>
  <c r="K1505" i="3"/>
  <c r="J1505" i="3"/>
  <c r="O1504" i="3"/>
  <c r="M1504" i="3"/>
  <c r="N1504" i="3" s="1"/>
  <c r="L1504" i="3"/>
  <c r="K1504" i="3"/>
  <c r="J1504" i="3"/>
  <c r="O1503" i="3"/>
  <c r="M1503" i="3"/>
  <c r="N1503" i="3" s="1"/>
  <c r="L1503" i="3"/>
  <c r="K1503" i="3"/>
  <c r="J1503" i="3"/>
  <c r="O1502" i="3"/>
  <c r="M1502" i="3"/>
  <c r="N1502" i="3" s="1"/>
  <c r="L1502" i="3"/>
  <c r="K1502" i="3"/>
  <c r="J1502" i="3"/>
  <c r="O1501" i="3"/>
  <c r="M1501" i="3"/>
  <c r="N1501" i="3" s="1"/>
  <c r="L1501" i="3"/>
  <c r="K1501" i="3"/>
  <c r="J1501" i="3"/>
  <c r="O1500" i="3"/>
  <c r="N1500" i="3"/>
  <c r="M1500" i="3"/>
  <c r="L1500" i="3"/>
  <c r="K1500" i="3"/>
  <c r="J1500" i="3"/>
  <c r="O1499" i="3"/>
  <c r="M1499" i="3"/>
  <c r="N1499" i="3" s="1"/>
  <c r="L1499" i="3"/>
  <c r="K1499" i="3"/>
  <c r="J1499" i="3"/>
  <c r="O1498" i="3"/>
  <c r="N1498" i="3"/>
  <c r="M1498" i="3"/>
  <c r="L1498" i="3"/>
  <c r="K1498" i="3"/>
  <c r="J1498" i="3"/>
  <c r="O1497" i="3"/>
  <c r="M1497" i="3"/>
  <c r="N1497" i="3" s="1"/>
  <c r="L1497" i="3"/>
  <c r="K1497" i="3"/>
  <c r="J1497" i="3"/>
  <c r="O1496" i="3"/>
  <c r="M1496" i="3"/>
  <c r="N1496" i="3" s="1"/>
  <c r="L1496" i="3"/>
  <c r="K1496" i="3"/>
  <c r="J1496" i="3"/>
  <c r="O1495" i="3"/>
  <c r="M1495" i="3"/>
  <c r="N1495" i="3" s="1"/>
  <c r="L1495" i="3"/>
  <c r="K1495" i="3"/>
  <c r="J1495" i="3"/>
  <c r="O1494" i="3"/>
  <c r="M1494" i="3"/>
  <c r="N1494" i="3" s="1"/>
  <c r="L1494" i="3"/>
  <c r="K1494" i="3"/>
  <c r="J1494" i="3"/>
  <c r="O1493" i="3"/>
  <c r="M1493" i="3"/>
  <c r="N1493" i="3" s="1"/>
  <c r="L1493" i="3"/>
  <c r="K1493" i="3"/>
  <c r="J1493" i="3"/>
  <c r="O1492" i="3"/>
  <c r="N1492" i="3"/>
  <c r="M1492" i="3"/>
  <c r="L1492" i="3"/>
  <c r="K1492" i="3"/>
  <c r="J1492" i="3"/>
  <c r="O1491" i="3"/>
  <c r="M1491" i="3"/>
  <c r="N1491" i="3" s="1"/>
  <c r="L1491" i="3"/>
  <c r="K1491" i="3"/>
  <c r="J1491" i="3"/>
  <c r="O1490" i="3"/>
  <c r="N1490" i="3"/>
  <c r="M1490" i="3"/>
  <c r="L1490" i="3"/>
  <c r="K1490" i="3"/>
  <c r="J1490" i="3"/>
  <c r="O1489" i="3"/>
  <c r="M1489" i="3"/>
  <c r="N1489" i="3" s="1"/>
  <c r="L1489" i="3"/>
  <c r="K1489" i="3"/>
  <c r="J1489" i="3"/>
  <c r="O1488" i="3"/>
  <c r="M1488" i="3"/>
  <c r="N1488" i="3" s="1"/>
  <c r="L1488" i="3"/>
  <c r="K1488" i="3"/>
  <c r="J1488" i="3"/>
  <c r="O1487" i="3"/>
  <c r="M1487" i="3"/>
  <c r="N1487" i="3" s="1"/>
  <c r="L1487" i="3"/>
  <c r="K1487" i="3"/>
  <c r="J1487" i="3"/>
  <c r="O1486" i="3"/>
  <c r="M1486" i="3"/>
  <c r="N1486" i="3" s="1"/>
  <c r="L1486" i="3"/>
  <c r="K1486" i="3"/>
  <c r="J1486" i="3"/>
  <c r="O1485" i="3"/>
  <c r="M1485" i="3"/>
  <c r="N1485" i="3" s="1"/>
  <c r="L1485" i="3"/>
  <c r="K1485" i="3"/>
  <c r="J1485" i="3"/>
  <c r="O1484" i="3"/>
  <c r="N1484" i="3"/>
  <c r="M1484" i="3"/>
  <c r="L1484" i="3"/>
  <c r="K1484" i="3"/>
  <c r="J1484" i="3"/>
  <c r="O1483" i="3"/>
  <c r="M1483" i="3"/>
  <c r="N1483" i="3" s="1"/>
  <c r="L1483" i="3"/>
  <c r="K1483" i="3"/>
  <c r="J1483" i="3"/>
  <c r="O1482" i="3"/>
  <c r="N1482" i="3"/>
  <c r="M1482" i="3"/>
  <c r="L1482" i="3"/>
  <c r="K1482" i="3"/>
  <c r="J1482" i="3"/>
  <c r="O1481" i="3"/>
  <c r="M1481" i="3"/>
  <c r="N1481" i="3" s="1"/>
  <c r="L1481" i="3"/>
  <c r="K1481" i="3"/>
  <c r="J1481" i="3"/>
  <c r="O1480" i="3"/>
  <c r="M1480" i="3"/>
  <c r="N1480" i="3" s="1"/>
  <c r="L1480" i="3"/>
  <c r="K1480" i="3"/>
  <c r="J1480" i="3"/>
  <c r="O1479" i="3"/>
  <c r="M1479" i="3"/>
  <c r="N1479" i="3" s="1"/>
  <c r="L1479" i="3"/>
  <c r="K1479" i="3"/>
  <c r="J1479" i="3"/>
  <c r="O1478" i="3"/>
  <c r="M1478" i="3"/>
  <c r="N1478" i="3" s="1"/>
  <c r="L1478" i="3"/>
  <c r="K1478" i="3"/>
  <c r="J1478" i="3"/>
  <c r="O1477" i="3"/>
  <c r="M1477" i="3"/>
  <c r="N1477" i="3" s="1"/>
  <c r="L1477" i="3"/>
  <c r="K1477" i="3"/>
  <c r="J1477" i="3"/>
  <c r="O1476" i="3"/>
  <c r="N1476" i="3"/>
  <c r="M1476" i="3"/>
  <c r="L1476" i="3"/>
  <c r="K1476" i="3"/>
  <c r="J1476" i="3"/>
  <c r="O1475" i="3"/>
  <c r="M1475" i="3"/>
  <c r="N1475" i="3" s="1"/>
  <c r="L1475" i="3"/>
  <c r="K1475" i="3"/>
  <c r="J1475" i="3"/>
  <c r="O1474" i="3"/>
  <c r="N1474" i="3"/>
  <c r="M1474" i="3"/>
  <c r="L1474" i="3"/>
  <c r="K1474" i="3"/>
  <c r="J1474" i="3"/>
  <c r="O1473" i="3"/>
  <c r="M1473" i="3"/>
  <c r="N1473" i="3" s="1"/>
  <c r="L1473" i="3"/>
  <c r="K1473" i="3"/>
  <c r="J1473" i="3"/>
  <c r="O1472" i="3"/>
  <c r="M1472" i="3"/>
  <c r="N1472" i="3" s="1"/>
  <c r="L1472" i="3"/>
  <c r="K1472" i="3"/>
  <c r="J1472" i="3"/>
  <c r="O1471" i="3"/>
  <c r="N1471" i="3"/>
  <c r="M1471" i="3"/>
  <c r="L1471" i="3"/>
  <c r="K1471" i="3"/>
  <c r="J1471" i="3"/>
  <c r="O1470" i="3"/>
  <c r="M1470" i="3"/>
  <c r="N1470" i="3" s="1"/>
  <c r="L1470" i="3"/>
  <c r="K1470" i="3"/>
  <c r="J1470" i="3"/>
  <c r="O1469" i="3"/>
  <c r="N1469" i="3"/>
  <c r="M1469" i="3"/>
  <c r="L1469" i="3"/>
  <c r="K1469" i="3"/>
  <c r="J1469" i="3"/>
  <c r="O1468" i="3"/>
  <c r="M1468" i="3"/>
  <c r="N1468" i="3" s="1"/>
  <c r="L1468" i="3"/>
  <c r="K1468" i="3"/>
  <c r="J1468" i="3"/>
  <c r="O1467" i="3"/>
  <c r="N1467" i="3"/>
  <c r="M1467" i="3"/>
  <c r="L1467" i="3"/>
  <c r="K1467" i="3"/>
  <c r="J1467" i="3"/>
  <c r="O1466" i="3"/>
  <c r="M1466" i="3"/>
  <c r="N1466" i="3" s="1"/>
  <c r="L1466" i="3"/>
  <c r="K1466" i="3"/>
  <c r="J1466" i="3"/>
  <c r="O1465" i="3"/>
  <c r="N1465" i="3"/>
  <c r="M1465" i="3"/>
  <c r="L1465" i="3"/>
  <c r="K1465" i="3"/>
  <c r="J1465" i="3"/>
  <c r="O1464" i="3"/>
  <c r="M1464" i="3"/>
  <c r="N1464" i="3" s="1"/>
  <c r="L1464" i="3"/>
  <c r="K1464" i="3"/>
  <c r="J1464" i="3"/>
  <c r="O1463" i="3"/>
  <c r="N1463" i="3"/>
  <c r="M1463" i="3"/>
  <c r="L1463" i="3"/>
  <c r="K1463" i="3"/>
  <c r="J1463" i="3"/>
  <c r="O1462" i="3"/>
  <c r="M1462" i="3"/>
  <c r="N1462" i="3" s="1"/>
  <c r="L1462" i="3"/>
  <c r="K1462" i="3"/>
  <c r="J1462" i="3"/>
  <c r="O1461" i="3"/>
  <c r="N1461" i="3"/>
  <c r="M1461" i="3"/>
  <c r="L1461" i="3"/>
  <c r="K1461" i="3"/>
  <c r="J1461" i="3"/>
  <c r="O1460" i="3"/>
  <c r="M1460" i="3"/>
  <c r="N1460" i="3" s="1"/>
  <c r="L1460" i="3"/>
  <c r="K1460" i="3"/>
  <c r="J1460" i="3"/>
  <c r="O1459" i="3"/>
  <c r="N1459" i="3"/>
  <c r="M1459" i="3"/>
  <c r="L1459" i="3"/>
  <c r="K1459" i="3"/>
  <c r="J1459" i="3"/>
  <c r="O1458" i="3"/>
  <c r="M1458" i="3"/>
  <c r="N1458" i="3" s="1"/>
  <c r="L1458" i="3"/>
  <c r="K1458" i="3"/>
  <c r="J1458" i="3"/>
  <c r="O1457" i="3"/>
  <c r="N1457" i="3"/>
  <c r="M1457" i="3"/>
  <c r="L1457" i="3"/>
  <c r="K1457" i="3"/>
  <c r="J1457" i="3"/>
  <c r="O1456" i="3"/>
  <c r="M1456" i="3"/>
  <c r="N1456" i="3" s="1"/>
  <c r="L1456" i="3"/>
  <c r="K1456" i="3"/>
  <c r="J1456" i="3"/>
  <c r="O1455" i="3"/>
  <c r="N1455" i="3"/>
  <c r="M1455" i="3"/>
  <c r="L1455" i="3"/>
  <c r="K1455" i="3"/>
  <c r="J1455" i="3"/>
  <c r="O1454" i="3"/>
  <c r="M1454" i="3"/>
  <c r="N1454" i="3" s="1"/>
  <c r="L1454" i="3"/>
  <c r="K1454" i="3"/>
  <c r="J1454" i="3"/>
  <c r="O1453" i="3"/>
  <c r="N1453" i="3"/>
  <c r="M1453" i="3"/>
  <c r="L1453" i="3"/>
  <c r="K1453" i="3"/>
  <c r="J1453" i="3"/>
  <c r="O1452" i="3"/>
  <c r="M1452" i="3"/>
  <c r="N1452" i="3" s="1"/>
  <c r="L1452" i="3"/>
  <c r="K1452" i="3"/>
  <c r="J1452" i="3"/>
  <c r="O1451" i="3"/>
  <c r="N1451" i="3"/>
  <c r="M1451" i="3"/>
  <c r="L1451" i="3"/>
  <c r="K1451" i="3"/>
  <c r="J1451" i="3"/>
  <c r="O1450" i="3"/>
  <c r="M1450" i="3"/>
  <c r="N1450" i="3" s="1"/>
  <c r="L1450" i="3"/>
  <c r="K1450" i="3"/>
  <c r="J1450" i="3"/>
  <c r="O1449" i="3"/>
  <c r="N1449" i="3"/>
  <c r="M1449" i="3"/>
  <c r="L1449" i="3"/>
  <c r="K1449" i="3"/>
  <c r="J1449" i="3"/>
  <c r="O1448" i="3"/>
  <c r="M1448" i="3"/>
  <c r="N1448" i="3" s="1"/>
  <c r="L1448" i="3"/>
  <c r="K1448" i="3"/>
  <c r="J1448" i="3"/>
  <c r="O1447" i="3"/>
  <c r="N1447" i="3"/>
  <c r="M1447" i="3"/>
  <c r="L1447" i="3"/>
  <c r="K1447" i="3"/>
  <c r="J1447" i="3"/>
  <c r="O1446" i="3"/>
  <c r="M1446" i="3"/>
  <c r="N1446" i="3" s="1"/>
  <c r="L1446" i="3"/>
  <c r="K1446" i="3"/>
  <c r="J1446" i="3"/>
  <c r="O1445" i="3"/>
  <c r="N1445" i="3"/>
  <c r="M1445" i="3"/>
  <c r="L1445" i="3"/>
  <c r="K1445" i="3"/>
  <c r="J1445" i="3"/>
  <c r="O1444" i="3"/>
  <c r="M1444" i="3"/>
  <c r="N1444" i="3" s="1"/>
  <c r="L1444" i="3"/>
  <c r="K1444" i="3"/>
  <c r="J1444" i="3"/>
  <c r="O1443" i="3"/>
  <c r="N1443" i="3"/>
  <c r="M1443" i="3"/>
  <c r="L1443" i="3"/>
  <c r="K1443" i="3"/>
  <c r="J1443" i="3"/>
  <c r="O1442" i="3"/>
  <c r="M1442" i="3"/>
  <c r="N1442" i="3" s="1"/>
  <c r="L1442" i="3"/>
  <c r="K1442" i="3"/>
  <c r="J1442" i="3"/>
  <c r="O1441" i="3"/>
  <c r="N1441" i="3"/>
  <c r="M1441" i="3"/>
  <c r="L1441" i="3"/>
  <c r="K1441" i="3"/>
  <c r="J1441" i="3"/>
  <c r="O1440" i="3"/>
  <c r="M1440" i="3"/>
  <c r="N1440" i="3" s="1"/>
  <c r="L1440" i="3"/>
  <c r="K1440" i="3"/>
  <c r="J1440" i="3"/>
  <c r="O1439" i="3"/>
  <c r="N1439" i="3"/>
  <c r="M1439" i="3"/>
  <c r="L1439" i="3"/>
  <c r="K1439" i="3"/>
  <c r="J1439" i="3"/>
  <c r="O1438" i="3"/>
  <c r="M1438" i="3"/>
  <c r="N1438" i="3" s="1"/>
  <c r="L1438" i="3"/>
  <c r="K1438" i="3"/>
  <c r="J1438" i="3"/>
  <c r="O1437" i="3"/>
  <c r="N1437" i="3"/>
  <c r="M1437" i="3"/>
  <c r="L1437" i="3"/>
  <c r="K1437" i="3"/>
  <c r="J1437" i="3"/>
  <c r="O1436" i="3"/>
  <c r="M1436" i="3"/>
  <c r="N1436" i="3" s="1"/>
  <c r="L1436" i="3"/>
  <c r="K1436" i="3"/>
  <c r="J1436" i="3"/>
  <c r="O1435" i="3"/>
  <c r="N1435" i="3"/>
  <c r="M1435" i="3"/>
  <c r="L1435" i="3"/>
  <c r="K1435" i="3"/>
  <c r="J1435" i="3"/>
  <c r="O1434" i="3"/>
  <c r="M1434" i="3"/>
  <c r="N1434" i="3" s="1"/>
  <c r="L1434" i="3"/>
  <c r="K1434" i="3"/>
  <c r="J1434" i="3"/>
  <c r="O1433" i="3"/>
  <c r="N1433" i="3"/>
  <c r="M1433" i="3"/>
  <c r="L1433" i="3"/>
  <c r="K1433" i="3"/>
  <c r="J1433" i="3"/>
  <c r="O1432" i="3"/>
  <c r="M1432" i="3"/>
  <c r="N1432" i="3" s="1"/>
  <c r="L1432" i="3"/>
  <c r="K1432" i="3"/>
  <c r="J1432" i="3"/>
  <c r="O1431" i="3"/>
  <c r="N1431" i="3"/>
  <c r="M1431" i="3"/>
  <c r="L1431" i="3"/>
  <c r="K1431" i="3"/>
  <c r="J1431" i="3"/>
  <c r="O1430" i="3"/>
  <c r="M1430" i="3"/>
  <c r="N1430" i="3" s="1"/>
  <c r="L1430" i="3"/>
  <c r="K1430" i="3"/>
  <c r="J1430" i="3"/>
  <c r="O1429" i="3"/>
  <c r="N1429" i="3"/>
  <c r="M1429" i="3"/>
  <c r="L1429" i="3"/>
  <c r="K1429" i="3"/>
  <c r="J1429" i="3"/>
  <c r="O1428" i="3"/>
  <c r="M1428" i="3"/>
  <c r="N1428" i="3" s="1"/>
  <c r="L1428" i="3"/>
  <c r="K1428" i="3"/>
  <c r="J1428" i="3"/>
  <c r="O1427" i="3"/>
  <c r="N1427" i="3"/>
  <c r="M1427" i="3"/>
  <c r="L1427" i="3"/>
  <c r="K1427" i="3"/>
  <c r="J1427" i="3"/>
  <c r="O1426" i="3"/>
  <c r="M1426" i="3"/>
  <c r="N1426" i="3" s="1"/>
  <c r="L1426" i="3"/>
  <c r="K1426" i="3"/>
  <c r="J1426" i="3"/>
  <c r="O1425" i="3"/>
  <c r="N1425" i="3"/>
  <c r="M1425" i="3"/>
  <c r="L1425" i="3"/>
  <c r="K1425" i="3"/>
  <c r="J1425" i="3"/>
  <c r="O1424" i="3"/>
  <c r="M1424" i="3"/>
  <c r="N1424" i="3" s="1"/>
  <c r="L1424" i="3"/>
  <c r="K1424" i="3"/>
  <c r="J1424" i="3"/>
  <c r="O1423" i="3"/>
  <c r="N1423" i="3"/>
  <c r="M1423" i="3"/>
  <c r="L1423" i="3"/>
  <c r="K1423" i="3"/>
  <c r="J1423" i="3"/>
  <c r="O1422" i="3"/>
  <c r="M1422" i="3"/>
  <c r="N1422" i="3" s="1"/>
  <c r="L1422" i="3"/>
  <c r="K1422" i="3"/>
  <c r="J1422" i="3"/>
  <c r="O1421" i="3"/>
  <c r="N1421" i="3"/>
  <c r="M1421" i="3"/>
  <c r="L1421" i="3"/>
  <c r="K1421" i="3"/>
  <c r="J1421" i="3"/>
  <c r="O1420" i="3"/>
  <c r="M1420" i="3"/>
  <c r="N1420" i="3" s="1"/>
  <c r="L1420" i="3"/>
  <c r="K1420" i="3"/>
  <c r="J1420" i="3"/>
  <c r="O1419" i="3"/>
  <c r="N1419" i="3"/>
  <c r="M1419" i="3"/>
  <c r="L1419" i="3"/>
  <c r="K1419" i="3"/>
  <c r="J1419" i="3"/>
  <c r="O1418" i="3"/>
  <c r="M1418" i="3"/>
  <c r="N1418" i="3" s="1"/>
  <c r="L1418" i="3"/>
  <c r="K1418" i="3"/>
  <c r="J1418" i="3"/>
  <c r="O1417" i="3"/>
  <c r="N1417" i="3"/>
  <c r="M1417" i="3"/>
  <c r="L1417" i="3"/>
  <c r="K1417" i="3"/>
  <c r="J1417" i="3"/>
  <c r="O1416" i="3"/>
  <c r="M1416" i="3"/>
  <c r="N1416" i="3" s="1"/>
  <c r="L1416" i="3"/>
  <c r="K1416" i="3"/>
  <c r="J1416" i="3"/>
  <c r="O1415" i="3"/>
  <c r="N1415" i="3"/>
  <c r="M1415" i="3"/>
  <c r="L1415" i="3"/>
  <c r="K1415" i="3"/>
  <c r="J1415" i="3"/>
  <c r="O1414" i="3"/>
  <c r="M1414" i="3"/>
  <c r="N1414" i="3" s="1"/>
  <c r="L1414" i="3"/>
  <c r="K1414" i="3"/>
  <c r="J1414" i="3"/>
  <c r="O1413" i="3"/>
  <c r="N1413" i="3"/>
  <c r="M1413" i="3"/>
  <c r="L1413" i="3"/>
  <c r="K1413" i="3"/>
  <c r="J1413" i="3"/>
  <c r="O1412" i="3"/>
  <c r="M1412" i="3"/>
  <c r="N1412" i="3" s="1"/>
  <c r="L1412" i="3"/>
  <c r="K1412" i="3"/>
  <c r="J1412" i="3"/>
  <c r="O1411" i="3"/>
  <c r="N1411" i="3"/>
  <c r="M1411" i="3"/>
  <c r="L1411" i="3"/>
  <c r="K1411" i="3"/>
  <c r="J1411" i="3"/>
  <c r="O1410" i="3"/>
  <c r="M1410" i="3"/>
  <c r="N1410" i="3" s="1"/>
  <c r="L1410" i="3"/>
  <c r="K1410" i="3"/>
  <c r="J1410" i="3"/>
  <c r="O1409" i="3"/>
  <c r="N1409" i="3"/>
  <c r="M1409" i="3"/>
  <c r="L1409" i="3"/>
  <c r="K1409" i="3"/>
  <c r="J1409" i="3"/>
  <c r="O1408" i="3"/>
  <c r="M1408" i="3"/>
  <c r="N1408" i="3" s="1"/>
  <c r="L1408" i="3"/>
  <c r="K1408" i="3"/>
  <c r="J1408" i="3"/>
  <c r="O1407" i="3"/>
  <c r="N1407" i="3"/>
  <c r="M1407" i="3"/>
  <c r="L1407" i="3"/>
  <c r="K1407" i="3"/>
  <c r="J1407" i="3"/>
  <c r="O1406" i="3"/>
  <c r="M1406" i="3"/>
  <c r="N1406" i="3" s="1"/>
  <c r="L1406" i="3"/>
  <c r="K1406" i="3"/>
  <c r="J1406" i="3"/>
  <c r="O1405" i="3"/>
  <c r="N1405" i="3"/>
  <c r="M1405" i="3"/>
  <c r="L1405" i="3"/>
  <c r="K1405" i="3"/>
  <c r="J1405" i="3"/>
  <c r="O1404" i="3"/>
  <c r="M1404" i="3"/>
  <c r="N1404" i="3" s="1"/>
  <c r="L1404" i="3"/>
  <c r="K1404" i="3"/>
  <c r="J1404" i="3"/>
  <c r="O1403" i="3"/>
  <c r="N1403" i="3"/>
  <c r="M1403" i="3"/>
  <c r="L1403" i="3"/>
  <c r="K1403" i="3"/>
  <c r="J1403" i="3"/>
  <c r="O1402" i="3"/>
  <c r="M1402" i="3"/>
  <c r="N1402" i="3" s="1"/>
  <c r="L1402" i="3"/>
  <c r="K1402" i="3"/>
  <c r="J1402" i="3"/>
  <c r="O1401" i="3"/>
  <c r="N1401" i="3"/>
  <c r="M1401" i="3"/>
  <c r="L1401" i="3"/>
  <c r="K1401" i="3"/>
  <c r="J1401" i="3"/>
  <c r="O1400" i="3"/>
  <c r="M1400" i="3"/>
  <c r="N1400" i="3" s="1"/>
  <c r="L1400" i="3"/>
  <c r="K1400" i="3"/>
  <c r="J1400" i="3"/>
  <c r="O1399" i="3"/>
  <c r="N1399" i="3"/>
  <c r="M1399" i="3"/>
  <c r="L1399" i="3"/>
  <c r="K1399" i="3"/>
  <c r="J1399" i="3"/>
  <c r="O1398" i="3"/>
  <c r="M1398" i="3"/>
  <c r="N1398" i="3" s="1"/>
  <c r="L1398" i="3"/>
  <c r="K1398" i="3"/>
  <c r="J1398" i="3"/>
  <c r="O1397" i="3"/>
  <c r="N1397" i="3"/>
  <c r="M1397" i="3"/>
  <c r="L1397" i="3"/>
  <c r="K1397" i="3"/>
  <c r="J1397" i="3"/>
  <c r="O1396" i="3"/>
  <c r="M1396" i="3"/>
  <c r="N1396" i="3" s="1"/>
  <c r="L1396" i="3"/>
  <c r="K1396" i="3"/>
  <c r="J1396" i="3"/>
  <c r="O1395" i="3"/>
  <c r="N1395" i="3"/>
  <c r="M1395" i="3"/>
  <c r="L1395" i="3"/>
  <c r="K1395" i="3"/>
  <c r="J1395" i="3"/>
  <c r="O1394" i="3"/>
  <c r="M1394" i="3"/>
  <c r="N1394" i="3" s="1"/>
  <c r="L1394" i="3"/>
  <c r="K1394" i="3"/>
  <c r="J1394" i="3"/>
  <c r="O1393" i="3"/>
  <c r="N1393" i="3"/>
  <c r="M1393" i="3"/>
  <c r="L1393" i="3"/>
  <c r="K1393" i="3"/>
  <c r="J1393" i="3"/>
  <c r="O1392" i="3"/>
  <c r="M1392" i="3"/>
  <c r="N1392" i="3" s="1"/>
  <c r="L1392" i="3"/>
  <c r="K1392" i="3"/>
  <c r="J1392" i="3"/>
  <c r="O1391" i="3"/>
  <c r="N1391" i="3"/>
  <c r="M1391" i="3"/>
  <c r="L1391" i="3"/>
  <c r="K1391" i="3"/>
  <c r="J1391" i="3"/>
  <c r="O1390" i="3"/>
  <c r="M1390" i="3"/>
  <c r="N1390" i="3" s="1"/>
  <c r="L1390" i="3"/>
  <c r="K1390" i="3"/>
  <c r="J1390" i="3"/>
  <c r="O1389" i="3"/>
  <c r="N1389" i="3"/>
  <c r="M1389" i="3"/>
  <c r="L1389" i="3"/>
  <c r="K1389" i="3"/>
  <c r="J1389" i="3"/>
  <c r="O1388" i="3"/>
  <c r="M1388" i="3"/>
  <c r="N1388" i="3" s="1"/>
  <c r="L1388" i="3"/>
  <c r="K1388" i="3"/>
  <c r="J1388" i="3"/>
  <c r="O1387" i="3"/>
  <c r="N1387" i="3"/>
  <c r="M1387" i="3"/>
  <c r="L1387" i="3"/>
  <c r="K1387" i="3"/>
  <c r="J1387" i="3"/>
  <c r="O1386" i="3"/>
  <c r="M1386" i="3"/>
  <c r="N1386" i="3" s="1"/>
  <c r="L1386" i="3"/>
  <c r="K1386" i="3"/>
  <c r="J1386" i="3"/>
  <c r="O1385" i="3"/>
  <c r="N1385" i="3"/>
  <c r="M1385" i="3"/>
  <c r="L1385" i="3"/>
  <c r="K1385" i="3"/>
  <c r="J1385" i="3"/>
  <c r="O1384" i="3"/>
  <c r="M1384" i="3"/>
  <c r="N1384" i="3" s="1"/>
  <c r="L1384" i="3"/>
  <c r="K1384" i="3"/>
  <c r="J1384" i="3"/>
  <c r="O1383" i="3"/>
  <c r="N1383" i="3"/>
  <c r="M1383" i="3"/>
  <c r="L1383" i="3"/>
  <c r="K1383" i="3"/>
  <c r="J1383" i="3"/>
  <c r="O1382" i="3"/>
  <c r="M1382" i="3"/>
  <c r="N1382" i="3" s="1"/>
  <c r="L1382" i="3"/>
  <c r="K1382" i="3"/>
  <c r="J1382" i="3"/>
  <c r="O1381" i="3"/>
  <c r="N1381" i="3"/>
  <c r="M1381" i="3"/>
  <c r="L1381" i="3"/>
  <c r="K1381" i="3"/>
  <c r="J1381" i="3"/>
  <c r="O1380" i="3"/>
  <c r="M1380" i="3"/>
  <c r="N1380" i="3" s="1"/>
  <c r="L1380" i="3"/>
  <c r="K1380" i="3"/>
  <c r="J1380" i="3"/>
  <c r="O1379" i="3"/>
  <c r="N1379" i="3"/>
  <c r="M1379" i="3"/>
  <c r="L1379" i="3"/>
  <c r="K1379" i="3"/>
  <c r="J1379" i="3"/>
  <c r="O1378" i="3"/>
  <c r="M1378" i="3"/>
  <c r="N1378" i="3" s="1"/>
  <c r="L1378" i="3"/>
  <c r="K1378" i="3"/>
  <c r="J1378" i="3"/>
  <c r="O1377" i="3"/>
  <c r="M1377" i="3"/>
  <c r="N1377" i="3" s="1"/>
  <c r="L1377" i="3"/>
  <c r="K1377" i="3"/>
  <c r="J1377" i="3"/>
  <c r="O1376" i="3"/>
  <c r="N1376" i="3"/>
  <c r="M1376" i="3"/>
  <c r="L1376" i="3"/>
  <c r="K1376" i="3"/>
  <c r="J1376" i="3"/>
  <c r="O1375" i="3"/>
  <c r="M1375" i="3"/>
  <c r="N1375" i="3" s="1"/>
  <c r="L1375" i="3"/>
  <c r="K1375" i="3"/>
  <c r="J1375" i="3"/>
  <c r="O1374" i="3"/>
  <c r="N1374" i="3"/>
  <c r="M1374" i="3"/>
  <c r="L1374" i="3"/>
  <c r="K1374" i="3"/>
  <c r="J1374" i="3"/>
  <c r="O1373" i="3"/>
  <c r="M1373" i="3"/>
  <c r="N1373" i="3" s="1"/>
  <c r="L1373" i="3"/>
  <c r="K1373" i="3"/>
  <c r="J1373" i="3"/>
  <c r="O1372" i="3"/>
  <c r="M1372" i="3"/>
  <c r="N1372" i="3" s="1"/>
  <c r="L1372" i="3"/>
  <c r="K1372" i="3"/>
  <c r="J1372" i="3"/>
  <c r="O1371" i="3"/>
  <c r="M1371" i="3"/>
  <c r="N1371" i="3" s="1"/>
  <c r="L1371" i="3"/>
  <c r="K1371" i="3"/>
  <c r="J1371" i="3"/>
  <c r="O1370" i="3"/>
  <c r="M1370" i="3"/>
  <c r="N1370" i="3" s="1"/>
  <c r="L1370" i="3"/>
  <c r="K1370" i="3"/>
  <c r="J1370" i="3"/>
  <c r="O1369" i="3"/>
  <c r="M1369" i="3"/>
  <c r="N1369" i="3" s="1"/>
  <c r="L1369" i="3"/>
  <c r="K1369" i="3"/>
  <c r="J1369" i="3"/>
  <c r="O1368" i="3"/>
  <c r="N1368" i="3"/>
  <c r="M1368" i="3"/>
  <c r="L1368" i="3"/>
  <c r="K1368" i="3"/>
  <c r="J1368" i="3"/>
  <c r="O1367" i="3"/>
  <c r="M1367" i="3"/>
  <c r="N1367" i="3" s="1"/>
  <c r="L1367" i="3"/>
  <c r="K1367" i="3"/>
  <c r="J1367" i="3"/>
  <c r="O1366" i="3"/>
  <c r="M1366" i="3"/>
  <c r="N1366" i="3" s="1"/>
  <c r="L1366" i="3"/>
  <c r="K1366" i="3"/>
  <c r="J1366" i="3"/>
  <c r="O1365" i="3"/>
  <c r="M1365" i="3"/>
  <c r="N1365" i="3" s="1"/>
  <c r="L1365" i="3"/>
  <c r="K1365" i="3"/>
  <c r="J1365" i="3"/>
  <c r="O1364" i="3"/>
  <c r="M1364" i="3"/>
  <c r="N1364" i="3" s="1"/>
  <c r="L1364" i="3"/>
  <c r="K1364" i="3"/>
  <c r="J1364" i="3"/>
  <c r="O1363" i="3"/>
  <c r="M1363" i="3"/>
  <c r="N1363" i="3" s="1"/>
  <c r="L1363" i="3"/>
  <c r="K1363" i="3"/>
  <c r="J1363" i="3"/>
  <c r="O1362" i="3"/>
  <c r="M1362" i="3"/>
  <c r="N1362" i="3" s="1"/>
  <c r="L1362" i="3"/>
  <c r="K1362" i="3"/>
  <c r="J1362" i="3"/>
  <c r="O1361" i="3"/>
  <c r="M1361" i="3"/>
  <c r="N1361" i="3" s="1"/>
  <c r="L1361" i="3"/>
  <c r="K1361" i="3"/>
  <c r="J1361" i="3"/>
  <c r="O1360" i="3"/>
  <c r="N1360" i="3"/>
  <c r="M1360" i="3"/>
  <c r="K1360" i="3"/>
  <c r="J1360" i="3"/>
  <c r="O1359" i="3"/>
  <c r="N1359" i="3"/>
  <c r="M1359" i="3"/>
  <c r="K1359" i="3"/>
  <c r="J1359" i="3"/>
  <c r="O1358" i="3"/>
  <c r="M1358" i="3"/>
  <c r="N1358" i="3" s="1"/>
  <c r="K1358" i="3"/>
  <c r="J1358" i="3"/>
  <c r="O1357" i="3"/>
  <c r="M1357" i="3"/>
  <c r="N1357" i="3" s="1"/>
  <c r="K1357" i="3"/>
  <c r="J1357" i="3"/>
  <c r="O1356" i="3"/>
  <c r="N1356" i="3"/>
  <c r="M1356" i="3"/>
  <c r="K1356" i="3"/>
  <c r="J1356" i="3"/>
  <c r="O1355" i="3"/>
  <c r="N1355" i="3"/>
  <c r="M1355" i="3"/>
  <c r="K1355" i="3"/>
  <c r="J1355" i="3"/>
  <c r="O1354" i="3"/>
  <c r="M1354" i="3"/>
  <c r="N1354" i="3" s="1"/>
  <c r="K1354" i="3"/>
  <c r="J1354" i="3"/>
  <c r="O1353" i="3"/>
  <c r="M1353" i="3"/>
  <c r="N1353" i="3" s="1"/>
  <c r="K1353" i="3"/>
  <c r="J1353" i="3"/>
  <c r="O1352" i="3"/>
  <c r="N1352" i="3"/>
  <c r="M1352" i="3"/>
  <c r="K1352" i="3"/>
  <c r="J1352" i="3"/>
  <c r="O1351" i="3"/>
  <c r="N1351" i="3"/>
  <c r="M1351" i="3"/>
  <c r="K1351" i="3"/>
  <c r="J1351" i="3"/>
  <c r="O1350" i="3"/>
  <c r="M1350" i="3"/>
  <c r="N1350" i="3" s="1"/>
  <c r="K1350" i="3"/>
  <c r="J1350" i="3"/>
  <c r="O1349" i="3"/>
  <c r="M1349" i="3"/>
  <c r="N1349" i="3" s="1"/>
  <c r="K1349" i="3"/>
  <c r="J1349" i="3"/>
  <c r="O1348" i="3"/>
  <c r="N1348" i="3"/>
  <c r="M1348" i="3"/>
  <c r="K1348" i="3"/>
  <c r="J1348" i="3"/>
  <c r="O1347" i="3"/>
  <c r="N1347" i="3"/>
  <c r="M1347" i="3"/>
  <c r="K1347" i="3"/>
  <c r="J1347" i="3"/>
  <c r="O1346" i="3"/>
  <c r="M1346" i="3"/>
  <c r="N1346" i="3" s="1"/>
  <c r="K1346" i="3"/>
  <c r="J1346" i="3"/>
  <c r="O1345" i="3"/>
  <c r="M1345" i="3"/>
  <c r="N1345" i="3" s="1"/>
  <c r="K1345" i="3"/>
  <c r="J1345" i="3"/>
  <c r="O1344" i="3"/>
  <c r="N1344" i="3"/>
  <c r="M1344" i="3"/>
  <c r="K1344" i="3"/>
  <c r="J1344" i="3"/>
  <c r="O1343" i="3"/>
  <c r="N1343" i="3"/>
  <c r="M1343" i="3"/>
  <c r="K1343" i="3"/>
  <c r="J1343" i="3"/>
  <c r="O1342" i="3"/>
  <c r="M1342" i="3"/>
  <c r="N1342" i="3" s="1"/>
  <c r="K1342" i="3"/>
  <c r="J1342" i="3"/>
  <c r="O1341" i="3"/>
  <c r="M1341" i="3"/>
  <c r="N1341" i="3" s="1"/>
  <c r="K1341" i="3"/>
  <c r="J1341" i="3"/>
  <c r="O1340" i="3"/>
  <c r="N1340" i="3"/>
  <c r="M1340" i="3"/>
  <c r="K1340" i="3"/>
  <c r="J1340" i="3"/>
  <c r="O1339" i="3"/>
  <c r="N1339" i="3"/>
  <c r="M1339" i="3"/>
  <c r="K1339" i="3"/>
  <c r="J1339" i="3"/>
  <c r="O1338" i="3"/>
  <c r="M1338" i="3"/>
  <c r="N1338" i="3" s="1"/>
  <c r="K1338" i="3"/>
  <c r="J1338" i="3"/>
  <c r="O1337" i="3"/>
  <c r="M1337" i="3"/>
  <c r="N1337" i="3" s="1"/>
  <c r="K1337" i="3"/>
  <c r="J1337" i="3"/>
  <c r="O1336" i="3"/>
  <c r="N1336" i="3"/>
  <c r="M1336" i="3"/>
  <c r="K1336" i="3"/>
  <c r="J1336" i="3"/>
  <c r="O1335" i="3"/>
  <c r="N1335" i="3"/>
  <c r="M1335" i="3"/>
  <c r="K1335" i="3"/>
  <c r="J1335" i="3"/>
  <c r="O1334" i="3"/>
  <c r="M1334" i="3"/>
  <c r="N1334" i="3" s="1"/>
  <c r="K1334" i="3"/>
  <c r="J1334" i="3"/>
  <c r="O1333" i="3"/>
  <c r="M1333" i="3"/>
  <c r="N1333" i="3" s="1"/>
  <c r="K1333" i="3"/>
  <c r="J1333" i="3"/>
  <c r="O1332" i="3"/>
  <c r="N1332" i="3"/>
  <c r="M1332" i="3"/>
  <c r="K1332" i="3"/>
  <c r="J1332" i="3"/>
  <c r="O1331" i="3"/>
  <c r="N1331" i="3"/>
  <c r="M1331" i="3"/>
  <c r="K1331" i="3"/>
  <c r="J1331" i="3"/>
  <c r="O1330" i="3"/>
  <c r="M1330" i="3"/>
  <c r="N1330" i="3" s="1"/>
  <c r="J1330" i="3"/>
  <c r="O1329" i="3"/>
  <c r="M1329" i="3"/>
  <c r="N1329" i="3" s="1"/>
  <c r="J1329" i="3"/>
  <c r="O1328" i="3"/>
  <c r="M1328" i="3"/>
  <c r="N1328" i="3" s="1"/>
  <c r="J1328" i="3"/>
  <c r="O1327" i="3"/>
  <c r="M1327" i="3"/>
  <c r="N1327" i="3" s="1"/>
  <c r="J1327" i="3"/>
  <c r="O1326" i="3"/>
  <c r="M1326" i="3"/>
  <c r="N1326" i="3" s="1"/>
  <c r="J1326" i="3"/>
  <c r="O1325" i="3"/>
  <c r="M1325" i="3"/>
  <c r="N1325" i="3" s="1"/>
  <c r="J1325" i="3"/>
  <c r="O1324" i="3"/>
  <c r="M1324" i="3"/>
  <c r="N1324" i="3" s="1"/>
  <c r="J1324" i="3"/>
  <c r="O1323" i="3"/>
  <c r="M1323" i="3"/>
  <c r="N1323" i="3" s="1"/>
  <c r="J1323" i="3"/>
  <c r="O1322" i="3"/>
  <c r="M1322" i="3"/>
  <c r="N1322" i="3" s="1"/>
  <c r="J1322" i="3"/>
  <c r="O1321" i="3"/>
  <c r="M1321" i="3"/>
  <c r="N1321" i="3" s="1"/>
  <c r="J1321" i="3"/>
  <c r="O1320" i="3"/>
  <c r="M1320" i="3"/>
  <c r="N1320" i="3" s="1"/>
  <c r="J1320" i="3"/>
  <c r="O1319" i="3"/>
  <c r="M1319" i="3"/>
  <c r="N1319" i="3" s="1"/>
  <c r="J1319" i="3"/>
  <c r="O1318" i="3"/>
  <c r="M1318" i="3"/>
  <c r="N1318" i="3" s="1"/>
  <c r="J1318" i="3"/>
  <c r="O1317" i="3"/>
  <c r="M1317" i="3"/>
  <c r="N1317" i="3" s="1"/>
  <c r="J1317" i="3"/>
  <c r="O1316" i="3"/>
  <c r="M1316" i="3"/>
  <c r="N1316" i="3" s="1"/>
  <c r="J1316" i="3"/>
  <c r="O1315" i="3"/>
  <c r="M1315" i="3"/>
  <c r="N1315" i="3" s="1"/>
  <c r="J1315" i="3"/>
  <c r="O1314" i="3"/>
  <c r="M1314" i="3"/>
  <c r="N1314" i="3" s="1"/>
  <c r="J1314" i="3"/>
  <c r="O1313" i="3"/>
  <c r="M1313" i="3"/>
  <c r="N1313" i="3" s="1"/>
  <c r="J1313" i="3"/>
  <c r="O1312" i="3"/>
  <c r="M1312" i="3"/>
  <c r="N1312" i="3" s="1"/>
  <c r="O1311" i="3"/>
  <c r="N1311" i="3"/>
  <c r="M1311" i="3"/>
  <c r="L1311" i="3"/>
  <c r="K1311" i="3"/>
  <c r="J1311" i="3"/>
  <c r="O1310" i="3"/>
  <c r="M1310" i="3"/>
  <c r="N1310" i="3" s="1"/>
  <c r="L1310" i="3"/>
  <c r="K1310" i="3"/>
  <c r="J1310" i="3"/>
  <c r="O1309" i="3"/>
  <c r="N1309" i="3"/>
  <c r="M1309" i="3"/>
  <c r="L1309" i="3"/>
  <c r="K1309" i="3"/>
  <c r="J1309" i="3"/>
  <c r="O1308" i="3"/>
  <c r="M1308" i="3"/>
  <c r="N1308" i="3" s="1"/>
  <c r="L1308" i="3"/>
  <c r="K1308" i="3"/>
  <c r="J1308" i="3"/>
  <c r="O1307" i="3"/>
  <c r="N1307" i="3"/>
  <c r="M1307" i="3"/>
  <c r="L1307" i="3"/>
  <c r="K1307" i="3"/>
  <c r="J1307" i="3"/>
  <c r="O1306" i="3"/>
  <c r="M1306" i="3"/>
  <c r="N1306" i="3" s="1"/>
  <c r="L1306" i="3"/>
  <c r="K1306" i="3"/>
  <c r="J1306" i="3"/>
  <c r="O1305" i="3"/>
  <c r="N1305" i="3"/>
  <c r="M1305" i="3"/>
  <c r="L1305" i="3"/>
  <c r="K1305" i="3"/>
  <c r="J1305" i="3"/>
  <c r="O1304" i="3"/>
  <c r="M1304" i="3"/>
  <c r="N1304" i="3" s="1"/>
  <c r="L1304" i="3"/>
  <c r="K1304" i="3"/>
  <c r="J1304" i="3"/>
  <c r="O1303" i="3"/>
  <c r="N1303" i="3"/>
  <c r="M1303" i="3"/>
  <c r="L1303" i="3"/>
  <c r="K1303" i="3"/>
  <c r="J1303" i="3"/>
  <c r="O1302" i="3"/>
  <c r="M1302" i="3"/>
  <c r="N1302" i="3" s="1"/>
  <c r="L1302" i="3"/>
  <c r="K1302" i="3"/>
  <c r="J1302" i="3"/>
  <c r="O1301" i="3"/>
  <c r="N1301" i="3"/>
  <c r="M1301" i="3"/>
  <c r="L1301" i="3"/>
  <c r="K1301" i="3"/>
  <c r="J1301" i="3"/>
  <c r="O1300" i="3"/>
  <c r="M1300" i="3"/>
  <c r="N1300" i="3" s="1"/>
  <c r="L1300" i="3"/>
  <c r="K1300" i="3"/>
  <c r="J1300" i="3"/>
  <c r="O1299" i="3"/>
  <c r="N1299" i="3"/>
  <c r="M1299" i="3"/>
  <c r="L1299" i="3"/>
  <c r="K1299" i="3"/>
  <c r="J1299" i="3"/>
  <c r="O1298" i="3"/>
  <c r="M1298" i="3"/>
  <c r="N1298" i="3" s="1"/>
  <c r="L1298" i="3"/>
  <c r="K1298" i="3"/>
  <c r="J1298" i="3"/>
  <c r="O1297" i="3"/>
  <c r="N1297" i="3"/>
  <c r="M1297" i="3"/>
  <c r="L1297" i="3"/>
  <c r="K1297" i="3"/>
  <c r="J1297" i="3"/>
  <c r="O1296" i="3"/>
  <c r="M1296" i="3"/>
  <c r="N1296" i="3" s="1"/>
  <c r="L1296" i="3"/>
  <c r="K1296" i="3"/>
  <c r="J1296" i="3"/>
  <c r="O1295" i="3"/>
  <c r="N1295" i="3"/>
  <c r="M1295" i="3"/>
  <c r="L1295" i="3"/>
  <c r="K1295" i="3"/>
  <c r="J1295" i="3"/>
  <c r="O1294" i="3"/>
  <c r="M1294" i="3"/>
  <c r="N1294" i="3" s="1"/>
  <c r="L1294" i="3"/>
  <c r="K1294" i="3"/>
  <c r="J1294" i="3"/>
  <c r="O1293" i="3"/>
  <c r="N1293" i="3"/>
  <c r="M1293" i="3"/>
  <c r="L1293" i="3"/>
  <c r="K1293" i="3"/>
  <c r="J1293" i="3"/>
  <c r="O1292" i="3"/>
  <c r="M1292" i="3"/>
  <c r="N1292" i="3" s="1"/>
  <c r="L1292" i="3"/>
  <c r="K1292" i="3"/>
  <c r="J1292" i="3"/>
  <c r="O1291" i="3"/>
  <c r="N1291" i="3"/>
  <c r="M1291" i="3"/>
  <c r="L1291" i="3"/>
  <c r="K1291" i="3"/>
  <c r="J1291" i="3"/>
  <c r="O1290" i="3"/>
  <c r="M1290" i="3"/>
  <c r="N1290" i="3" s="1"/>
  <c r="L1290" i="3"/>
  <c r="K1290" i="3"/>
  <c r="J1290" i="3"/>
  <c r="O1289" i="3"/>
  <c r="N1289" i="3"/>
  <c r="M1289" i="3"/>
  <c r="L1289" i="3"/>
  <c r="K1289" i="3"/>
  <c r="J1289" i="3"/>
  <c r="O1288" i="3"/>
  <c r="M1288" i="3"/>
  <c r="N1288" i="3" s="1"/>
  <c r="L1288" i="3"/>
  <c r="K1288" i="3"/>
  <c r="J1288" i="3"/>
  <c r="O1287" i="3"/>
  <c r="N1287" i="3"/>
  <c r="M1287" i="3"/>
  <c r="L1287" i="3"/>
  <c r="K1287" i="3"/>
  <c r="J1287" i="3"/>
  <c r="O1286" i="3"/>
  <c r="M1286" i="3"/>
  <c r="N1286" i="3" s="1"/>
  <c r="L1286" i="3"/>
  <c r="K1286" i="3"/>
  <c r="J1286" i="3"/>
  <c r="O1285" i="3"/>
  <c r="N1285" i="3"/>
  <c r="M1285" i="3"/>
  <c r="L1285" i="3"/>
  <c r="K1285" i="3"/>
  <c r="J1285" i="3"/>
  <c r="O1284" i="3"/>
  <c r="M1284" i="3"/>
  <c r="N1284" i="3" s="1"/>
  <c r="L1284" i="3"/>
  <c r="K1284" i="3"/>
  <c r="J1284" i="3"/>
  <c r="O1283" i="3"/>
  <c r="N1283" i="3"/>
  <c r="M1283" i="3"/>
  <c r="L1283" i="3"/>
  <c r="K1283" i="3"/>
  <c r="J1283" i="3"/>
  <c r="O1282" i="3"/>
  <c r="M1282" i="3"/>
  <c r="N1282" i="3" s="1"/>
  <c r="L1282" i="3"/>
  <c r="K1282" i="3"/>
  <c r="J1282" i="3"/>
  <c r="O1281" i="3"/>
  <c r="N1281" i="3"/>
  <c r="M1281" i="3"/>
  <c r="L1281" i="3"/>
  <c r="K1281" i="3"/>
  <c r="J1281" i="3"/>
  <c r="O1280" i="3"/>
  <c r="M1280" i="3"/>
  <c r="N1280" i="3" s="1"/>
  <c r="L1280" i="3"/>
  <c r="K1280" i="3"/>
  <c r="J1280" i="3"/>
  <c r="O1279" i="3"/>
  <c r="N1279" i="3"/>
  <c r="M1279" i="3"/>
  <c r="L1279" i="3"/>
  <c r="K1279" i="3"/>
  <c r="J1279" i="3"/>
  <c r="O1278" i="3"/>
  <c r="M1278" i="3"/>
  <c r="N1278" i="3" s="1"/>
  <c r="L1278" i="3"/>
  <c r="K1278" i="3"/>
  <c r="J1278" i="3"/>
  <c r="O1277" i="3"/>
  <c r="N1277" i="3"/>
  <c r="M1277" i="3"/>
  <c r="L1277" i="3"/>
  <c r="K1277" i="3"/>
  <c r="J1277" i="3"/>
  <c r="O1276" i="3"/>
  <c r="M1276" i="3"/>
  <c r="N1276" i="3" s="1"/>
  <c r="L1276" i="3"/>
  <c r="K1276" i="3"/>
  <c r="J1276" i="3"/>
  <c r="O1275" i="3"/>
  <c r="N1275" i="3"/>
  <c r="M1275" i="3"/>
  <c r="L1275" i="3"/>
  <c r="K1275" i="3"/>
  <c r="J1275" i="3"/>
  <c r="O1274" i="3"/>
  <c r="M1274" i="3"/>
  <c r="N1274" i="3" s="1"/>
  <c r="L1274" i="3"/>
  <c r="K1274" i="3"/>
  <c r="J1274" i="3"/>
  <c r="O1273" i="3"/>
  <c r="N1273" i="3"/>
  <c r="M1273" i="3"/>
  <c r="L1273" i="3"/>
  <c r="K1273" i="3"/>
  <c r="J1273" i="3"/>
  <c r="O1272" i="3"/>
  <c r="M1272" i="3"/>
  <c r="N1272" i="3" s="1"/>
  <c r="L1272" i="3"/>
  <c r="K1272" i="3"/>
  <c r="J1272" i="3"/>
  <c r="O1271" i="3"/>
  <c r="N1271" i="3"/>
  <c r="M1271" i="3"/>
  <c r="L1271" i="3"/>
  <c r="K1271" i="3"/>
  <c r="J1271" i="3"/>
  <c r="O1270" i="3"/>
  <c r="M1270" i="3"/>
  <c r="N1270" i="3" s="1"/>
  <c r="L1270" i="3"/>
  <c r="K1270" i="3"/>
  <c r="J1270" i="3"/>
  <c r="O1269" i="3"/>
  <c r="N1269" i="3"/>
  <c r="M1269" i="3"/>
  <c r="L1269" i="3"/>
  <c r="K1269" i="3"/>
  <c r="J1269" i="3"/>
  <c r="O1268" i="3"/>
  <c r="M1268" i="3"/>
  <c r="N1268" i="3" s="1"/>
  <c r="L1268" i="3"/>
  <c r="K1268" i="3"/>
  <c r="J1268" i="3"/>
  <c r="O1267" i="3"/>
  <c r="N1267" i="3"/>
  <c r="M1267" i="3"/>
  <c r="L1267" i="3"/>
  <c r="K1267" i="3"/>
  <c r="J1267" i="3"/>
  <c r="O1266" i="3"/>
  <c r="M1266" i="3"/>
  <c r="N1266" i="3" s="1"/>
  <c r="L1266" i="3"/>
  <c r="K1266" i="3"/>
  <c r="J1266" i="3"/>
  <c r="O1265" i="3"/>
  <c r="N1265" i="3"/>
  <c r="M1265" i="3"/>
  <c r="L1265" i="3"/>
  <c r="K1265" i="3"/>
  <c r="J1265" i="3"/>
  <c r="O1264" i="3"/>
  <c r="M1264" i="3"/>
  <c r="N1264" i="3" s="1"/>
  <c r="L1264" i="3"/>
  <c r="K1264" i="3"/>
  <c r="J1264" i="3"/>
  <c r="O1263" i="3"/>
  <c r="N1263" i="3"/>
  <c r="M1263" i="3"/>
  <c r="L1263" i="3"/>
  <c r="K1263" i="3"/>
  <c r="J1263" i="3"/>
  <c r="O1262" i="3"/>
  <c r="M1262" i="3"/>
  <c r="N1262" i="3" s="1"/>
  <c r="L1262" i="3"/>
  <c r="K1262" i="3"/>
  <c r="J1262" i="3"/>
  <c r="O1261" i="3"/>
  <c r="N1261" i="3"/>
  <c r="M1261" i="3"/>
  <c r="L1261" i="3"/>
  <c r="K1261" i="3"/>
  <c r="J1261" i="3"/>
  <c r="O1260" i="3"/>
  <c r="M1260" i="3"/>
  <c r="N1260" i="3" s="1"/>
  <c r="L1260" i="3"/>
  <c r="K1260" i="3"/>
  <c r="J1260" i="3"/>
  <c r="O1259" i="3"/>
  <c r="N1259" i="3"/>
  <c r="M1259" i="3"/>
  <c r="L1259" i="3"/>
  <c r="K1259" i="3"/>
  <c r="J1259" i="3"/>
  <c r="O1258" i="3"/>
  <c r="M1258" i="3"/>
  <c r="N1258" i="3" s="1"/>
  <c r="L1258" i="3"/>
  <c r="K1258" i="3"/>
  <c r="J1258" i="3"/>
  <c r="O1257" i="3"/>
  <c r="N1257" i="3"/>
  <c r="M1257" i="3"/>
  <c r="L1257" i="3"/>
  <c r="K1257" i="3"/>
  <c r="J1257" i="3"/>
  <c r="O1256" i="3"/>
  <c r="M1256" i="3"/>
  <c r="N1256" i="3" s="1"/>
  <c r="L1256" i="3"/>
  <c r="K1256" i="3"/>
  <c r="J1256" i="3"/>
  <c r="O1255" i="3"/>
  <c r="N1255" i="3"/>
  <c r="M1255" i="3"/>
  <c r="L1255" i="3"/>
  <c r="K1255" i="3"/>
  <c r="J1255" i="3"/>
  <c r="O1254" i="3"/>
  <c r="M1254" i="3"/>
  <c r="N1254" i="3" s="1"/>
  <c r="L1254" i="3"/>
  <c r="K1254" i="3"/>
  <c r="J1254" i="3"/>
  <c r="O1253" i="3"/>
  <c r="N1253" i="3"/>
  <c r="M1253" i="3"/>
  <c r="L1253" i="3"/>
  <c r="K1253" i="3"/>
  <c r="J1253" i="3"/>
  <c r="O1252" i="3"/>
  <c r="M1252" i="3"/>
  <c r="N1252" i="3" s="1"/>
  <c r="L1252" i="3"/>
  <c r="K1252" i="3"/>
  <c r="J1252" i="3"/>
  <c r="O1251" i="3"/>
  <c r="N1251" i="3"/>
  <c r="M1251" i="3"/>
  <c r="L1251" i="3"/>
  <c r="K1251" i="3"/>
  <c r="J1251" i="3"/>
  <c r="O1250" i="3"/>
  <c r="M1250" i="3"/>
  <c r="N1250" i="3" s="1"/>
  <c r="L1250" i="3"/>
  <c r="K1250" i="3"/>
  <c r="J1250" i="3"/>
  <c r="O1249" i="3"/>
  <c r="N1249" i="3"/>
  <c r="M1249" i="3"/>
  <c r="L1249" i="3"/>
  <c r="K1249" i="3"/>
  <c r="J1249" i="3"/>
  <c r="O1248" i="3"/>
  <c r="M1248" i="3"/>
  <c r="N1248" i="3" s="1"/>
  <c r="L1248" i="3"/>
  <c r="K1248" i="3"/>
  <c r="J1248" i="3"/>
  <c r="O1247" i="3"/>
  <c r="N1247" i="3"/>
  <c r="M1247" i="3"/>
  <c r="L1247" i="3"/>
  <c r="K1247" i="3"/>
  <c r="J1247" i="3"/>
  <c r="O1246" i="3"/>
  <c r="M1246" i="3"/>
  <c r="N1246" i="3" s="1"/>
  <c r="L1246" i="3"/>
  <c r="K1246" i="3"/>
  <c r="J1246" i="3"/>
  <c r="O1245" i="3"/>
  <c r="N1245" i="3"/>
  <c r="M1245" i="3"/>
  <c r="L1245" i="3"/>
  <c r="K1245" i="3"/>
  <c r="J1245" i="3"/>
  <c r="O1244" i="3"/>
  <c r="M1244" i="3"/>
  <c r="N1244" i="3" s="1"/>
  <c r="L1244" i="3"/>
  <c r="K1244" i="3"/>
  <c r="J1244" i="3"/>
  <c r="O1243" i="3"/>
  <c r="N1243" i="3"/>
  <c r="M1243" i="3"/>
  <c r="L1243" i="3"/>
  <c r="K1243" i="3"/>
  <c r="J1243" i="3"/>
  <c r="O1242" i="3"/>
  <c r="M1242" i="3"/>
  <c r="N1242" i="3" s="1"/>
  <c r="L1242" i="3"/>
  <c r="K1242" i="3"/>
  <c r="J1242" i="3"/>
  <c r="O1241" i="3"/>
  <c r="N1241" i="3"/>
  <c r="M1241" i="3"/>
  <c r="L1241" i="3"/>
  <c r="K1241" i="3"/>
  <c r="J1241" i="3"/>
  <c r="O1240" i="3"/>
  <c r="M1240" i="3"/>
  <c r="N1240" i="3" s="1"/>
  <c r="L1240" i="3"/>
  <c r="K1240" i="3"/>
  <c r="J1240" i="3"/>
  <c r="O1239" i="3"/>
  <c r="N1239" i="3"/>
  <c r="M1239" i="3"/>
  <c r="L1239" i="3"/>
  <c r="K1239" i="3"/>
  <c r="J1239" i="3"/>
  <c r="O1238" i="3"/>
  <c r="M1238" i="3"/>
  <c r="N1238" i="3" s="1"/>
  <c r="L1238" i="3"/>
  <c r="K1238" i="3"/>
  <c r="J1238" i="3"/>
  <c r="O1237" i="3"/>
  <c r="N1237" i="3"/>
  <c r="M1237" i="3"/>
  <c r="L1237" i="3"/>
  <c r="K1237" i="3"/>
  <c r="J1237" i="3"/>
  <c r="O1236" i="3"/>
  <c r="M1236" i="3"/>
  <c r="N1236" i="3" s="1"/>
  <c r="L1236" i="3"/>
  <c r="K1236" i="3"/>
  <c r="J1236" i="3"/>
  <c r="O1235" i="3"/>
  <c r="N1235" i="3"/>
  <c r="M1235" i="3"/>
  <c r="L1235" i="3"/>
  <c r="K1235" i="3"/>
  <c r="J1235" i="3"/>
  <c r="O1234" i="3"/>
  <c r="M1234" i="3"/>
  <c r="N1234" i="3" s="1"/>
  <c r="L1234" i="3"/>
  <c r="K1234" i="3"/>
  <c r="J1234" i="3"/>
  <c r="O1233" i="3"/>
  <c r="N1233" i="3"/>
  <c r="M1233" i="3"/>
  <c r="L1233" i="3"/>
  <c r="K1233" i="3"/>
  <c r="J1233" i="3"/>
  <c r="O1232" i="3"/>
  <c r="M1232" i="3"/>
  <c r="N1232" i="3" s="1"/>
  <c r="L1232" i="3"/>
  <c r="K1232" i="3"/>
  <c r="J1232" i="3"/>
  <c r="O1231" i="3"/>
  <c r="N1231" i="3"/>
  <c r="M1231" i="3"/>
  <c r="L1231" i="3"/>
  <c r="K1231" i="3"/>
  <c r="J1231" i="3"/>
  <c r="O1230" i="3"/>
  <c r="M1230" i="3"/>
  <c r="N1230" i="3" s="1"/>
  <c r="L1230" i="3"/>
  <c r="K1230" i="3"/>
  <c r="J1230" i="3"/>
  <c r="O1229" i="3"/>
  <c r="N1229" i="3"/>
  <c r="M1229" i="3"/>
  <c r="L1229" i="3"/>
  <c r="K1229" i="3"/>
  <c r="J1229" i="3"/>
  <c r="O1228" i="3"/>
  <c r="M1228" i="3"/>
  <c r="N1228" i="3" s="1"/>
  <c r="L1228" i="3"/>
  <c r="K1228" i="3"/>
  <c r="J1228" i="3"/>
  <c r="O1227" i="3"/>
  <c r="N1227" i="3"/>
  <c r="M1227" i="3"/>
  <c r="L1227" i="3"/>
  <c r="K1227" i="3"/>
  <c r="J1227" i="3"/>
  <c r="O1226" i="3"/>
  <c r="M1226" i="3"/>
  <c r="N1226" i="3" s="1"/>
  <c r="L1226" i="3"/>
  <c r="K1226" i="3"/>
  <c r="J1226" i="3"/>
  <c r="O1225" i="3"/>
  <c r="N1225" i="3"/>
  <c r="M1225" i="3"/>
  <c r="L1225" i="3"/>
  <c r="K1225" i="3"/>
  <c r="J1225" i="3"/>
  <c r="O1224" i="3"/>
  <c r="M1224" i="3"/>
  <c r="N1224" i="3" s="1"/>
  <c r="L1224" i="3"/>
  <c r="K1224" i="3"/>
  <c r="J1224" i="3"/>
  <c r="O1223" i="3"/>
  <c r="N1223" i="3"/>
  <c r="M1223" i="3"/>
  <c r="L1223" i="3"/>
  <c r="K1223" i="3"/>
  <c r="J1223" i="3"/>
  <c r="O1222" i="3"/>
  <c r="M1222" i="3"/>
  <c r="N1222" i="3" s="1"/>
  <c r="L1222" i="3"/>
  <c r="K1222" i="3"/>
  <c r="J1222" i="3"/>
  <c r="O1221" i="3"/>
  <c r="N1221" i="3"/>
  <c r="M1221" i="3"/>
  <c r="L1221" i="3"/>
  <c r="K1221" i="3"/>
  <c r="J1221" i="3"/>
  <c r="O1220" i="3"/>
  <c r="M1220" i="3"/>
  <c r="N1220" i="3" s="1"/>
  <c r="L1220" i="3"/>
  <c r="K1220" i="3"/>
  <c r="J1220" i="3"/>
  <c r="O1219" i="3"/>
  <c r="N1219" i="3"/>
  <c r="M1219" i="3"/>
  <c r="L1219" i="3"/>
  <c r="K1219" i="3"/>
  <c r="J1219" i="3"/>
  <c r="O1218" i="3"/>
  <c r="M1218" i="3"/>
  <c r="N1218" i="3" s="1"/>
  <c r="L1218" i="3"/>
  <c r="K1218" i="3"/>
  <c r="J1218" i="3"/>
  <c r="O1217" i="3"/>
  <c r="N1217" i="3"/>
  <c r="M1217" i="3"/>
  <c r="L1217" i="3"/>
  <c r="K1217" i="3"/>
  <c r="J1217" i="3"/>
  <c r="O1216" i="3"/>
  <c r="M1216" i="3"/>
  <c r="N1216" i="3" s="1"/>
  <c r="L1216" i="3"/>
  <c r="K1216" i="3"/>
  <c r="J1216" i="3"/>
  <c r="O1215" i="3"/>
  <c r="N1215" i="3"/>
  <c r="M1215" i="3"/>
  <c r="L1215" i="3"/>
  <c r="K1215" i="3"/>
  <c r="J1215" i="3"/>
  <c r="O1214" i="3"/>
  <c r="M1214" i="3"/>
  <c r="N1214" i="3" s="1"/>
  <c r="L1214" i="3"/>
  <c r="K1214" i="3"/>
  <c r="J1214" i="3"/>
  <c r="O1213" i="3"/>
  <c r="N1213" i="3"/>
  <c r="M1213" i="3"/>
  <c r="L1213" i="3"/>
  <c r="K1213" i="3"/>
  <c r="J1213" i="3"/>
  <c r="O1212" i="3"/>
  <c r="M1212" i="3"/>
  <c r="N1212" i="3" s="1"/>
  <c r="L1212" i="3"/>
  <c r="K1212" i="3"/>
  <c r="J1212" i="3"/>
  <c r="O1211" i="3"/>
  <c r="N1211" i="3"/>
  <c r="M1211" i="3"/>
  <c r="L1211" i="3"/>
  <c r="K1211" i="3"/>
  <c r="J1211" i="3"/>
  <c r="O1210" i="3"/>
  <c r="M1210" i="3"/>
  <c r="N1210" i="3" s="1"/>
  <c r="L1210" i="3"/>
  <c r="K1210" i="3"/>
  <c r="J1210" i="3"/>
  <c r="O1209" i="3"/>
  <c r="N1209" i="3"/>
  <c r="M1209" i="3"/>
  <c r="L1209" i="3"/>
  <c r="K1209" i="3"/>
  <c r="J1209" i="3"/>
  <c r="O1208" i="3"/>
  <c r="M1208" i="3"/>
  <c r="N1208" i="3" s="1"/>
  <c r="L1208" i="3"/>
  <c r="K1208" i="3"/>
  <c r="J1208" i="3"/>
  <c r="O1207" i="3"/>
  <c r="N1207" i="3"/>
  <c r="M1207" i="3"/>
  <c r="L1207" i="3"/>
  <c r="K1207" i="3"/>
  <c r="J1207" i="3"/>
  <c r="O1206" i="3"/>
  <c r="M1206" i="3"/>
  <c r="N1206" i="3" s="1"/>
  <c r="L1206" i="3"/>
  <c r="K1206" i="3"/>
  <c r="J1206" i="3"/>
  <c r="O1205" i="3"/>
  <c r="N1205" i="3"/>
  <c r="M1205" i="3"/>
  <c r="L1205" i="3"/>
  <c r="K1205" i="3"/>
  <c r="J1205" i="3"/>
  <c r="O1204" i="3"/>
  <c r="M1204" i="3"/>
  <c r="N1204" i="3" s="1"/>
  <c r="L1204" i="3"/>
  <c r="K1204" i="3"/>
  <c r="J1204" i="3"/>
  <c r="O1203" i="3"/>
  <c r="N1203" i="3"/>
  <c r="M1203" i="3"/>
  <c r="L1203" i="3"/>
  <c r="K1203" i="3"/>
  <c r="J1203" i="3"/>
  <c r="O1202" i="3"/>
  <c r="M1202" i="3"/>
  <c r="N1202" i="3" s="1"/>
  <c r="L1202" i="3"/>
  <c r="K1202" i="3"/>
  <c r="J1202" i="3"/>
  <c r="O1201" i="3"/>
  <c r="N1201" i="3"/>
  <c r="M1201" i="3"/>
  <c r="L1201" i="3"/>
  <c r="K1201" i="3"/>
  <c r="J1201" i="3"/>
  <c r="O1200" i="3"/>
  <c r="M1200" i="3"/>
  <c r="N1200" i="3" s="1"/>
  <c r="L1200" i="3"/>
  <c r="K1200" i="3"/>
  <c r="J1200" i="3"/>
  <c r="O1199" i="3"/>
  <c r="N1199" i="3"/>
  <c r="M1199" i="3"/>
  <c r="L1199" i="3"/>
  <c r="K1199" i="3"/>
  <c r="J1199" i="3"/>
  <c r="O1198" i="3"/>
  <c r="M1198" i="3"/>
  <c r="N1198" i="3" s="1"/>
  <c r="L1198" i="3"/>
  <c r="K1198" i="3"/>
  <c r="J1198" i="3"/>
  <c r="O1197" i="3"/>
  <c r="N1197" i="3"/>
  <c r="M1197" i="3"/>
  <c r="L1197" i="3"/>
  <c r="K1197" i="3"/>
  <c r="J1197" i="3"/>
  <c r="O1196" i="3"/>
  <c r="M1196" i="3"/>
  <c r="N1196" i="3" s="1"/>
  <c r="L1196" i="3"/>
  <c r="K1196" i="3"/>
  <c r="J1196" i="3"/>
  <c r="O1195" i="3"/>
  <c r="N1195" i="3"/>
  <c r="M1195" i="3"/>
  <c r="L1195" i="3"/>
  <c r="K1195" i="3"/>
  <c r="J1195" i="3"/>
  <c r="O1194" i="3"/>
  <c r="M1194" i="3"/>
  <c r="N1194" i="3" s="1"/>
  <c r="L1194" i="3"/>
  <c r="K1194" i="3"/>
  <c r="J1194" i="3"/>
  <c r="O1193" i="3"/>
  <c r="N1193" i="3"/>
  <c r="M1193" i="3"/>
  <c r="L1193" i="3"/>
  <c r="K1193" i="3"/>
  <c r="J1193" i="3"/>
  <c r="O1192" i="3"/>
  <c r="M1192" i="3"/>
  <c r="N1192" i="3" s="1"/>
  <c r="L1192" i="3"/>
  <c r="K1192" i="3"/>
  <c r="J1192" i="3"/>
  <c r="O1191" i="3"/>
  <c r="N1191" i="3"/>
  <c r="M1191" i="3"/>
  <c r="L1191" i="3"/>
  <c r="K1191" i="3"/>
  <c r="J1191" i="3"/>
  <c r="O1190" i="3"/>
  <c r="M1190" i="3"/>
  <c r="N1190" i="3" s="1"/>
  <c r="L1190" i="3"/>
  <c r="K1190" i="3"/>
  <c r="J1190" i="3"/>
  <c r="O1189" i="3"/>
  <c r="N1189" i="3"/>
  <c r="M1189" i="3"/>
  <c r="L1189" i="3"/>
  <c r="K1189" i="3"/>
  <c r="J1189" i="3"/>
  <c r="O1188" i="3"/>
  <c r="M1188" i="3"/>
  <c r="N1188" i="3" s="1"/>
  <c r="L1188" i="3"/>
  <c r="K1188" i="3"/>
  <c r="J1188" i="3"/>
  <c r="O1187" i="3"/>
  <c r="N1187" i="3"/>
  <c r="M1187" i="3"/>
  <c r="L1187" i="3"/>
  <c r="K1187" i="3"/>
  <c r="J1187" i="3"/>
  <c r="O1186" i="3"/>
  <c r="M1186" i="3"/>
  <c r="N1186" i="3" s="1"/>
  <c r="L1186" i="3"/>
  <c r="K1186" i="3"/>
  <c r="J1186" i="3"/>
  <c r="O1185" i="3"/>
  <c r="N1185" i="3"/>
  <c r="M1185" i="3"/>
  <c r="L1185" i="3"/>
  <c r="K1185" i="3"/>
  <c r="J1185" i="3"/>
  <c r="O1184" i="3"/>
  <c r="M1184" i="3"/>
  <c r="N1184" i="3" s="1"/>
  <c r="L1184" i="3"/>
  <c r="K1184" i="3"/>
  <c r="J1184" i="3"/>
  <c r="O1183" i="3"/>
  <c r="N1183" i="3"/>
  <c r="M1183" i="3"/>
  <c r="L1183" i="3"/>
  <c r="K1183" i="3"/>
  <c r="J1183" i="3"/>
  <c r="O1182" i="3"/>
  <c r="M1182" i="3"/>
  <c r="N1182" i="3" s="1"/>
  <c r="L1182" i="3"/>
  <c r="K1182" i="3"/>
  <c r="J1182" i="3"/>
  <c r="O1181" i="3"/>
  <c r="N1181" i="3"/>
  <c r="M1181" i="3"/>
  <c r="L1181" i="3"/>
  <c r="K1181" i="3"/>
  <c r="J1181" i="3"/>
  <c r="O1180" i="3"/>
  <c r="M1180" i="3"/>
  <c r="N1180" i="3" s="1"/>
  <c r="L1180" i="3"/>
  <c r="K1180" i="3"/>
  <c r="J1180" i="3"/>
  <c r="O1179" i="3"/>
  <c r="N1179" i="3"/>
  <c r="M1179" i="3"/>
  <c r="L1179" i="3"/>
  <c r="K1179" i="3"/>
  <c r="J1179" i="3"/>
  <c r="O1178" i="3"/>
  <c r="M1178" i="3"/>
  <c r="N1178" i="3" s="1"/>
  <c r="L1178" i="3"/>
  <c r="K1178" i="3"/>
  <c r="J1178" i="3"/>
  <c r="O1177" i="3"/>
  <c r="N1177" i="3"/>
  <c r="M1177" i="3"/>
  <c r="L1177" i="3"/>
  <c r="K1177" i="3"/>
  <c r="J1177" i="3"/>
  <c r="O1176" i="3"/>
  <c r="M1176" i="3"/>
  <c r="N1176" i="3" s="1"/>
  <c r="L1176" i="3"/>
  <c r="K1176" i="3"/>
  <c r="J1176" i="3"/>
  <c r="O1175" i="3"/>
  <c r="N1175" i="3"/>
  <c r="M1175" i="3"/>
  <c r="L1175" i="3"/>
  <c r="K1175" i="3"/>
  <c r="J1175" i="3"/>
  <c r="O1174" i="3"/>
  <c r="M1174" i="3"/>
  <c r="N1174" i="3" s="1"/>
  <c r="L1174" i="3"/>
  <c r="K1174" i="3"/>
  <c r="J1174" i="3"/>
  <c r="O1173" i="3"/>
  <c r="N1173" i="3"/>
  <c r="M1173" i="3"/>
  <c r="L1173" i="3"/>
  <c r="K1173" i="3"/>
  <c r="J1173" i="3"/>
  <c r="O1172" i="3"/>
  <c r="M1172" i="3"/>
  <c r="N1172" i="3" s="1"/>
  <c r="L1172" i="3"/>
  <c r="K1172" i="3"/>
  <c r="J1172" i="3"/>
  <c r="O1171" i="3"/>
  <c r="N1171" i="3"/>
  <c r="M1171" i="3"/>
  <c r="L1171" i="3"/>
  <c r="K1171" i="3"/>
  <c r="J1171" i="3"/>
  <c r="O1170" i="3"/>
  <c r="M1170" i="3"/>
  <c r="N1170" i="3" s="1"/>
  <c r="L1170" i="3"/>
  <c r="K1170" i="3"/>
  <c r="J1170" i="3"/>
  <c r="O1169" i="3"/>
  <c r="N1169" i="3"/>
  <c r="M1169" i="3"/>
  <c r="L1169" i="3"/>
  <c r="K1169" i="3"/>
  <c r="J1169" i="3"/>
  <c r="O1168" i="3"/>
  <c r="M1168" i="3"/>
  <c r="N1168" i="3" s="1"/>
  <c r="L1168" i="3"/>
  <c r="K1168" i="3"/>
  <c r="J1168" i="3"/>
  <c r="O1167" i="3"/>
  <c r="N1167" i="3"/>
  <c r="M1167" i="3"/>
  <c r="L1167" i="3"/>
  <c r="K1167" i="3"/>
  <c r="J1167" i="3"/>
  <c r="O1166" i="3"/>
  <c r="M1166" i="3"/>
  <c r="N1166" i="3" s="1"/>
  <c r="L1166" i="3"/>
  <c r="K1166" i="3"/>
  <c r="J1166" i="3"/>
  <c r="O1165" i="3"/>
  <c r="N1165" i="3"/>
  <c r="M1165" i="3"/>
  <c r="L1165" i="3"/>
  <c r="K1165" i="3"/>
  <c r="J1165" i="3"/>
  <c r="O1164" i="3"/>
  <c r="M1164" i="3"/>
  <c r="N1164" i="3" s="1"/>
  <c r="L1164" i="3"/>
  <c r="K1164" i="3"/>
  <c r="J1164" i="3"/>
  <c r="O1163" i="3"/>
  <c r="N1163" i="3"/>
  <c r="M1163" i="3"/>
  <c r="L1163" i="3"/>
  <c r="K1163" i="3"/>
  <c r="J1163" i="3"/>
  <c r="O1162" i="3"/>
  <c r="M1162" i="3"/>
  <c r="N1162" i="3" s="1"/>
  <c r="L1162" i="3"/>
  <c r="K1162" i="3"/>
  <c r="J1162" i="3"/>
  <c r="O1161" i="3"/>
  <c r="N1161" i="3"/>
  <c r="M1161" i="3"/>
  <c r="L1161" i="3"/>
  <c r="K1161" i="3"/>
  <c r="J1161" i="3"/>
  <c r="O1160" i="3"/>
  <c r="M1160" i="3"/>
  <c r="N1160" i="3" s="1"/>
  <c r="L1160" i="3"/>
  <c r="K1160" i="3"/>
  <c r="J1160" i="3"/>
  <c r="O1159" i="3"/>
  <c r="N1159" i="3"/>
  <c r="M1159" i="3"/>
  <c r="L1159" i="3"/>
  <c r="K1159" i="3"/>
  <c r="J1159" i="3"/>
  <c r="O1158" i="3"/>
  <c r="M1158" i="3"/>
  <c r="N1158" i="3" s="1"/>
  <c r="L1158" i="3"/>
  <c r="K1158" i="3"/>
  <c r="J1158" i="3"/>
  <c r="O1157" i="3"/>
  <c r="N1157" i="3"/>
  <c r="M1157" i="3"/>
  <c r="L1157" i="3"/>
  <c r="K1157" i="3"/>
  <c r="J1157" i="3"/>
  <c r="O1156" i="3"/>
  <c r="M1156" i="3"/>
  <c r="N1156" i="3" s="1"/>
  <c r="L1156" i="3"/>
  <c r="K1156" i="3"/>
  <c r="J1156" i="3"/>
  <c r="O1155" i="3"/>
  <c r="N1155" i="3"/>
  <c r="M1155" i="3"/>
  <c r="L1155" i="3"/>
  <c r="K1155" i="3"/>
  <c r="J1155" i="3"/>
  <c r="O1154" i="3"/>
  <c r="M1154" i="3"/>
  <c r="N1154" i="3" s="1"/>
  <c r="L1154" i="3"/>
  <c r="K1154" i="3"/>
  <c r="J1154" i="3"/>
  <c r="O1153" i="3"/>
  <c r="N1153" i="3"/>
  <c r="M1153" i="3"/>
  <c r="L1153" i="3"/>
  <c r="K1153" i="3"/>
  <c r="J1153" i="3"/>
  <c r="O1152" i="3"/>
  <c r="M1152" i="3"/>
  <c r="N1152" i="3" s="1"/>
  <c r="L1152" i="3"/>
  <c r="K1152" i="3"/>
  <c r="J1152" i="3"/>
  <c r="O1151" i="3"/>
  <c r="N1151" i="3"/>
  <c r="M1151" i="3"/>
  <c r="L1151" i="3"/>
  <c r="K1151" i="3"/>
  <c r="J1151" i="3"/>
  <c r="O1150" i="3"/>
  <c r="M1150" i="3"/>
  <c r="N1150" i="3" s="1"/>
  <c r="L1150" i="3"/>
  <c r="K1150" i="3"/>
  <c r="J1150" i="3"/>
  <c r="O1149" i="3"/>
  <c r="N1149" i="3"/>
  <c r="M1149" i="3"/>
  <c r="L1149" i="3"/>
  <c r="K1149" i="3"/>
  <c r="J1149" i="3"/>
  <c r="O1148" i="3"/>
  <c r="M1148" i="3"/>
  <c r="N1148" i="3" s="1"/>
  <c r="L1148" i="3"/>
  <c r="K1148" i="3"/>
  <c r="J1148" i="3"/>
  <c r="O1147" i="3"/>
  <c r="N1147" i="3"/>
  <c r="M1147" i="3"/>
  <c r="L1147" i="3"/>
  <c r="K1147" i="3"/>
  <c r="J1147" i="3"/>
  <c r="O1146" i="3"/>
  <c r="M1146" i="3"/>
  <c r="N1146" i="3" s="1"/>
  <c r="L1146" i="3"/>
  <c r="K1146" i="3"/>
  <c r="J1146" i="3"/>
  <c r="O1145" i="3"/>
  <c r="N1145" i="3"/>
  <c r="M1145" i="3"/>
  <c r="L1145" i="3"/>
  <c r="K1145" i="3"/>
  <c r="J1145" i="3"/>
  <c r="O1144" i="3"/>
  <c r="M1144" i="3"/>
  <c r="N1144" i="3" s="1"/>
  <c r="L1144" i="3"/>
  <c r="K1144" i="3"/>
  <c r="J1144" i="3"/>
  <c r="O1143" i="3"/>
  <c r="N1143" i="3"/>
  <c r="M1143" i="3"/>
  <c r="L1143" i="3"/>
  <c r="K1143" i="3"/>
  <c r="J1143" i="3"/>
  <c r="O1142" i="3"/>
  <c r="M1142" i="3"/>
  <c r="N1142" i="3" s="1"/>
  <c r="L1142" i="3"/>
  <c r="K1142" i="3"/>
  <c r="J1142" i="3"/>
  <c r="O1141" i="3"/>
  <c r="N1141" i="3"/>
  <c r="M1141" i="3"/>
  <c r="L1141" i="3"/>
  <c r="K1141" i="3"/>
  <c r="J1141" i="3"/>
  <c r="O1140" i="3"/>
  <c r="M1140" i="3"/>
  <c r="N1140" i="3" s="1"/>
  <c r="L1140" i="3"/>
  <c r="K1140" i="3"/>
  <c r="J1140" i="3"/>
  <c r="O1139" i="3"/>
  <c r="N1139" i="3"/>
  <c r="M1139" i="3"/>
  <c r="L1139" i="3"/>
  <c r="K1139" i="3"/>
  <c r="J1139" i="3"/>
  <c r="O1138" i="3"/>
  <c r="M1138" i="3"/>
  <c r="N1138" i="3" s="1"/>
  <c r="L1138" i="3"/>
  <c r="K1138" i="3"/>
  <c r="J1138" i="3"/>
  <c r="O1137" i="3"/>
  <c r="N1137" i="3"/>
  <c r="M1137" i="3"/>
  <c r="L1137" i="3"/>
  <c r="K1137" i="3"/>
  <c r="J1137" i="3"/>
  <c r="O1136" i="3"/>
  <c r="M1136" i="3"/>
  <c r="N1136" i="3" s="1"/>
  <c r="L1136" i="3"/>
  <c r="K1136" i="3"/>
  <c r="J1136" i="3"/>
  <c r="O1135" i="3"/>
  <c r="N1135" i="3"/>
  <c r="M1135" i="3"/>
  <c r="L1135" i="3"/>
  <c r="K1135" i="3"/>
  <c r="J1135" i="3"/>
  <c r="O1134" i="3"/>
  <c r="M1134" i="3"/>
  <c r="N1134" i="3" s="1"/>
  <c r="L1134" i="3"/>
  <c r="K1134" i="3"/>
  <c r="J1134" i="3"/>
  <c r="O1133" i="3"/>
  <c r="N1133" i="3"/>
  <c r="M1133" i="3"/>
  <c r="L1133" i="3"/>
  <c r="K1133" i="3"/>
  <c r="J1133" i="3"/>
  <c r="O1132" i="3"/>
  <c r="M1132" i="3"/>
  <c r="N1132" i="3" s="1"/>
  <c r="L1132" i="3"/>
  <c r="K1132" i="3"/>
  <c r="J1132" i="3"/>
  <c r="O1131" i="3"/>
  <c r="N1131" i="3"/>
  <c r="M1131" i="3"/>
  <c r="L1131" i="3"/>
  <c r="K1131" i="3"/>
  <c r="J1131" i="3"/>
  <c r="O1130" i="3"/>
  <c r="M1130" i="3"/>
  <c r="N1130" i="3" s="1"/>
  <c r="L1130" i="3"/>
  <c r="K1130" i="3"/>
  <c r="J1130" i="3"/>
  <c r="O1129" i="3"/>
  <c r="N1129" i="3"/>
  <c r="M1129" i="3"/>
  <c r="L1129" i="3"/>
  <c r="K1129" i="3"/>
  <c r="J1129" i="3"/>
  <c r="O1128" i="3"/>
  <c r="M1128" i="3"/>
  <c r="N1128" i="3" s="1"/>
  <c r="L1128" i="3"/>
  <c r="K1128" i="3"/>
  <c r="J1128" i="3"/>
  <c r="O1127" i="3"/>
  <c r="N1127" i="3"/>
  <c r="M1127" i="3"/>
  <c r="L1127" i="3"/>
  <c r="K1127" i="3"/>
  <c r="J1127" i="3"/>
  <c r="O1126" i="3"/>
  <c r="M1126" i="3"/>
  <c r="N1126" i="3" s="1"/>
  <c r="L1126" i="3"/>
  <c r="K1126" i="3"/>
  <c r="J1126" i="3"/>
  <c r="O1125" i="3"/>
  <c r="N1125" i="3"/>
  <c r="M1125" i="3"/>
  <c r="L1125" i="3"/>
  <c r="K1125" i="3"/>
  <c r="J1125" i="3"/>
  <c r="O1124" i="3"/>
  <c r="M1124" i="3"/>
  <c r="N1124" i="3" s="1"/>
  <c r="L1124" i="3"/>
  <c r="K1124" i="3"/>
  <c r="J1124" i="3"/>
  <c r="O1123" i="3"/>
  <c r="N1123" i="3"/>
  <c r="M1123" i="3"/>
  <c r="L1123" i="3"/>
  <c r="K1123" i="3"/>
  <c r="J1123" i="3"/>
  <c r="O1122" i="3"/>
  <c r="M1122" i="3"/>
  <c r="N1122" i="3" s="1"/>
  <c r="L1122" i="3"/>
  <c r="K1122" i="3"/>
  <c r="J1122" i="3"/>
  <c r="O1121" i="3"/>
  <c r="N1121" i="3"/>
  <c r="M1121" i="3"/>
  <c r="L1121" i="3"/>
  <c r="K1121" i="3"/>
  <c r="J1121" i="3"/>
  <c r="O1120" i="3"/>
  <c r="M1120" i="3"/>
  <c r="N1120" i="3" s="1"/>
  <c r="L1120" i="3"/>
  <c r="K1120" i="3"/>
  <c r="J1120" i="3"/>
  <c r="O1119" i="3"/>
  <c r="N1119" i="3"/>
  <c r="M1119" i="3"/>
  <c r="L1119" i="3"/>
  <c r="K1119" i="3"/>
  <c r="J1119" i="3"/>
  <c r="O1118" i="3"/>
  <c r="M1118" i="3"/>
  <c r="N1118" i="3" s="1"/>
  <c r="L1118" i="3"/>
  <c r="K1118" i="3"/>
  <c r="J1118" i="3"/>
  <c r="O1117" i="3"/>
  <c r="N1117" i="3"/>
  <c r="M1117" i="3"/>
  <c r="L1117" i="3"/>
  <c r="K1117" i="3"/>
  <c r="J1117" i="3"/>
  <c r="O1116" i="3"/>
  <c r="M1116" i="3"/>
  <c r="N1116" i="3" s="1"/>
  <c r="L1116" i="3"/>
  <c r="K1116" i="3"/>
  <c r="J1116" i="3"/>
  <c r="O1115" i="3"/>
  <c r="N1115" i="3"/>
  <c r="M1115" i="3"/>
  <c r="L1115" i="3"/>
  <c r="K1115" i="3"/>
  <c r="J1115" i="3"/>
  <c r="O1114" i="3"/>
  <c r="M1114" i="3"/>
  <c r="N1114" i="3" s="1"/>
  <c r="L1114" i="3"/>
  <c r="K1114" i="3"/>
  <c r="J1114" i="3"/>
  <c r="O1113" i="3"/>
  <c r="N1113" i="3"/>
  <c r="M1113" i="3"/>
  <c r="L1113" i="3"/>
  <c r="K1113" i="3"/>
  <c r="J1113" i="3"/>
  <c r="O1112" i="3"/>
  <c r="M1112" i="3"/>
  <c r="N1112" i="3" s="1"/>
  <c r="L1112" i="3"/>
  <c r="K1112" i="3"/>
  <c r="J1112" i="3"/>
  <c r="O1111" i="3"/>
  <c r="N1111" i="3"/>
  <c r="M1111" i="3"/>
  <c r="L1111" i="3"/>
  <c r="K1111" i="3"/>
  <c r="J1111" i="3"/>
  <c r="O1110" i="3"/>
  <c r="M1110" i="3"/>
  <c r="N1110" i="3" s="1"/>
  <c r="L1110" i="3"/>
  <c r="K1110" i="3"/>
  <c r="J1110" i="3"/>
  <c r="O1109" i="3"/>
  <c r="N1109" i="3"/>
  <c r="M1109" i="3"/>
  <c r="L1109" i="3"/>
  <c r="K1109" i="3"/>
  <c r="J1109" i="3"/>
  <c r="O1108" i="3"/>
  <c r="M1108" i="3"/>
  <c r="N1108" i="3" s="1"/>
  <c r="L1108" i="3"/>
  <c r="K1108" i="3"/>
  <c r="J1108" i="3"/>
  <c r="O1107" i="3"/>
  <c r="N1107" i="3"/>
  <c r="M1107" i="3"/>
  <c r="L1107" i="3"/>
  <c r="K1107" i="3"/>
  <c r="J1107" i="3"/>
  <c r="O1106" i="3"/>
  <c r="M1106" i="3"/>
  <c r="N1106" i="3" s="1"/>
  <c r="L1106" i="3"/>
  <c r="K1106" i="3"/>
  <c r="J1106" i="3"/>
  <c r="O1105" i="3"/>
  <c r="N1105" i="3"/>
  <c r="M1105" i="3"/>
  <c r="L1105" i="3"/>
  <c r="K1105" i="3"/>
  <c r="J1105" i="3"/>
  <c r="O1104" i="3"/>
  <c r="M1104" i="3"/>
  <c r="N1104" i="3" s="1"/>
  <c r="L1104" i="3"/>
  <c r="K1104" i="3"/>
  <c r="J1104" i="3"/>
  <c r="O1103" i="3"/>
  <c r="N1103" i="3"/>
  <c r="M1103" i="3"/>
  <c r="L1103" i="3"/>
  <c r="K1103" i="3"/>
  <c r="J1103" i="3"/>
  <c r="O1102" i="3"/>
  <c r="M1102" i="3"/>
  <c r="N1102" i="3" s="1"/>
  <c r="L1102" i="3"/>
  <c r="K1102" i="3"/>
  <c r="J1102" i="3"/>
  <c r="O1101" i="3"/>
  <c r="N1101" i="3"/>
  <c r="M1101" i="3"/>
  <c r="L1101" i="3"/>
  <c r="K1101" i="3"/>
  <c r="J1101" i="3"/>
  <c r="O1100" i="3"/>
  <c r="M1100" i="3"/>
  <c r="N1100" i="3" s="1"/>
  <c r="L1100" i="3"/>
  <c r="K1100" i="3"/>
  <c r="J1100" i="3"/>
  <c r="O1099" i="3"/>
  <c r="N1099" i="3"/>
  <c r="M1099" i="3"/>
  <c r="L1099" i="3"/>
  <c r="K1099" i="3"/>
  <c r="J1099" i="3"/>
  <c r="O1098" i="3"/>
  <c r="M1098" i="3"/>
  <c r="N1098" i="3" s="1"/>
  <c r="K1098" i="3"/>
  <c r="J1098" i="3"/>
  <c r="O1097" i="3"/>
  <c r="N1097" i="3"/>
  <c r="M1097" i="3"/>
  <c r="K1097" i="3"/>
  <c r="J1097" i="3"/>
  <c r="O1096" i="3"/>
  <c r="N1096" i="3"/>
  <c r="M1096" i="3"/>
  <c r="K1096" i="3"/>
  <c r="J1096" i="3"/>
  <c r="O1095" i="3"/>
  <c r="N1095" i="3"/>
  <c r="M1095" i="3"/>
  <c r="K1095" i="3"/>
  <c r="J1095" i="3"/>
  <c r="O1094" i="3"/>
  <c r="M1094" i="3"/>
  <c r="N1094" i="3" s="1"/>
  <c r="K1094" i="3"/>
  <c r="J1094" i="3"/>
  <c r="O1093" i="3"/>
  <c r="M1093" i="3"/>
  <c r="N1093" i="3" s="1"/>
  <c r="K1093" i="3"/>
  <c r="J1093" i="3"/>
  <c r="O1092" i="3"/>
  <c r="N1092" i="3"/>
  <c r="M1092" i="3"/>
  <c r="K1092" i="3"/>
  <c r="J1092" i="3"/>
  <c r="O1091" i="3"/>
  <c r="N1091" i="3"/>
  <c r="M1091" i="3"/>
  <c r="K1091" i="3"/>
  <c r="J1091" i="3"/>
  <c r="O1090" i="3"/>
  <c r="M1090" i="3"/>
  <c r="N1090" i="3" s="1"/>
  <c r="K1090" i="3"/>
  <c r="J1090" i="3"/>
  <c r="O1089" i="3"/>
  <c r="N1089" i="3"/>
  <c r="M1089" i="3"/>
  <c r="K1089" i="3"/>
  <c r="J1089" i="3"/>
  <c r="O1088" i="3"/>
  <c r="N1088" i="3"/>
  <c r="M1088" i="3"/>
  <c r="K1088" i="3"/>
  <c r="J1088" i="3"/>
  <c r="O1087" i="3"/>
  <c r="N1087" i="3"/>
  <c r="M1087" i="3"/>
  <c r="K1087" i="3"/>
  <c r="J1087" i="3"/>
  <c r="O1086" i="3"/>
  <c r="M1086" i="3"/>
  <c r="N1086" i="3" s="1"/>
  <c r="K1086" i="3"/>
  <c r="J1086" i="3"/>
  <c r="O1085" i="3"/>
  <c r="M1085" i="3"/>
  <c r="N1085" i="3" s="1"/>
  <c r="K1085" i="3"/>
  <c r="J1085" i="3"/>
  <c r="O1084" i="3"/>
  <c r="N1084" i="3"/>
  <c r="M1084" i="3"/>
  <c r="K1084" i="3"/>
  <c r="J1084" i="3"/>
  <c r="O1083" i="3"/>
  <c r="N1083" i="3"/>
  <c r="M1083" i="3"/>
  <c r="K1083" i="3"/>
  <c r="J1083" i="3"/>
  <c r="O1082" i="3"/>
  <c r="M1082" i="3"/>
  <c r="N1082" i="3" s="1"/>
  <c r="K1082" i="3"/>
  <c r="J1082" i="3"/>
  <c r="O1081" i="3"/>
  <c r="N1081" i="3"/>
  <c r="M1081" i="3"/>
  <c r="K1081" i="3"/>
  <c r="J1081" i="3"/>
  <c r="O1080" i="3"/>
  <c r="N1080" i="3"/>
  <c r="M1080" i="3"/>
  <c r="K1080" i="3"/>
  <c r="J1080" i="3"/>
  <c r="O1079" i="3"/>
  <c r="N1079" i="3"/>
  <c r="M1079" i="3"/>
  <c r="K1079" i="3"/>
  <c r="J1079" i="3"/>
  <c r="O1078" i="3"/>
  <c r="M1078" i="3"/>
  <c r="N1078" i="3" s="1"/>
  <c r="K1078" i="3"/>
  <c r="J1078" i="3"/>
  <c r="O1077" i="3"/>
  <c r="N1077" i="3"/>
  <c r="M1077" i="3"/>
  <c r="K1077" i="3"/>
  <c r="J1077" i="3"/>
  <c r="O1076" i="3"/>
  <c r="N1076" i="3"/>
  <c r="M1076" i="3"/>
  <c r="K1076" i="3"/>
  <c r="J1076" i="3"/>
  <c r="O1075" i="3"/>
  <c r="N1075" i="3"/>
  <c r="M1075" i="3"/>
  <c r="K1075" i="3"/>
  <c r="J1075" i="3"/>
  <c r="O1074" i="3"/>
  <c r="M1074" i="3"/>
  <c r="N1074" i="3" s="1"/>
  <c r="K1074" i="3"/>
  <c r="J1074" i="3"/>
  <c r="O1073" i="3"/>
  <c r="N1073" i="3"/>
  <c r="M1073" i="3"/>
  <c r="K1073" i="3"/>
  <c r="J1073" i="3"/>
  <c r="O1072" i="3"/>
  <c r="N1072" i="3"/>
  <c r="M1072" i="3"/>
  <c r="K1072" i="3"/>
  <c r="J1072" i="3"/>
  <c r="O1071" i="3"/>
  <c r="N1071" i="3"/>
  <c r="M1071" i="3"/>
  <c r="K1071" i="3"/>
  <c r="J1071" i="3"/>
  <c r="O1070" i="3"/>
  <c r="M1070" i="3"/>
  <c r="N1070" i="3" s="1"/>
  <c r="K1070" i="3"/>
  <c r="J1070" i="3"/>
  <c r="O1069" i="3"/>
  <c r="M1069" i="3"/>
  <c r="N1069" i="3" s="1"/>
  <c r="K1069" i="3"/>
  <c r="J1069" i="3"/>
  <c r="O1068" i="3"/>
  <c r="N1068" i="3"/>
  <c r="M1068" i="3"/>
  <c r="J1068" i="3"/>
  <c r="O1067" i="3"/>
  <c r="N1067" i="3"/>
  <c r="M1067" i="3"/>
  <c r="J1067" i="3"/>
  <c r="O1066" i="3"/>
  <c r="N1066" i="3"/>
  <c r="M1066" i="3"/>
  <c r="J1066" i="3"/>
  <c r="O1065" i="3"/>
  <c r="N1065" i="3"/>
  <c r="M1065" i="3"/>
  <c r="J1065" i="3"/>
  <c r="O1064" i="3"/>
  <c r="N1064" i="3"/>
  <c r="M1064" i="3"/>
  <c r="J1064" i="3"/>
  <c r="O1063" i="3"/>
  <c r="N1063" i="3"/>
  <c r="M1063" i="3"/>
  <c r="J1063" i="3"/>
  <c r="O1062" i="3"/>
  <c r="N1062" i="3"/>
  <c r="M1062" i="3"/>
  <c r="J1062" i="3"/>
  <c r="O1061" i="3"/>
  <c r="N1061" i="3"/>
  <c r="M1061" i="3"/>
  <c r="J1061" i="3"/>
  <c r="O1060" i="3"/>
  <c r="N1060" i="3"/>
  <c r="M1060" i="3"/>
  <c r="J1060" i="3"/>
  <c r="O1059" i="3"/>
  <c r="N1059" i="3"/>
  <c r="M1059" i="3"/>
  <c r="J1059" i="3"/>
  <c r="O1058" i="3"/>
  <c r="N1058" i="3"/>
  <c r="M1058" i="3"/>
  <c r="J1058" i="3"/>
  <c r="O1057" i="3"/>
  <c r="N1057" i="3"/>
  <c r="M1057" i="3"/>
  <c r="J1057" i="3"/>
  <c r="O1056" i="3"/>
  <c r="N1056" i="3"/>
  <c r="M1056" i="3"/>
  <c r="J1056" i="3"/>
  <c r="O1055" i="3"/>
  <c r="N1055" i="3"/>
  <c r="M1055" i="3"/>
  <c r="J1055" i="3"/>
  <c r="O1054" i="3"/>
  <c r="N1054" i="3"/>
  <c r="M1054" i="3"/>
  <c r="J1054" i="3"/>
  <c r="O1053" i="3"/>
  <c r="N1053" i="3"/>
  <c r="M1053" i="3"/>
  <c r="J1053" i="3"/>
  <c r="O1052" i="3"/>
  <c r="N1052" i="3"/>
  <c r="M1052" i="3"/>
  <c r="J1052" i="3"/>
  <c r="O1051" i="3"/>
  <c r="N1051" i="3"/>
  <c r="M1051" i="3"/>
  <c r="J1051" i="3"/>
  <c r="O1050" i="3"/>
  <c r="N1050" i="3"/>
  <c r="M1050" i="3"/>
  <c r="O1049" i="3"/>
  <c r="M1049" i="3"/>
  <c r="N1049" i="3" s="1"/>
  <c r="L1049" i="3"/>
  <c r="K1049" i="3"/>
  <c r="J1049" i="3"/>
  <c r="O1048" i="3"/>
  <c r="N1048" i="3"/>
  <c r="M1048" i="3"/>
  <c r="L1048" i="3"/>
  <c r="K1048" i="3"/>
  <c r="J1048" i="3"/>
  <c r="O1047" i="3"/>
  <c r="M1047" i="3"/>
  <c r="N1047" i="3" s="1"/>
  <c r="L1047" i="3"/>
  <c r="K1047" i="3"/>
  <c r="J1047" i="3"/>
  <c r="O1046" i="3"/>
  <c r="N1046" i="3"/>
  <c r="M1046" i="3"/>
  <c r="L1046" i="3"/>
  <c r="K1046" i="3"/>
  <c r="J1046" i="3"/>
  <c r="O1045" i="3"/>
  <c r="M1045" i="3"/>
  <c r="N1045" i="3" s="1"/>
  <c r="L1045" i="3"/>
  <c r="K1045" i="3"/>
  <c r="J1045" i="3"/>
  <c r="O1044" i="3"/>
  <c r="N1044" i="3"/>
  <c r="M1044" i="3"/>
  <c r="L1044" i="3"/>
  <c r="K1044" i="3"/>
  <c r="J1044" i="3"/>
  <c r="O1043" i="3"/>
  <c r="M1043" i="3"/>
  <c r="N1043" i="3" s="1"/>
  <c r="L1043" i="3"/>
  <c r="K1043" i="3"/>
  <c r="J1043" i="3"/>
  <c r="O1042" i="3"/>
  <c r="N1042" i="3"/>
  <c r="M1042" i="3"/>
  <c r="L1042" i="3"/>
  <c r="K1042" i="3"/>
  <c r="J1042" i="3"/>
  <c r="O1041" i="3"/>
  <c r="M1041" i="3"/>
  <c r="N1041" i="3" s="1"/>
  <c r="L1041" i="3"/>
  <c r="K1041" i="3"/>
  <c r="J1041" i="3"/>
  <c r="O1040" i="3"/>
  <c r="N1040" i="3"/>
  <c r="M1040" i="3"/>
  <c r="L1040" i="3"/>
  <c r="K1040" i="3"/>
  <c r="J1040" i="3"/>
  <c r="O1039" i="3"/>
  <c r="M1039" i="3"/>
  <c r="N1039" i="3" s="1"/>
  <c r="L1039" i="3"/>
  <c r="K1039" i="3"/>
  <c r="J1039" i="3"/>
  <c r="O1038" i="3"/>
  <c r="N1038" i="3"/>
  <c r="M1038" i="3"/>
  <c r="L1038" i="3"/>
  <c r="K1038" i="3"/>
  <c r="J1038" i="3"/>
  <c r="O1037" i="3"/>
  <c r="M1037" i="3"/>
  <c r="N1037" i="3" s="1"/>
  <c r="L1037" i="3"/>
  <c r="K1037" i="3"/>
  <c r="J1037" i="3"/>
  <c r="O1036" i="3"/>
  <c r="N1036" i="3"/>
  <c r="M1036" i="3"/>
  <c r="L1036" i="3"/>
  <c r="K1036" i="3"/>
  <c r="J1036" i="3"/>
  <c r="O1035" i="3"/>
  <c r="M1035" i="3"/>
  <c r="N1035" i="3" s="1"/>
  <c r="L1035" i="3"/>
  <c r="K1035" i="3"/>
  <c r="J1035" i="3"/>
  <c r="O1034" i="3"/>
  <c r="N1034" i="3"/>
  <c r="M1034" i="3"/>
  <c r="L1034" i="3"/>
  <c r="K1034" i="3"/>
  <c r="J1034" i="3"/>
  <c r="O1033" i="3"/>
  <c r="M1033" i="3"/>
  <c r="N1033" i="3" s="1"/>
  <c r="L1033" i="3"/>
  <c r="K1033" i="3"/>
  <c r="J1033" i="3"/>
  <c r="O1032" i="3"/>
  <c r="N1032" i="3"/>
  <c r="M1032" i="3"/>
  <c r="L1032" i="3"/>
  <c r="K1032" i="3"/>
  <c r="J1032" i="3"/>
  <c r="O1031" i="3"/>
  <c r="M1031" i="3"/>
  <c r="N1031" i="3" s="1"/>
  <c r="L1031" i="3"/>
  <c r="K1031" i="3"/>
  <c r="J1031" i="3"/>
  <c r="O1030" i="3"/>
  <c r="N1030" i="3"/>
  <c r="M1030" i="3"/>
  <c r="L1030" i="3"/>
  <c r="K1030" i="3"/>
  <c r="J1030" i="3"/>
  <c r="O1029" i="3"/>
  <c r="M1029" i="3"/>
  <c r="N1029" i="3" s="1"/>
  <c r="L1029" i="3"/>
  <c r="K1029" i="3"/>
  <c r="J1029" i="3"/>
  <c r="O1028" i="3"/>
  <c r="N1028" i="3"/>
  <c r="M1028" i="3"/>
  <c r="L1028" i="3"/>
  <c r="K1028" i="3"/>
  <c r="J1028" i="3"/>
  <c r="O1027" i="3"/>
  <c r="M1027" i="3"/>
  <c r="N1027" i="3" s="1"/>
  <c r="L1027" i="3"/>
  <c r="K1027" i="3"/>
  <c r="J1027" i="3"/>
  <c r="O1026" i="3"/>
  <c r="N1026" i="3"/>
  <c r="M1026" i="3"/>
  <c r="L1026" i="3"/>
  <c r="K1026" i="3"/>
  <c r="J1026" i="3"/>
  <c r="O1025" i="3"/>
  <c r="M1025" i="3"/>
  <c r="N1025" i="3" s="1"/>
  <c r="L1025" i="3"/>
  <c r="K1025" i="3"/>
  <c r="J1025" i="3"/>
  <c r="O1024" i="3"/>
  <c r="N1024" i="3"/>
  <c r="M1024" i="3"/>
  <c r="L1024" i="3"/>
  <c r="K1024" i="3"/>
  <c r="J1024" i="3"/>
  <c r="O1023" i="3"/>
  <c r="M1023" i="3"/>
  <c r="N1023" i="3" s="1"/>
  <c r="L1023" i="3"/>
  <c r="K1023" i="3"/>
  <c r="J1023" i="3"/>
  <c r="O1022" i="3"/>
  <c r="N1022" i="3"/>
  <c r="M1022" i="3"/>
  <c r="L1022" i="3"/>
  <c r="K1022" i="3"/>
  <c r="J1022" i="3"/>
  <c r="O1021" i="3"/>
  <c r="M1021" i="3"/>
  <c r="N1021" i="3" s="1"/>
  <c r="L1021" i="3"/>
  <c r="K1021" i="3"/>
  <c r="J1021" i="3"/>
  <c r="O1020" i="3"/>
  <c r="N1020" i="3"/>
  <c r="M1020" i="3"/>
  <c r="L1020" i="3"/>
  <c r="K1020" i="3"/>
  <c r="J1020" i="3"/>
  <c r="O1019" i="3"/>
  <c r="M1019" i="3"/>
  <c r="N1019" i="3" s="1"/>
  <c r="L1019" i="3"/>
  <c r="K1019" i="3"/>
  <c r="J1019" i="3"/>
  <c r="O1018" i="3"/>
  <c r="N1018" i="3"/>
  <c r="M1018" i="3"/>
  <c r="L1018" i="3"/>
  <c r="K1018" i="3"/>
  <c r="J1018" i="3"/>
  <c r="O1017" i="3"/>
  <c r="M1017" i="3"/>
  <c r="N1017" i="3" s="1"/>
  <c r="L1017" i="3"/>
  <c r="K1017" i="3"/>
  <c r="J1017" i="3"/>
  <c r="O1016" i="3"/>
  <c r="N1016" i="3"/>
  <c r="M1016" i="3"/>
  <c r="L1016" i="3"/>
  <c r="K1016" i="3"/>
  <c r="J1016" i="3"/>
  <c r="O1015" i="3"/>
  <c r="M1015" i="3"/>
  <c r="N1015" i="3" s="1"/>
  <c r="L1015" i="3"/>
  <c r="K1015" i="3"/>
  <c r="J1015" i="3"/>
  <c r="O1014" i="3"/>
  <c r="N1014" i="3"/>
  <c r="M1014" i="3"/>
  <c r="L1014" i="3"/>
  <c r="K1014" i="3"/>
  <c r="J1014" i="3"/>
  <c r="O1013" i="3"/>
  <c r="M1013" i="3"/>
  <c r="N1013" i="3" s="1"/>
  <c r="L1013" i="3"/>
  <c r="K1013" i="3"/>
  <c r="J1013" i="3"/>
  <c r="O1012" i="3"/>
  <c r="N1012" i="3"/>
  <c r="M1012" i="3"/>
  <c r="L1012" i="3"/>
  <c r="K1012" i="3"/>
  <c r="J1012" i="3"/>
  <c r="O1011" i="3"/>
  <c r="M1011" i="3"/>
  <c r="N1011" i="3" s="1"/>
  <c r="L1011" i="3"/>
  <c r="K1011" i="3"/>
  <c r="J1011" i="3"/>
  <c r="O1010" i="3"/>
  <c r="N1010" i="3"/>
  <c r="M1010" i="3"/>
  <c r="L1010" i="3"/>
  <c r="K1010" i="3"/>
  <c r="J1010" i="3"/>
  <c r="O1009" i="3"/>
  <c r="M1009" i="3"/>
  <c r="N1009" i="3" s="1"/>
  <c r="L1009" i="3"/>
  <c r="K1009" i="3"/>
  <c r="J1009" i="3"/>
  <c r="O1008" i="3"/>
  <c r="N1008" i="3"/>
  <c r="M1008" i="3"/>
  <c r="L1008" i="3"/>
  <c r="K1008" i="3"/>
  <c r="J1008" i="3"/>
  <c r="O1007" i="3"/>
  <c r="M1007" i="3"/>
  <c r="N1007" i="3" s="1"/>
  <c r="L1007" i="3"/>
  <c r="K1007" i="3"/>
  <c r="J1007" i="3"/>
  <c r="O1006" i="3"/>
  <c r="N1006" i="3"/>
  <c r="M1006" i="3"/>
  <c r="L1006" i="3"/>
  <c r="K1006" i="3"/>
  <c r="J1006" i="3"/>
  <c r="O1005" i="3"/>
  <c r="M1005" i="3"/>
  <c r="N1005" i="3" s="1"/>
  <c r="L1005" i="3"/>
  <c r="K1005" i="3"/>
  <c r="J1005" i="3"/>
  <c r="O1004" i="3"/>
  <c r="N1004" i="3"/>
  <c r="M1004" i="3"/>
  <c r="L1004" i="3"/>
  <c r="K1004" i="3"/>
  <c r="J1004" i="3"/>
  <c r="O1003" i="3"/>
  <c r="M1003" i="3"/>
  <c r="N1003" i="3" s="1"/>
  <c r="L1003" i="3"/>
  <c r="K1003" i="3"/>
  <c r="J1003" i="3"/>
  <c r="O1002" i="3"/>
  <c r="N1002" i="3"/>
  <c r="M1002" i="3"/>
  <c r="L1002" i="3"/>
  <c r="K1002" i="3"/>
  <c r="J1002" i="3"/>
  <c r="O1001" i="3"/>
  <c r="M1001" i="3"/>
  <c r="N1001" i="3" s="1"/>
  <c r="L1001" i="3"/>
  <c r="K1001" i="3"/>
  <c r="J1001" i="3"/>
  <c r="O1000" i="3"/>
  <c r="N1000" i="3"/>
  <c r="M1000" i="3"/>
  <c r="L1000" i="3"/>
  <c r="K1000" i="3"/>
  <c r="J1000" i="3"/>
  <c r="O999" i="3"/>
  <c r="M999" i="3"/>
  <c r="N999" i="3" s="1"/>
  <c r="L999" i="3"/>
  <c r="K999" i="3"/>
  <c r="J999" i="3"/>
  <c r="O998" i="3"/>
  <c r="N998" i="3"/>
  <c r="M998" i="3"/>
  <c r="L998" i="3"/>
  <c r="K998" i="3"/>
  <c r="J998" i="3"/>
  <c r="O997" i="3"/>
  <c r="M997" i="3"/>
  <c r="N997" i="3" s="1"/>
  <c r="L997" i="3"/>
  <c r="K997" i="3"/>
  <c r="J997" i="3"/>
  <c r="O996" i="3"/>
  <c r="N996" i="3"/>
  <c r="M996" i="3"/>
  <c r="L996" i="3"/>
  <c r="K996" i="3"/>
  <c r="J996" i="3"/>
  <c r="O995" i="3"/>
  <c r="M995" i="3"/>
  <c r="N995" i="3" s="1"/>
  <c r="L995" i="3"/>
  <c r="K995" i="3"/>
  <c r="J995" i="3"/>
  <c r="O994" i="3"/>
  <c r="N994" i="3"/>
  <c r="M994" i="3"/>
  <c r="L994" i="3"/>
  <c r="K994" i="3"/>
  <c r="J994" i="3"/>
  <c r="O993" i="3"/>
  <c r="M993" i="3"/>
  <c r="N993" i="3" s="1"/>
  <c r="L993" i="3"/>
  <c r="K993" i="3"/>
  <c r="J993" i="3"/>
  <c r="O992" i="3"/>
  <c r="N992" i="3"/>
  <c r="M992" i="3"/>
  <c r="L992" i="3"/>
  <c r="K992" i="3"/>
  <c r="J992" i="3"/>
  <c r="O991" i="3"/>
  <c r="M991" i="3"/>
  <c r="N991" i="3" s="1"/>
  <c r="L991" i="3"/>
  <c r="K991" i="3"/>
  <c r="J991" i="3"/>
  <c r="O990" i="3"/>
  <c r="N990" i="3"/>
  <c r="M990" i="3"/>
  <c r="L990" i="3"/>
  <c r="K990" i="3"/>
  <c r="J990" i="3"/>
  <c r="O989" i="3"/>
  <c r="M989" i="3"/>
  <c r="N989" i="3" s="1"/>
  <c r="L989" i="3"/>
  <c r="K989" i="3"/>
  <c r="J989" i="3"/>
  <c r="O988" i="3"/>
  <c r="N988" i="3"/>
  <c r="M988" i="3"/>
  <c r="L988" i="3"/>
  <c r="K988" i="3"/>
  <c r="J988" i="3"/>
  <c r="O987" i="3"/>
  <c r="M987" i="3"/>
  <c r="N987" i="3" s="1"/>
  <c r="L987" i="3"/>
  <c r="K987" i="3"/>
  <c r="J987" i="3"/>
  <c r="O986" i="3"/>
  <c r="N986" i="3"/>
  <c r="M986" i="3"/>
  <c r="L986" i="3"/>
  <c r="K986" i="3"/>
  <c r="J986" i="3"/>
  <c r="O985" i="3"/>
  <c r="M985" i="3"/>
  <c r="N985" i="3" s="1"/>
  <c r="L985" i="3"/>
  <c r="K985" i="3"/>
  <c r="J985" i="3"/>
  <c r="O984" i="3"/>
  <c r="N984" i="3"/>
  <c r="M984" i="3"/>
  <c r="L984" i="3"/>
  <c r="K984" i="3"/>
  <c r="J984" i="3"/>
  <c r="O983" i="3"/>
  <c r="M983" i="3"/>
  <c r="N983" i="3" s="1"/>
  <c r="L983" i="3"/>
  <c r="K983" i="3"/>
  <c r="J983" i="3"/>
  <c r="O982" i="3"/>
  <c r="N982" i="3"/>
  <c r="M982" i="3"/>
  <c r="L982" i="3"/>
  <c r="K982" i="3"/>
  <c r="J982" i="3"/>
  <c r="O981" i="3"/>
  <c r="M981" i="3"/>
  <c r="N981" i="3" s="1"/>
  <c r="L981" i="3"/>
  <c r="K981" i="3"/>
  <c r="J981" i="3"/>
  <c r="O980" i="3"/>
  <c r="N980" i="3"/>
  <c r="M980" i="3"/>
  <c r="L980" i="3"/>
  <c r="K980" i="3"/>
  <c r="J980" i="3"/>
  <c r="O979" i="3"/>
  <c r="M979" i="3"/>
  <c r="N979" i="3" s="1"/>
  <c r="L979" i="3"/>
  <c r="K979" i="3"/>
  <c r="J979" i="3"/>
  <c r="O978" i="3"/>
  <c r="N978" i="3"/>
  <c r="M978" i="3"/>
  <c r="L978" i="3"/>
  <c r="K978" i="3"/>
  <c r="J978" i="3"/>
  <c r="O977" i="3"/>
  <c r="M977" i="3"/>
  <c r="N977" i="3" s="1"/>
  <c r="L977" i="3"/>
  <c r="K977" i="3"/>
  <c r="J977" i="3"/>
  <c r="O976" i="3"/>
  <c r="N976" i="3"/>
  <c r="M976" i="3"/>
  <c r="L976" i="3"/>
  <c r="K976" i="3"/>
  <c r="J976" i="3"/>
  <c r="O975" i="3"/>
  <c r="M975" i="3"/>
  <c r="N975" i="3" s="1"/>
  <c r="L975" i="3"/>
  <c r="K975" i="3"/>
  <c r="J975" i="3"/>
  <c r="O974" i="3"/>
  <c r="N974" i="3"/>
  <c r="M974" i="3"/>
  <c r="L974" i="3"/>
  <c r="K974" i="3"/>
  <c r="J974" i="3"/>
  <c r="O973" i="3"/>
  <c r="M973" i="3"/>
  <c r="N973" i="3" s="1"/>
  <c r="L973" i="3"/>
  <c r="K973" i="3"/>
  <c r="J973" i="3"/>
  <c r="O972" i="3"/>
  <c r="N972" i="3"/>
  <c r="M972" i="3"/>
  <c r="L972" i="3"/>
  <c r="K972" i="3"/>
  <c r="J972" i="3"/>
  <c r="O971" i="3"/>
  <c r="M971" i="3"/>
  <c r="N971" i="3" s="1"/>
  <c r="L971" i="3"/>
  <c r="K971" i="3"/>
  <c r="J971" i="3"/>
  <c r="O970" i="3"/>
  <c r="N970" i="3"/>
  <c r="M970" i="3"/>
  <c r="L970" i="3"/>
  <c r="K970" i="3"/>
  <c r="J970" i="3"/>
  <c r="O969" i="3"/>
  <c r="M969" i="3"/>
  <c r="N969" i="3" s="1"/>
  <c r="L969" i="3"/>
  <c r="K969" i="3"/>
  <c r="J969" i="3"/>
  <c r="O968" i="3"/>
  <c r="N968" i="3"/>
  <c r="M968" i="3"/>
  <c r="L968" i="3"/>
  <c r="K968" i="3"/>
  <c r="J968" i="3"/>
  <c r="O967" i="3"/>
  <c r="M967" i="3"/>
  <c r="N967" i="3" s="1"/>
  <c r="L967" i="3"/>
  <c r="K967" i="3"/>
  <c r="J967" i="3"/>
  <c r="O966" i="3"/>
  <c r="N966" i="3"/>
  <c r="M966" i="3"/>
  <c r="L966" i="3"/>
  <c r="K966" i="3"/>
  <c r="J966" i="3"/>
  <c r="O965" i="3"/>
  <c r="M965" i="3"/>
  <c r="N965" i="3" s="1"/>
  <c r="L965" i="3"/>
  <c r="K965" i="3"/>
  <c r="J965" i="3"/>
  <c r="O964" i="3"/>
  <c r="N964" i="3"/>
  <c r="M964" i="3"/>
  <c r="L964" i="3"/>
  <c r="K964" i="3"/>
  <c r="J964" i="3"/>
  <c r="O963" i="3"/>
  <c r="M963" i="3"/>
  <c r="N963" i="3" s="1"/>
  <c r="L963" i="3"/>
  <c r="K963" i="3"/>
  <c r="J963" i="3"/>
  <c r="O962" i="3"/>
  <c r="N962" i="3"/>
  <c r="M962" i="3"/>
  <c r="L962" i="3"/>
  <c r="K962" i="3"/>
  <c r="J962" i="3"/>
  <c r="O961" i="3"/>
  <c r="M961" i="3"/>
  <c r="N961" i="3" s="1"/>
  <c r="L961" i="3"/>
  <c r="K961" i="3"/>
  <c r="J961" i="3"/>
  <c r="O960" i="3"/>
  <c r="N960" i="3"/>
  <c r="M960" i="3"/>
  <c r="L960" i="3"/>
  <c r="K960" i="3"/>
  <c r="J960" i="3"/>
  <c r="O959" i="3"/>
  <c r="M959" i="3"/>
  <c r="N959" i="3" s="1"/>
  <c r="L959" i="3"/>
  <c r="K959" i="3"/>
  <c r="J959" i="3"/>
  <c r="O958" i="3"/>
  <c r="N958" i="3"/>
  <c r="M958" i="3"/>
  <c r="L958" i="3"/>
  <c r="K958" i="3"/>
  <c r="J958" i="3"/>
  <c r="O957" i="3"/>
  <c r="M957" i="3"/>
  <c r="N957" i="3" s="1"/>
  <c r="L957" i="3"/>
  <c r="K957" i="3"/>
  <c r="J957" i="3"/>
  <c r="O956" i="3"/>
  <c r="N956" i="3"/>
  <c r="M956" i="3"/>
  <c r="L956" i="3"/>
  <c r="K956" i="3"/>
  <c r="J956" i="3"/>
  <c r="O955" i="3"/>
  <c r="M955" i="3"/>
  <c r="N955" i="3" s="1"/>
  <c r="L955" i="3"/>
  <c r="K955" i="3"/>
  <c r="J955" i="3"/>
  <c r="O954" i="3"/>
  <c r="N954" i="3"/>
  <c r="M954" i="3"/>
  <c r="L954" i="3"/>
  <c r="K954" i="3"/>
  <c r="J954" i="3"/>
  <c r="O953" i="3"/>
  <c r="M953" i="3"/>
  <c r="N953" i="3" s="1"/>
  <c r="L953" i="3"/>
  <c r="K953" i="3"/>
  <c r="J953" i="3"/>
  <c r="O952" i="3"/>
  <c r="N952" i="3"/>
  <c r="M952" i="3"/>
  <c r="L952" i="3"/>
  <c r="K952" i="3"/>
  <c r="J952" i="3"/>
  <c r="O951" i="3"/>
  <c r="M951" i="3"/>
  <c r="N951" i="3" s="1"/>
  <c r="L951" i="3"/>
  <c r="K951" i="3"/>
  <c r="J951" i="3"/>
  <c r="O950" i="3"/>
  <c r="N950" i="3"/>
  <c r="M950" i="3"/>
  <c r="L950" i="3"/>
  <c r="K950" i="3"/>
  <c r="J950" i="3"/>
  <c r="O949" i="3"/>
  <c r="M949" i="3"/>
  <c r="N949" i="3" s="1"/>
  <c r="L949" i="3"/>
  <c r="K949" i="3"/>
  <c r="J949" i="3"/>
  <c r="O948" i="3"/>
  <c r="N948" i="3"/>
  <c r="M948" i="3"/>
  <c r="L948" i="3"/>
  <c r="K948" i="3"/>
  <c r="J948" i="3"/>
  <c r="O947" i="3"/>
  <c r="M947" i="3"/>
  <c r="N947" i="3" s="1"/>
  <c r="L947" i="3"/>
  <c r="K947" i="3"/>
  <c r="J947" i="3"/>
  <c r="O946" i="3"/>
  <c r="N946" i="3"/>
  <c r="M946" i="3"/>
  <c r="L946" i="3"/>
  <c r="K946" i="3"/>
  <c r="J946" i="3"/>
  <c r="O945" i="3"/>
  <c r="M945" i="3"/>
  <c r="N945" i="3" s="1"/>
  <c r="L945" i="3"/>
  <c r="K945" i="3"/>
  <c r="J945" i="3"/>
  <c r="O944" i="3"/>
  <c r="N944" i="3"/>
  <c r="M944" i="3"/>
  <c r="L944" i="3"/>
  <c r="K944" i="3"/>
  <c r="J944" i="3"/>
  <c r="O943" i="3"/>
  <c r="M943" i="3"/>
  <c r="N943" i="3" s="1"/>
  <c r="L943" i="3"/>
  <c r="K943" i="3"/>
  <c r="J943" i="3"/>
  <c r="O942" i="3"/>
  <c r="N942" i="3"/>
  <c r="M942" i="3"/>
  <c r="L942" i="3"/>
  <c r="K942" i="3"/>
  <c r="J942" i="3"/>
  <c r="O941" i="3"/>
  <c r="M941" i="3"/>
  <c r="N941" i="3" s="1"/>
  <c r="L941" i="3"/>
  <c r="K941" i="3"/>
  <c r="J941" i="3"/>
  <c r="O940" i="3"/>
  <c r="N940" i="3"/>
  <c r="M940" i="3"/>
  <c r="L940" i="3"/>
  <c r="K940" i="3"/>
  <c r="J940" i="3"/>
  <c r="O939" i="3"/>
  <c r="M939" i="3"/>
  <c r="N939" i="3" s="1"/>
  <c r="L939" i="3"/>
  <c r="K939" i="3"/>
  <c r="J939" i="3"/>
  <c r="O938" i="3"/>
  <c r="N938" i="3"/>
  <c r="M938" i="3"/>
  <c r="L938" i="3"/>
  <c r="K938" i="3"/>
  <c r="J938" i="3"/>
  <c r="O937" i="3"/>
  <c r="M937" i="3"/>
  <c r="N937" i="3" s="1"/>
  <c r="L937" i="3"/>
  <c r="K937" i="3"/>
  <c r="J937" i="3"/>
  <c r="O936" i="3"/>
  <c r="N936" i="3"/>
  <c r="M936" i="3"/>
  <c r="L936" i="3"/>
  <c r="K936" i="3"/>
  <c r="J936" i="3"/>
  <c r="O935" i="3"/>
  <c r="M935" i="3"/>
  <c r="N935" i="3" s="1"/>
  <c r="L935" i="3"/>
  <c r="K935" i="3"/>
  <c r="J935" i="3"/>
  <c r="O934" i="3"/>
  <c r="N934" i="3"/>
  <c r="M934" i="3"/>
  <c r="L934" i="3"/>
  <c r="K934" i="3"/>
  <c r="J934" i="3"/>
  <c r="O933" i="3"/>
  <c r="M933" i="3"/>
  <c r="N933" i="3" s="1"/>
  <c r="L933" i="3"/>
  <c r="K933" i="3"/>
  <c r="J933" i="3"/>
  <c r="O932" i="3"/>
  <c r="N932" i="3"/>
  <c r="M932" i="3"/>
  <c r="L932" i="3"/>
  <c r="K932" i="3"/>
  <c r="J932" i="3"/>
  <c r="O931" i="3"/>
  <c r="M931" i="3"/>
  <c r="N931" i="3" s="1"/>
  <c r="L931" i="3"/>
  <c r="K931" i="3"/>
  <c r="J931" i="3"/>
  <c r="O930" i="3"/>
  <c r="N930" i="3"/>
  <c r="M930" i="3"/>
  <c r="L930" i="3"/>
  <c r="K930" i="3"/>
  <c r="J930" i="3"/>
  <c r="O929" i="3"/>
  <c r="M929" i="3"/>
  <c r="N929" i="3" s="1"/>
  <c r="L929" i="3"/>
  <c r="K929" i="3"/>
  <c r="J929" i="3"/>
  <c r="O928" i="3"/>
  <c r="N928" i="3"/>
  <c r="M928" i="3"/>
  <c r="L928" i="3"/>
  <c r="K928" i="3"/>
  <c r="J928" i="3"/>
  <c r="O927" i="3"/>
  <c r="M927" i="3"/>
  <c r="N927" i="3" s="1"/>
  <c r="L927" i="3"/>
  <c r="K927" i="3"/>
  <c r="J927" i="3"/>
  <c r="O926" i="3"/>
  <c r="N926" i="3"/>
  <c r="M926" i="3"/>
  <c r="L926" i="3"/>
  <c r="K926" i="3"/>
  <c r="J926" i="3"/>
  <c r="O925" i="3"/>
  <c r="M925" i="3"/>
  <c r="N925" i="3" s="1"/>
  <c r="L925" i="3"/>
  <c r="K925" i="3"/>
  <c r="J925" i="3"/>
  <c r="O924" i="3"/>
  <c r="N924" i="3"/>
  <c r="M924" i="3"/>
  <c r="L924" i="3"/>
  <c r="K924" i="3"/>
  <c r="J924" i="3"/>
  <c r="O923" i="3"/>
  <c r="M923" i="3"/>
  <c r="N923" i="3" s="1"/>
  <c r="L923" i="3"/>
  <c r="K923" i="3"/>
  <c r="J923" i="3"/>
  <c r="O922" i="3"/>
  <c r="N922" i="3"/>
  <c r="M922" i="3"/>
  <c r="L922" i="3"/>
  <c r="K922" i="3"/>
  <c r="J922" i="3"/>
  <c r="O921" i="3"/>
  <c r="M921" i="3"/>
  <c r="N921" i="3" s="1"/>
  <c r="L921" i="3"/>
  <c r="K921" i="3"/>
  <c r="J921" i="3"/>
  <c r="O920" i="3"/>
  <c r="N920" i="3"/>
  <c r="M920" i="3"/>
  <c r="L920" i="3"/>
  <c r="K920" i="3"/>
  <c r="J920" i="3"/>
  <c r="O919" i="3"/>
  <c r="M919" i="3"/>
  <c r="N919" i="3" s="1"/>
  <c r="L919" i="3"/>
  <c r="K919" i="3"/>
  <c r="J919" i="3"/>
  <c r="O918" i="3"/>
  <c r="N918" i="3"/>
  <c r="M918" i="3"/>
  <c r="L918" i="3"/>
  <c r="K918" i="3"/>
  <c r="J918" i="3"/>
  <c r="O917" i="3"/>
  <c r="M917" i="3"/>
  <c r="N917" i="3" s="1"/>
  <c r="L917" i="3"/>
  <c r="K917" i="3"/>
  <c r="J917" i="3"/>
  <c r="O916" i="3"/>
  <c r="N916" i="3"/>
  <c r="M916" i="3"/>
  <c r="L916" i="3"/>
  <c r="K916" i="3"/>
  <c r="J916" i="3"/>
  <c r="O915" i="3"/>
  <c r="M915" i="3"/>
  <c r="N915" i="3" s="1"/>
  <c r="L915" i="3"/>
  <c r="K915" i="3"/>
  <c r="J915" i="3"/>
  <c r="O914" i="3"/>
  <c r="N914" i="3"/>
  <c r="M914" i="3"/>
  <c r="L914" i="3"/>
  <c r="K914" i="3"/>
  <c r="J914" i="3"/>
  <c r="O913" i="3"/>
  <c r="M913" i="3"/>
  <c r="N913" i="3" s="1"/>
  <c r="L913" i="3"/>
  <c r="K913" i="3"/>
  <c r="J913" i="3"/>
  <c r="O912" i="3"/>
  <c r="N912" i="3"/>
  <c r="M912" i="3"/>
  <c r="L912" i="3"/>
  <c r="K912" i="3"/>
  <c r="J912" i="3"/>
  <c r="O911" i="3"/>
  <c r="M911" i="3"/>
  <c r="N911" i="3" s="1"/>
  <c r="L911" i="3"/>
  <c r="K911" i="3"/>
  <c r="J911" i="3"/>
  <c r="O910" i="3"/>
  <c r="N910" i="3"/>
  <c r="M910" i="3"/>
  <c r="L910" i="3"/>
  <c r="K910" i="3"/>
  <c r="J910" i="3"/>
  <c r="O909" i="3"/>
  <c r="M909" i="3"/>
  <c r="N909" i="3" s="1"/>
  <c r="L909" i="3"/>
  <c r="K909" i="3"/>
  <c r="J909" i="3"/>
  <c r="O908" i="3"/>
  <c r="N908" i="3"/>
  <c r="M908" i="3"/>
  <c r="L908" i="3"/>
  <c r="K908" i="3"/>
  <c r="J908" i="3"/>
  <c r="O907" i="3"/>
  <c r="M907" i="3"/>
  <c r="N907" i="3" s="1"/>
  <c r="L907" i="3"/>
  <c r="K907" i="3"/>
  <c r="J907" i="3"/>
  <c r="O906" i="3"/>
  <c r="N906" i="3"/>
  <c r="M906" i="3"/>
  <c r="L906" i="3"/>
  <c r="K906" i="3"/>
  <c r="J906" i="3"/>
  <c r="O905" i="3"/>
  <c r="M905" i="3"/>
  <c r="N905" i="3" s="1"/>
  <c r="L905" i="3"/>
  <c r="K905" i="3"/>
  <c r="J905" i="3"/>
  <c r="O904" i="3"/>
  <c r="N904" i="3"/>
  <c r="M904" i="3"/>
  <c r="L904" i="3"/>
  <c r="K904" i="3"/>
  <c r="J904" i="3"/>
  <c r="O903" i="3"/>
  <c r="M903" i="3"/>
  <c r="N903" i="3" s="1"/>
  <c r="L903" i="3"/>
  <c r="K903" i="3"/>
  <c r="J903" i="3"/>
  <c r="O902" i="3"/>
  <c r="N902" i="3"/>
  <c r="M902" i="3"/>
  <c r="L902" i="3"/>
  <c r="K902" i="3"/>
  <c r="J902" i="3"/>
  <c r="O901" i="3"/>
  <c r="M901" i="3"/>
  <c r="N901" i="3" s="1"/>
  <c r="L901" i="3"/>
  <c r="K901" i="3"/>
  <c r="J901" i="3"/>
  <c r="O900" i="3"/>
  <c r="N900" i="3"/>
  <c r="M900" i="3"/>
  <c r="L900" i="3"/>
  <c r="K900" i="3"/>
  <c r="J900" i="3"/>
  <c r="O899" i="3"/>
  <c r="M899" i="3"/>
  <c r="N899" i="3" s="1"/>
  <c r="L899" i="3"/>
  <c r="K899" i="3"/>
  <c r="J899" i="3"/>
  <c r="O898" i="3"/>
  <c r="N898" i="3"/>
  <c r="M898" i="3"/>
  <c r="L898" i="3"/>
  <c r="K898" i="3"/>
  <c r="J898" i="3"/>
  <c r="O897" i="3"/>
  <c r="M897" i="3"/>
  <c r="N897" i="3" s="1"/>
  <c r="L897" i="3"/>
  <c r="K897" i="3"/>
  <c r="J897" i="3"/>
  <c r="O896" i="3"/>
  <c r="N896" i="3"/>
  <c r="M896" i="3"/>
  <c r="L896" i="3"/>
  <c r="K896" i="3"/>
  <c r="J896" i="3"/>
  <c r="O895" i="3"/>
  <c r="M895" i="3"/>
  <c r="N895" i="3" s="1"/>
  <c r="L895" i="3"/>
  <c r="K895" i="3"/>
  <c r="J895" i="3"/>
  <c r="O894" i="3"/>
  <c r="N894" i="3"/>
  <c r="M894" i="3"/>
  <c r="L894" i="3"/>
  <c r="K894" i="3"/>
  <c r="J894" i="3"/>
  <c r="O893" i="3"/>
  <c r="M893" i="3"/>
  <c r="N893" i="3" s="1"/>
  <c r="L893" i="3"/>
  <c r="K893" i="3"/>
  <c r="J893" i="3"/>
  <c r="O892" i="3"/>
  <c r="N892" i="3"/>
  <c r="M892" i="3"/>
  <c r="L892" i="3"/>
  <c r="K892" i="3"/>
  <c r="J892" i="3"/>
  <c r="O891" i="3"/>
  <c r="M891" i="3"/>
  <c r="N891" i="3" s="1"/>
  <c r="L891" i="3"/>
  <c r="K891" i="3"/>
  <c r="J891" i="3"/>
  <c r="O890" i="3"/>
  <c r="N890" i="3"/>
  <c r="M890" i="3"/>
  <c r="L890" i="3"/>
  <c r="K890" i="3"/>
  <c r="J890" i="3"/>
  <c r="O889" i="3"/>
  <c r="M889" i="3"/>
  <c r="N889" i="3" s="1"/>
  <c r="L889" i="3"/>
  <c r="K889" i="3"/>
  <c r="J889" i="3"/>
  <c r="O888" i="3"/>
  <c r="N888" i="3"/>
  <c r="M888" i="3"/>
  <c r="L888" i="3"/>
  <c r="K888" i="3"/>
  <c r="J888" i="3"/>
  <c r="O887" i="3"/>
  <c r="M887" i="3"/>
  <c r="N887" i="3" s="1"/>
  <c r="L887" i="3"/>
  <c r="K887" i="3"/>
  <c r="J887" i="3"/>
  <c r="O886" i="3"/>
  <c r="N886" i="3"/>
  <c r="M886" i="3"/>
  <c r="L886" i="3"/>
  <c r="K886" i="3"/>
  <c r="J886" i="3"/>
  <c r="O885" i="3"/>
  <c r="M885" i="3"/>
  <c r="N885" i="3" s="1"/>
  <c r="L885" i="3"/>
  <c r="K885" i="3"/>
  <c r="J885" i="3"/>
  <c r="O884" i="3"/>
  <c r="N884" i="3"/>
  <c r="M884" i="3"/>
  <c r="L884" i="3"/>
  <c r="K884" i="3"/>
  <c r="J884" i="3"/>
  <c r="O883" i="3"/>
  <c r="M883" i="3"/>
  <c r="N883" i="3" s="1"/>
  <c r="L883" i="3"/>
  <c r="K883" i="3"/>
  <c r="J883" i="3"/>
  <c r="O882" i="3"/>
  <c r="M882" i="3"/>
  <c r="N882" i="3" s="1"/>
  <c r="L882" i="3"/>
  <c r="K882" i="3"/>
  <c r="J882" i="3"/>
  <c r="O881" i="3"/>
  <c r="N881" i="3"/>
  <c r="M881" i="3"/>
  <c r="L881" i="3"/>
  <c r="K881" i="3"/>
  <c r="J881" i="3"/>
  <c r="O880" i="3"/>
  <c r="M880" i="3"/>
  <c r="N880" i="3" s="1"/>
  <c r="L880" i="3"/>
  <c r="K880" i="3"/>
  <c r="J880" i="3"/>
  <c r="O879" i="3"/>
  <c r="N879" i="3"/>
  <c r="M879" i="3"/>
  <c r="L879" i="3"/>
  <c r="K879" i="3"/>
  <c r="J879" i="3"/>
  <c r="O878" i="3"/>
  <c r="M878" i="3"/>
  <c r="N878" i="3" s="1"/>
  <c r="L878" i="3"/>
  <c r="K878" i="3"/>
  <c r="J878" i="3"/>
  <c r="O877" i="3"/>
  <c r="M877" i="3"/>
  <c r="N877" i="3" s="1"/>
  <c r="L877" i="3"/>
  <c r="K877" i="3"/>
  <c r="J877" i="3"/>
  <c r="O876" i="3"/>
  <c r="M876" i="3"/>
  <c r="N876" i="3" s="1"/>
  <c r="L876" i="3"/>
  <c r="K876" i="3"/>
  <c r="J876" i="3"/>
  <c r="O875" i="3"/>
  <c r="M875" i="3"/>
  <c r="N875" i="3" s="1"/>
  <c r="L875" i="3"/>
  <c r="K875" i="3"/>
  <c r="J875" i="3"/>
  <c r="O874" i="3"/>
  <c r="M874" i="3"/>
  <c r="N874" i="3" s="1"/>
  <c r="L874" i="3"/>
  <c r="K874" i="3"/>
  <c r="J874" i="3"/>
  <c r="O873" i="3"/>
  <c r="N873" i="3"/>
  <c r="M873" i="3"/>
  <c r="L873" i="3"/>
  <c r="K873" i="3"/>
  <c r="J873" i="3"/>
  <c r="O872" i="3"/>
  <c r="M872" i="3"/>
  <c r="N872" i="3" s="1"/>
  <c r="L872" i="3"/>
  <c r="K872" i="3"/>
  <c r="J872" i="3"/>
  <c r="O871" i="3"/>
  <c r="M871" i="3"/>
  <c r="N871" i="3" s="1"/>
  <c r="L871" i="3"/>
  <c r="K871" i="3"/>
  <c r="J871" i="3"/>
  <c r="O870" i="3"/>
  <c r="M870" i="3"/>
  <c r="N870" i="3" s="1"/>
  <c r="L870" i="3"/>
  <c r="K870" i="3"/>
  <c r="J870" i="3"/>
  <c r="O869" i="3"/>
  <c r="M869" i="3"/>
  <c r="N869" i="3" s="1"/>
  <c r="L869" i="3"/>
  <c r="K869" i="3"/>
  <c r="J869" i="3"/>
  <c r="O868" i="3"/>
  <c r="M868" i="3"/>
  <c r="N868" i="3" s="1"/>
  <c r="L868" i="3"/>
  <c r="K868" i="3"/>
  <c r="J868" i="3"/>
  <c r="O867" i="3"/>
  <c r="M867" i="3"/>
  <c r="N867" i="3" s="1"/>
  <c r="L867" i="3"/>
  <c r="K867" i="3"/>
  <c r="J867" i="3"/>
  <c r="O866" i="3"/>
  <c r="M866" i="3"/>
  <c r="N866" i="3" s="1"/>
  <c r="L866" i="3"/>
  <c r="K866" i="3"/>
  <c r="J866" i="3"/>
  <c r="O865" i="3"/>
  <c r="N865" i="3"/>
  <c r="M865" i="3"/>
  <c r="L865" i="3"/>
  <c r="K865" i="3"/>
  <c r="J865" i="3"/>
  <c r="O864" i="3"/>
  <c r="M864" i="3"/>
  <c r="N864" i="3" s="1"/>
  <c r="L864" i="3"/>
  <c r="K864" i="3"/>
  <c r="J864" i="3"/>
  <c r="O863" i="3"/>
  <c r="M863" i="3"/>
  <c r="N863" i="3" s="1"/>
  <c r="L863" i="3"/>
  <c r="K863" i="3"/>
  <c r="J863" i="3"/>
  <c r="O862" i="3"/>
  <c r="M862" i="3"/>
  <c r="N862" i="3" s="1"/>
  <c r="L862" i="3"/>
  <c r="K862" i="3"/>
  <c r="J862" i="3"/>
  <c r="O861" i="3"/>
  <c r="N861" i="3"/>
  <c r="M861" i="3"/>
  <c r="L861" i="3"/>
  <c r="K861" i="3"/>
  <c r="J861" i="3"/>
  <c r="O860" i="3"/>
  <c r="M860" i="3"/>
  <c r="N860" i="3" s="1"/>
  <c r="L860" i="3"/>
  <c r="K860" i="3"/>
  <c r="J860" i="3"/>
  <c r="O859" i="3"/>
  <c r="M859" i="3"/>
  <c r="N859" i="3" s="1"/>
  <c r="L859" i="3"/>
  <c r="K859" i="3"/>
  <c r="J859" i="3"/>
  <c r="O858" i="3"/>
  <c r="M858" i="3"/>
  <c r="N858" i="3" s="1"/>
  <c r="L858" i="3"/>
  <c r="K858" i="3"/>
  <c r="J858" i="3"/>
  <c r="O857" i="3"/>
  <c r="N857" i="3"/>
  <c r="M857" i="3"/>
  <c r="L857" i="3"/>
  <c r="K857" i="3"/>
  <c r="J857" i="3"/>
  <c r="O856" i="3"/>
  <c r="M856" i="3"/>
  <c r="N856" i="3" s="1"/>
  <c r="L856" i="3"/>
  <c r="K856" i="3"/>
  <c r="J856" i="3"/>
  <c r="O855" i="3"/>
  <c r="N855" i="3"/>
  <c r="M855" i="3"/>
  <c r="L855" i="3"/>
  <c r="K855" i="3"/>
  <c r="J855" i="3"/>
  <c r="O854" i="3"/>
  <c r="M854" i="3"/>
  <c r="N854" i="3" s="1"/>
  <c r="L854" i="3"/>
  <c r="K854" i="3"/>
  <c r="J854" i="3"/>
  <c r="O853" i="3"/>
  <c r="N853" i="3"/>
  <c r="M853" i="3"/>
  <c r="L853" i="3"/>
  <c r="K853" i="3"/>
  <c r="J853" i="3"/>
  <c r="O852" i="3"/>
  <c r="M852" i="3"/>
  <c r="N852" i="3" s="1"/>
  <c r="L852" i="3"/>
  <c r="K852" i="3"/>
  <c r="J852" i="3"/>
  <c r="O851" i="3"/>
  <c r="M851" i="3"/>
  <c r="N851" i="3" s="1"/>
  <c r="L851" i="3"/>
  <c r="K851" i="3"/>
  <c r="J851" i="3"/>
  <c r="O850" i="3"/>
  <c r="M850" i="3"/>
  <c r="N850" i="3" s="1"/>
  <c r="L850" i="3"/>
  <c r="K850" i="3"/>
  <c r="J850" i="3"/>
  <c r="O849" i="3"/>
  <c r="N849" i="3"/>
  <c r="M849" i="3"/>
  <c r="L849" i="3"/>
  <c r="K849" i="3"/>
  <c r="J849" i="3"/>
  <c r="O848" i="3"/>
  <c r="M848" i="3"/>
  <c r="N848" i="3" s="1"/>
  <c r="L848" i="3"/>
  <c r="K848" i="3"/>
  <c r="J848" i="3"/>
  <c r="O847" i="3"/>
  <c r="N847" i="3"/>
  <c r="M847" i="3"/>
  <c r="L847" i="3"/>
  <c r="K847" i="3"/>
  <c r="J847" i="3"/>
  <c r="O846" i="3"/>
  <c r="M846" i="3"/>
  <c r="N846" i="3" s="1"/>
  <c r="L846" i="3"/>
  <c r="K846" i="3"/>
  <c r="J846" i="3"/>
  <c r="O845" i="3"/>
  <c r="M845" i="3"/>
  <c r="N845" i="3" s="1"/>
  <c r="L845" i="3"/>
  <c r="K845" i="3"/>
  <c r="J845" i="3"/>
  <c r="O844" i="3"/>
  <c r="M844" i="3"/>
  <c r="N844" i="3" s="1"/>
  <c r="L844" i="3"/>
  <c r="K844" i="3"/>
  <c r="J844" i="3"/>
  <c r="O843" i="3"/>
  <c r="M843" i="3"/>
  <c r="N843" i="3" s="1"/>
  <c r="L843" i="3"/>
  <c r="K843" i="3"/>
  <c r="J843" i="3"/>
  <c r="O842" i="3"/>
  <c r="M842" i="3"/>
  <c r="N842" i="3" s="1"/>
  <c r="L842" i="3"/>
  <c r="K842" i="3"/>
  <c r="J842" i="3"/>
  <c r="O841" i="3"/>
  <c r="N841" i="3"/>
  <c r="M841" i="3"/>
  <c r="L841" i="3"/>
  <c r="K841" i="3"/>
  <c r="J841" i="3"/>
  <c r="O840" i="3"/>
  <c r="M840" i="3"/>
  <c r="N840" i="3" s="1"/>
  <c r="L840" i="3"/>
  <c r="K840" i="3"/>
  <c r="J840" i="3"/>
  <c r="O839" i="3"/>
  <c r="M839" i="3"/>
  <c r="N839" i="3" s="1"/>
  <c r="L839" i="3"/>
  <c r="K839" i="3"/>
  <c r="J839" i="3"/>
  <c r="O838" i="3"/>
  <c r="M838" i="3"/>
  <c r="N838" i="3" s="1"/>
  <c r="L838" i="3"/>
  <c r="K838" i="3"/>
  <c r="J838" i="3"/>
  <c r="O837" i="3"/>
  <c r="M837" i="3"/>
  <c r="N837" i="3" s="1"/>
  <c r="L837" i="3"/>
  <c r="K837" i="3"/>
  <c r="J837" i="3"/>
  <c r="O836" i="3"/>
  <c r="M836" i="3"/>
  <c r="N836" i="3" s="1"/>
  <c r="K836" i="3"/>
  <c r="J836" i="3"/>
  <c r="O835" i="3"/>
  <c r="N835" i="3"/>
  <c r="M835" i="3"/>
  <c r="K835" i="3"/>
  <c r="J835" i="3"/>
  <c r="O834" i="3"/>
  <c r="M834" i="3"/>
  <c r="N834" i="3" s="1"/>
  <c r="K834" i="3"/>
  <c r="J834" i="3"/>
  <c r="O833" i="3"/>
  <c r="N833" i="3"/>
  <c r="M833" i="3"/>
  <c r="K833" i="3"/>
  <c r="J833" i="3"/>
  <c r="O832" i="3"/>
  <c r="M832" i="3"/>
  <c r="N832" i="3" s="1"/>
  <c r="K832" i="3"/>
  <c r="J832" i="3"/>
  <c r="O831" i="3"/>
  <c r="M831" i="3"/>
  <c r="N831" i="3" s="1"/>
  <c r="K831" i="3"/>
  <c r="J831" i="3"/>
  <c r="O830" i="3"/>
  <c r="N830" i="3"/>
  <c r="M830" i="3"/>
  <c r="K830" i="3"/>
  <c r="J830" i="3"/>
  <c r="O829" i="3"/>
  <c r="N829" i="3"/>
  <c r="M829" i="3"/>
  <c r="K829" i="3"/>
  <c r="J829" i="3"/>
  <c r="O828" i="3"/>
  <c r="M828" i="3"/>
  <c r="N828" i="3" s="1"/>
  <c r="K828" i="3"/>
  <c r="J828" i="3"/>
  <c r="O827" i="3"/>
  <c r="N827" i="3"/>
  <c r="M827" i="3"/>
  <c r="K827" i="3"/>
  <c r="J827" i="3"/>
  <c r="O826" i="3"/>
  <c r="M826" i="3"/>
  <c r="N826" i="3" s="1"/>
  <c r="K826" i="3"/>
  <c r="J826" i="3"/>
  <c r="O825" i="3"/>
  <c r="N825" i="3"/>
  <c r="M825" i="3"/>
  <c r="K825" i="3"/>
  <c r="J825" i="3"/>
  <c r="O824" i="3"/>
  <c r="M824" i="3"/>
  <c r="N824" i="3" s="1"/>
  <c r="K824" i="3"/>
  <c r="J824" i="3"/>
  <c r="O823" i="3"/>
  <c r="M823" i="3"/>
  <c r="N823" i="3" s="1"/>
  <c r="K823" i="3"/>
  <c r="J823" i="3"/>
  <c r="O822" i="3"/>
  <c r="N822" i="3"/>
  <c r="M822" i="3"/>
  <c r="K822" i="3"/>
  <c r="J822" i="3"/>
  <c r="O821" i="3"/>
  <c r="N821" i="3"/>
  <c r="M821" i="3"/>
  <c r="K821" i="3"/>
  <c r="J821" i="3"/>
  <c r="O820" i="3"/>
  <c r="M820" i="3"/>
  <c r="N820" i="3" s="1"/>
  <c r="K820" i="3"/>
  <c r="J820" i="3"/>
  <c r="O819" i="3"/>
  <c r="N819" i="3"/>
  <c r="M819" i="3"/>
  <c r="K819" i="3"/>
  <c r="J819" i="3"/>
  <c r="O818" i="3"/>
  <c r="M818" i="3"/>
  <c r="N818" i="3" s="1"/>
  <c r="K818" i="3"/>
  <c r="J818" i="3"/>
  <c r="O817" i="3"/>
  <c r="N817" i="3"/>
  <c r="M817" i="3"/>
  <c r="K817" i="3"/>
  <c r="J817" i="3"/>
  <c r="O816" i="3"/>
  <c r="M816" i="3"/>
  <c r="N816" i="3" s="1"/>
  <c r="K816" i="3"/>
  <c r="J816" i="3"/>
  <c r="O815" i="3"/>
  <c r="N815" i="3"/>
  <c r="M815" i="3"/>
  <c r="K815" i="3"/>
  <c r="J815" i="3"/>
  <c r="O814" i="3"/>
  <c r="N814" i="3"/>
  <c r="M814" i="3"/>
  <c r="K814" i="3"/>
  <c r="J814" i="3"/>
  <c r="O813" i="3"/>
  <c r="N813" i="3"/>
  <c r="M813" i="3"/>
  <c r="K813" i="3"/>
  <c r="J813" i="3"/>
  <c r="O812" i="3"/>
  <c r="M812" i="3"/>
  <c r="N812" i="3" s="1"/>
  <c r="K812" i="3"/>
  <c r="J812" i="3"/>
  <c r="O811" i="3"/>
  <c r="M811" i="3"/>
  <c r="N811" i="3" s="1"/>
  <c r="K811" i="3"/>
  <c r="J811" i="3"/>
  <c r="O810" i="3"/>
  <c r="N810" i="3"/>
  <c r="M810" i="3"/>
  <c r="K810" i="3"/>
  <c r="J810" i="3"/>
  <c r="O809" i="3"/>
  <c r="N809" i="3"/>
  <c r="M809" i="3"/>
  <c r="K809" i="3"/>
  <c r="J809" i="3"/>
  <c r="O808" i="3"/>
  <c r="M808" i="3"/>
  <c r="N808" i="3" s="1"/>
  <c r="K808" i="3"/>
  <c r="J808" i="3"/>
  <c r="F5" i="4" s="1"/>
  <c r="O807" i="3"/>
  <c r="M807" i="3"/>
  <c r="N807" i="3" s="1"/>
  <c r="K807" i="3"/>
  <c r="J807" i="3"/>
  <c r="O806" i="3"/>
  <c r="N806" i="3"/>
  <c r="M806" i="3"/>
  <c r="J806" i="3"/>
  <c r="O805" i="3"/>
  <c r="N805" i="3"/>
  <c r="M805" i="3"/>
  <c r="J805" i="3"/>
  <c r="O804" i="3"/>
  <c r="N804" i="3"/>
  <c r="M804" i="3"/>
  <c r="J804" i="3"/>
  <c r="O803" i="3"/>
  <c r="N803" i="3"/>
  <c r="M803" i="3"/>
  <c r="J803" i="3"/>
  <c r="O802" i="3"/>
  <c r="N802" i="3"/>
  <c r="M802" i="3"/>
  <c r="J802" i="3"/>
  <c r="O801" i="3"/>
  <c r="N801" i="3"/>
  <c r="M801" i="3"/>
  <c r="J801" i="3"/>
  <c r="O800" i="3"/>
  <c r="N800" i="3"/>
  <c r="M800" i="3"/>
  <c r="J800" i="3"/>
  <c r="O799" i="3"/>
  <c r="N799" i="3"/>
  <c r="M799" i="3"/>
  <c r="J799" i="3"/>
  <c r="O798" i="3"/>
  <c r="N798" i="3"/>
  <c r="M798" i="3"/>
  <c r="J798" i="3"/>
  <c r="O797" i="3"/>
  <c r="N797" i="3"/>
  <c r="M797" i="3"/>
  <c r="J797" i="3"/>
  <c r="O796" i="3"/>
  <c r="N796" i="3"/>
  <c r="M796" i="3"/>
  <c r="J796" i="3"/>
  <c r="O795" i="3"/>
  <c r="N795" i="3"/>
  <c r="M795" i="3"/>
  <c r="J795" i="3"/>
  <c r="O794" i="3"/>
  <c r="N794" i="3"/>
  <c r="M794" i="3"/>
  <c r="J794" i="3"/>
  <c r="O793" i="3"/>
  <c r="N793" i="3"/>
  <c r="M793" i="3"/>
  <c r="J793" i="3"/>
  <c r="O792" i="3"/>
  <c r="N792" i="3"/>
  <c r="M792" i="3"/>
  <c r="J792" i="3"/>
  <c r="O791" i="3"/>
  <c r="N791" i="3"/>
  <c r="M791" i="3"/>
  <c r="J791" i="3"/>
  <c r="O790" i="3"/>
  <c r="N790" i="3"/>
  <c r="M790" i="3"/>
  <c r="J790" i="3"/>
  <c r="O789" i="3"/>
  <c r="N789" i="3"/>
  <c r="M789" i="3"/>
  <c r="J789" i="3"/>
  <c r="O788" i="3"/>
  <c r="N788" i="3"/>
  <c r="M788" i="3"/>
  <c r="O787" i="3"/>
  <c r="M787" i="3"/>
  <c r="N787" i="3" s="1"/>
  <c r="L787" i="3"/>
  <c r="K787" i="3"/>
  <c r="J787" i="3"/>
  <c r="O786" i="3"/>
  <c r="N786" i="3"/>
  <c r="M786" i="3"/>
  <c r="L786" i="3"/>
  <c r="K786" i="3"/>
  <c r="J786" i="3"/>
  <c r="O785" i="3"/>
  <c r="M785" i="3"/>
  <c r="N785" i="3" s="1"/>
  <c r="L785" i="3"/>
  <c r="K785" i="3"/>
  <c r="J785" i="3"/>
  <c r="O784" i="3"/>
  <c r="N784" i="3"/>
  <c r="M784" i="3"/>
  <c r="L784" i="3"/>
  <c r="K784" i="3"/>
  <c r="J784" i="3"/>
  <c r="O783" i="3"/>
  <c r="M783" i="3"/>
  <c r="N783" i="3" s="1"/>
  <c r="L783" i="3"/>
  <c r="K783" i="3"/>
  <c r="J783" i="3"/>
  <c r="O782" i="3"/>
  <c r="N782" i="3"/>
  <c r="M782" i="3"/>
  <c r="L782" i="3"/>
  <c r="K782" i="3"/>
  <c r="J782" i="3"/>
  <c r="O781" i="3"/>
  <c r="M781" i="3"/>
  <c r="N781" i="3" s="1"/>
  <c r="L781" i="3"/>
  <c r="K781" i="3"/>
  <c r="J781" i="3"/>
  <c r="O780" i="3"/>
  <c r="N780" i="3"/>
  <c r="M780" i="3"/>
  <c r="L780" i="3"/>
  <c r="K780" i="3"/>
  <c r="J780" i="3"/>
  <c r="O779" i="3"/>
  <c r="M779" i="3"/>
  <c r="N779" i="3" s="1"/>
  <c r="L779" i="3"/>
  <c r="K779" i="3"/>
  <c r="J779" i="3"/>
  <c r="O778" i="3"/>
  <c r="N778" i="3"/>
  <c r="M778" i="3"/>
  <c r="L778" i="3"/>
  <c r="K778" i="3"/>
  <c r="J778" i="3"/>
  <c r="O777" i="3"/>
  <c r="M777" i="3"/>
  <c r="N777" i="3" s="1"/>
  <c r="L777" i="3"/>
  <c r="K777" i="3"/>
  <c r="J777" i="3"/>
  <c r="O776" i="3"/>
  <c r="N776" i="3"/>
  <c r="M776" i="3"/>
  <c r="L776" i="3"/>
  <c r="K776" i="3"/>
  <c r="J776" i="3"/>
  <c r="O775" i="3"/>
  <c r="M775" i="3"/>
  <c r="N775" i="3" s="1"/>
  <c r="L775" i="3"/>
  <c r="K775" i="3"/>
  <c r="J775" i="3"/>
  <c r="O774" i="3"/>
  <c r="N774" i="3"/>
  <c r="M774" i="3"/>
  <c r="L774" i="3"/>
  <c r="K774" i="3"/>
  <c r="J774" i="3"/>
  <c r="O773" i="3"/>
  <c r="M773" i="3"/>
  <c r="N773" i="3" s="1"/>
  <c r="L773" i="3"/>
  <c r="K773" i="3"/>
  <c r="J773" i="3"/>
  <c r="O772" i="3"/>
  <c r="N772" i="3"/>
  <c r="M772" i="3"/>
  <c r="L772" i="3"/>
  <c r="K772" i="3"/>
  <c r="J772" i="3"/>
  <c r="O771" i="3"/>
  <c r="M771" i="3"/>
  <c r="N771" i="3" s="1"/>
  <c r="L771" i="3"/>
  <c r="K771" i="3"/>
  <c r="J771" i="3"/>
  <c r="O770" i="3"/>
  <c r="N770" i="3"/>
  <c r="M770" i="3"/>
  <c r="L770" i="3"/>
  <c r="K770" i="3"/>
  <c r="J770" i="3"/>
  <c r="O769" i="3"/>
  <c r="M769" i="3"/>
  <c r="N769" i="3" s="1"/>
  <c r="L769" i="3"/>
  <c r="K769" i="3"/>
  <c r="J769" i="3"/>
  <c r="O768" i="3"/>
  <c r="N768" i="3"/>
  <c r="M768" i="3"/>
  <c r="L768" i="3"/>
  <c r="K768" i="3"/>
  <c r="J768" i="3"/>
  <c r="O767" i="3"/>
  <c r="M767" i="3"/>
  <c r="N767" i="3" s="1"/>
  <c r="L767" i="3"/>
  <c r="K767" i="3"/>
  <c r="J767" i="3"/>
  <c r="O766" i="3"/>
  <c r="N766" i="3"/>
  <c r="M766" i="3"/>
  <c r="L766" i="3"/>
  <c r="K766" i="3"/>
  <c r="J766" i="3"/>
  <c r="O765" i="3"/>
  <c r="M765" i="3"/>
  <c r="N765" i="3" s="1"/>
  <c r="L765" i="3"/>
  <c r="K765" i="3"/>
  <c r="J765" i="3"/>
  <c r="O764" i="3"/>
  <c r="N764" i="3"/>
  <c r="M764" i="3"/>
  <c r="L764" i="3"/>
  <c r="K764" i="3"/>
  <c r="J764" i="3"/>
  <c r="O763" i="3"/>
  <c r="M763" i="3"/>
  <c r="N763" i="3" s="1"/>
  <c r="L763" i="3"/>
  <c r="K763" i="3"/>
  <c r="J763" i="3"/>
  <c r="O762" i="3"/>
  <c r="N762" i="3"/>
  <c r="M762" i="3"/>
  <c r="L762" i="3"/>
  <c r="K762" i="3"/>
  <c r="J762" i="3"/>
  <c r="O761" i="3"/>
  <c r="M761" i="3"/>
  <c r="N761" i="3" s="1"/>
  <c r="L761" i="3"/>
  <c r="K761" i="3"/>
  <c r="J761" i="3"/>
  <c r="O760" i="3"/>
  <c r="N760" i="3"/>
  <c r="M760" i="3"/>
  <c r="L760" i="3"/>
  <c r="K760" i="3"/>
  <c r="J760" i="3"/>
  <c r="O759" i="3"/>
  <c r="M759" i="3"/>
  <c r="N759" i="3" s="1"/>
  <c r="L759" i="3"/>
  <c r="K759" i="3"/>
  <c r="J759" i="3"/>
  <c r="O758" i="3"/>
  <c r="N758" i="3"/>
  <c r="M758" i="3"/>
  <c r="L758" i="3"/>
  <c r="K758" i="3"/>
  <c r="J758" i="3"/>
  <c r="O757" i="3"/>
  <c r="M757" i="3"/>
  <c r="N757" i="3" s="1"/>
  <c r="L757" i="3"/>
  <c r="K757" i="3"/>
  <c r="J757" i="3"/>
  <c r="O756" i="3"/>
  <c r="N756" i="3"/>
  <c r="M756" i="3"/>
  <c r="L756" i="3"/>
  <c r="K756" i="3"/>
  <c r="J756" i="3"/>
  <c r="O755" i="3"/>
  <c r="M755" i="3"/>
  <c r="N755" i="3" s="1"/>
  <c r="L755" i="3"/>
  <c r="K755" i="3"/>
  <c r="J755" i="3"/>
  <c r="O754" i="3"/>
  <c r="N754" i="3"/>
  <c r="M754" i="3"/>
  <c r="L754" i="3"/>
  <c r="K754" i="3"/>
  <c r="J754" i="3"/>
  <c r="O753" i="3"/>
  <c r="M753" i="3"/>
  <c r="N753" i="3" s="1"/>
  <c r="L753" i="3"/>
  <c r="K753" i="3"/>
  <c r="J753" i="3"/>
  <c r="O752" i="3"/>
  <c r="N752" i="3"/>
  <c r="M752" i="3"/>
  <c r="L752" i="3"/>
  <c r="K752" i="3"/>
  <c r="J752" i="3"/>
  <c r="O751" i="3"/>
  <c r="M751" i="3"/>
  <c r="N751" i="3" s="1"/>
  <c r="L751" i="3"/>
  <c r="K751" i="3"/>
  <c r="J751" i="3"/>
  <c r="O750" i="3"/>
  <c r="N750" i="3"/>
  <c r="M750" i="3"/>
  <c r="L750" i="3"/>
  <c r="K750" i="3"/>
  <c r="J750" i="3"/>
  <c r="O749" i="3"/>
  <c r="M749" i="3"/>
  <c r="N749" i="3" s="1"/>
  <c r="L749" i="3"/>
  <c r="K749" i="3"/>
  <c r="J749" i="3"/>
  <c r="O748" i="3"/>
  <c r="N748" i="3"/>
  <c r="M748" i="3"/>
  <c r="L748" i="3"/>
  <c r="K748" i="3"/>
  <c r="J748" i="3"/>
  <c r="O747" i="3"/>
  <c r="M747" i="3"/>
  <c r="N747" i="3" s="1"/>
  <c r="L747" i="3"/>
  <c r="K747" i="3"/>
  <c r="J747" i="3"/>
  <c r="O746" i="3"/>
  <c r="N746" i="3"/>
  <c r="M746" i="3"/>
  <c r="L746" i="3"/>
  <c r="K746" i="3"/>
  <c r="J746" i="3"/>
  <c r="O745" i="3"/>
  <c r="M745" i="3"/>
  <c r="N745" i="3" s="1"/>
  <c r="L745" i="3"/>
  <c r="K745" i="3"/>
  <c r="J745" i="3"/>
  <c r="O744" i="3"/>
  <c r="N744" i="3"/>
  <c r="M744" i="3"/>
  <c r="L744" i="3"/>
  <c r="K744" i="3"/>
  <c r="J744" i="3"/>
  <c r="O743" i="3"/>
  <c r="M743" i="3"/>
  <c r="N743" i="3" s="1"/>
  <c r="L743" i="3"/>
  <c r="K743" i="3"/>
  <c r="J743" i="3"/>
  <c r="O742" i="3"/>
  <c r="N742" i="3"/>
  <c r="M742" i="3"/>
  <c r="L742" i="3"/>
  <c r="K742" i="3"/>
  <c r="J742" i="3"/>
  <c r="O741" i="3"/>
  <c r="M741" i="3"/>
  <c r="N741" i="3" s="1"/>
  <c r="L741" i="3"/>
  <c r="K741" i="3"/>
  <c r="J741" i="3"/>
  <c r="O740" i="3"/>
  <c r="N740" i="3"/>
  <c r="M740" i="3"/>
  <c r="L740" i="3"/>
  <c r="K740" i="3"/>
  <c r="J740" i="3"/>
  <c r="O739" i="3"/>
  <c r="M739" i="3"/>
  <c r="N739" i="3" s="1"/>
  <c r="L739" i="3"/>
  <c r="K739" i="3"/>
  <c r="J739" i="3"/>
  <c r="O738" i="3"/>
  <c r="N738" i="3"/>
  <c r="M738" i="3"/>
  <c r="L738" i="3"/>
  <c r="K738" i="3"/>
  <c r="J738" i="3"/>
  <c r="O737" i="3"/>
  <c r="M737" i="3"/>
  <c r="N737" i="3" s="1"/>
  <c r="L737" i="3"/>
  <c r="K737" i="3"/>
  <c r="J737" i="3"/>
  <c r="O736" i="3"/>
  <c r="N736" i="3"/>
  <c r="M736" i="3"/>
  <c r="L736" i="3"/>
  <c r="K736" i="3"/>
  <c r="J736" i="3"/>
  <c r="O735" i="3"/>
  <c r="M735" i="3"/>
  <c r="N735" i="3" s="1"/>
  <c r="L735" i="3"/>
  <c r="K735" i="3"/>
  <c r="J735" i="3"/>
  <c r="O734" i="3"/>
  <c r="N734" i="3"/>
  <c r="M734" i="3"/>
  <c r="L734" i="3"/>
  <c r="K734" i="3"/>
  <c r="J734" i="3"/>
  <c r="O733" i="3"/>
  <c r="M733" i="3"/>
  <c r="N733" i="3" s="1"/>
  <c r="L733" i="3"/>
  <c r="K733" i="3"/>
  <c r="J733" i="3"/>
  <c r="O732" i="3"/>
  <c r="N732" i="3"/>
  <c r="M732" i="3"/>
  <c r="L732" i="3"/>
  <c r="K732" i="3"/>
  <c r="J732" i="3"/>
  <c r="O731" i="3"/>
  <c r="M731" i="3"/>
  <c r="N731" i="3" s="1"/>
  <c r="L731" i="3"/>
  <c r="K731" i="3"/>
  <c r="J731" i="3"/>
  <c r="O730" i="3"/>
  <c r="N730" i="3"/>
  <c r="M730" i="3"/>
  <c r="L730" i="3"/>
  <c r="K730" i="3"/>
  <c r="J730" i="3"/>
  <c r="O729" i="3"/>
  <c r="M729" i="3"/>
  <c r="N729" i="3" s="1"/>
  <c r="L729" i="3"/>
  <c r="K729" i="3"/>
  <c r="J729" i="3"/>
  <c r="O728" i="3"/>
  <c r="N728" i="3"/>
  <c r="M728" i="3"/>
  <c r="L728" i="3"/>
  <c r="K728" i="3"/>
  <c r="J728" i="3"/>
  <c r="O727" i="3"/>
  <c r="M727" i="3"/>
  <c r="N727" i="3" s="1"/>
  <c r="L727" i="3"/>
  <c r="K727" i="3"/>
  <c r="J727" i="3"/>
  <c r="O726" i="3"/>
  <c r="N726" i="3"/>
  <c r="M726" i="3"/>
  <c r="L726" i="3"/>
  <c r="K726" i="3"/>
  <c r="J726" i="3"/>
  <c r="O725" i="3"/>
  <c r="M725" i="3"/>
  <c r="N725" i="3" s="1"/>
  <c r="L725" i="3"/>
  <c r="K725" i="3"/>
  <c r="J725" i="3"/>
  <c r="O724" i="3"/>
  <c r="N724" i="3"/>
  <c r="M724" i="3"/>
  <c r="L724" i="3"/>
  <c r="K724" i="3"/>
  <c r="J724" i="3"/>
  <c r="O723" i="3"/>
  <c r="M723" i="3"/>
  <c r="N723" i="3" s="1"/>
  <c r="L723" i="3"/>
  <c r="K723" i="3"/>
  <c r="J723" i="3"/>
  <c r="O722" i="3"/>
  <c r="N722" i="3"/>
  <c r="M722" i="3"/>
  <c r="L722" i="3"/>
  <c r="K722" i="3"/>
  <c r="J722" i="3"/>
  <c r="O721" i="3"/>
  <c r="M721" i="3"/>
  <c r="N721" i="3" s="1"/>
  <c r="L721" i="3"/>
  <c r="K721" i="3"/>
  <c r="J721" i="3"/>
  <c r="O720" i="3"/>
  <c r="N720" i="3"/>
  <c r="M720" i="3"/>
  <c r="L720" i="3"/>
  <c r="K720" i="3"/>
  <c r="J720" i="3"/>
  <c r="O719" i="3"/>
  <c r="M719" i="3"/>
  <c r="N719" i="3" s="1"/>
  <c r="L719" i="3"/>
  <c r="K719" i="3"/>
  <c r="J719" i="3"/>
  <c r="O718" i="3"/>
  <c r="N718" i="3"/>
  <c r="M718" i="3"/>
  <c r="L718" i="3"/>
  <c r="K718" i="3"/>
  <c r="J718" i="3"/>
  <c r="O717" i="3"/>
  <c r="M717" i="3"/>
  <c r="N717" i="3" s="1"/>
  <c r="L717" i="3"/>
  <c r="K717" i="3"/>
  <c r="J717" i="3"/>
  <c r="O716" i="3"/>
  <c r="N716" i="3"/>
  <c r="M716" i="3"/>
  <c r="L716" i="3"/>
  <c r="K716" i="3"/>
  <c r="J716" i="3"/>
  <c r="O715" i="3"/>
  <c r="M715" i="3"/>
  <c r="N715" i="3" s="1"/>
  <c r="L715" i="3"/>
  <c r="K715" i="3"/>
  <c r="J715" i="3"/>
  <c r="O714" i="3"/>
  <c r="N714" i="3"/>
  <c r="M714" i="3"/>
  <c r="L714" i="3"/>
  <c r="K714" i="3"/>
  <c r="J714" i="3"/>
  <c r="O713" i="3"/>
  <c r="M713" i="3"/>
  <c r="N713" i="3" s="1"/>
  <c r="L713" i="3"/>
  <c r="K713" i="3"/>
  <c r="J713" i="3"/>
  <c r="O712" i="3"/>
  <c r="N712" i="3"/>
  <c r="M712" i="3"/>
  <c r="L712" i="3"/>
  <c r="K712" i="3"/>
  <c r="J712" i="3"/>
  <c r="O711" i="3"/>
  <c r="M711" i="3"/>
  <c r="N711" i="3" s="1"/>
  <c r="L711" i="3"/>
  <c r="K711" i="3"/>
  <c r="J711" i="3"/>
  <c r="O710" i="3"/>
  <c r="N710" i="3"/>
  <c r="M710" i="3"/>
  <c r="L710" i="3"/>
  <c r="K710" i="3"/>
  <c r="J710" i="3"/>
  <c r="O709" i="3"/>
  <c r="M709" i="3"/>
  <c r="N709" i="3" s="1"/>
  <c r="L709" i="3"/>
  <c r="K709" i="3"/>
  <c r="J709" i="3"/>
  <c r="O708" i="3"/>
  <c r="N708" i="3"/>
  <c r="M708" i="3"/>
  <c r="L708" i="3"/>
  <c r="K708" i="3"/>
  <c r="J708" i="3"/>
  <c r="O707" i="3"/>
  <c r="M707" i="3"/>
  <c r="N707" i="3" s="1"/>
  <c r="L707" i="3"/>
  <c r="K707" i="3"/>
  <c r="J707" i="3"/>
  <c r="O706" i="3"/>
  <c r="N706" i="3"/>
  <c r="M706" i="3"/>
  <c r="L706" i="3"/>
  <c r="K706" i="3"/>
  <c r="J706" i="3"/>
  <c r="O705" i="3"/>
  <c r="M705" i="3"/>
  <c r="N705" i="3" s="1"/>
  <c r="L705" i="3"/>
  <c r="K705" i="3"/>
  <c r="J705" i="3"/>
  <c r="O704" i="3"/>
  <c r="N704" i="3"/>
  <c r="M704" i="3"/>
  <c r="L704" i="3"/>
  <c r="K704" i="3"/>
  <c r="J704" i="3"/>
  <c r="O703" i="3"/>
  <c r="M703" i="3"/>
  <c r="N703" i="3" s="1"/>
  <c r="L703" i="3"/>
  <c r="K703" i="3"/>
  <c r="J703" i="3"/>
  <c r="O702" i="3"/>
  <c r="N702" i="3"/>
  <c r="M702" i="3"/>
  <c r="L702" i="3"/>
  <c r="K702" i="3"/>
  <c r="J702" i="3"/>
  <c r="O701" i="3"/>
  <c r="M701" i="3"/>
  <c r="N701" i="3" s="1"/>
  <c r="L701" i="3"/>
  <c r="K701" i="3"/>
  <c r="J701" i="3"/>
  <c r="O700" i="3"/>
  <c r="N700" i="3"/>
  <c r="M700" i="3"/>
  <c r="L700" i="3"/>
  <c r="K700" i="3"/>
  <c r="J700" i="3"/>
  <c r="O699" i="3"/>
  <c r="M699" i="3"/>
  <c r="N699" i="3" s="1"/>
  <c r="L699" i="3"/>
  <c r="K699" i="3"/>
  <c r="J699" i="3"/>
  <c r="O698" i="3"/>
  <c r="N698" i="3"/>
  <c r="M698" i="3"/>
  <c r="L698" i="3"/>
  <c r="K698" i="3"/>
  <c r="J698" i="3"/>
  <c r="O697" i="3"/>
  <c r="M697" i="3"/>
  <c r="N697" i="3" s="1"/>
  <c r="L697" i="3"/>
  <c r="K697" i="3"/>
  <c r="J697" i="3"/>
  <c r="O696" i="3"/>
  <c r="M696" i="3"/>
  <c r="N696" i="3" s="1"/>
  <c r="L696" i="3"/>
  <c r="K696" i="3"/>
  <c r="J696" i="3"/>
  <c r="O695" i="3"/>
  <c r="M695" i="3"/>
  <c r="N695" i="3" s="1"/>
  <c r="L695" i="3"/>
  <c r="K695" i="3"/>
  <c r="J695" i="3"/>
  <c r="O694" i="3"/>
  <c r="N694" i="3"/>
  <c r="M694" i="3"/>
  <c r="L694" i="3"/>
  <c r="K694" i="3"/>
  <c r="J694" i="3"/>
  <c r="O693" i="3"/>
  <c r="M693" i="3"/>
  <c r="N693" i="3" s="1"/>
  <c r="L693" i="3"/>
  <c r="K693" i="3"/>
  <c r="J693" i="3"/>
  <c r="O692" i="3"/>
  <c r="M692" i="3"/>
  <c r="N692" i="3" s="1"/>
  <c r="L692" i="3"/>
  <c r="K692" i="3"/>
  <c r="J692" i="3"/>
  <c r="O691" i="3"/>
  <c r="M691" i="3"/>
  <c r="N691" i="3" s="1"/>
  <c r="L691" i="3"/>
  <c r="K691" i="3"/>
  <c r="J691" i="3"/>
  <c r="O690" i="3"/>
  <c r="N690" i="3"/>
  <c r="M690" i="3"/>
  <c r="L690" i="3"/>
  <c r="K690" i="3"/>
  <c r="J690" i="3"/>
  <c r="O689" i="3"/>
  <c r="M689" i="3"/>
  <c r="N689" i="3" s="1"/>
  <c r="L689" i="3"/>
  <c r="K689" i="3"/>
  <c r="J689" i="3"/>
  <c r="O688" i="3"/>
  <c r="N688" i="3"/>
  <c r="M688" i="3"/>
  <c r="L688" i="3"/>
  <c r="K688" i="3"/>
  <c r="J688" i="3"/>
  <c r="O687" i="3"/>
  <c r="M687" i="3"/>
  <c r="N687" i="3" s="1"/>
  <c r="L687" i="3"/>
  <c r="K687" i="3"/>
  <c r="J687" i="3"/>
  <c r="O686" i="3"/>
  <c r="M686" i="3"/>
  <c r="N686" i="3" s="1"/>
  <c r="L686" i="3"/>
  <c r="K686" i="3"/>
  <c r="J686" i="3"/>
  <c r="O685" i="3"/>
  <c r="M685" i="3"/>
  <c r="N685" i="3" s="1"/>
  <c r="L685" i="3"/>
  <c r="K685" i="3"/>
  <c r="J685" i="3"/>
  <c r="O684" i="3"/>
  <c r="M684" i="3"/>
  <c r="N684" i="3" s="1"/>
  <c r="L684" i="3"/>
  <c r="K684" i="3"/>
  <c r="J684" i="3"/>
  <c r="O683" i="3"/>
  <c r="M683" i="3"/>
  <c r="N683" i="3" s="1"/>
  <c r="L683" i="3"/>
  <c r="K683" i="3"/>
  <c r="J683" i="3"/>
  <c r="O682" i="3"/>
  <c r="N682" i="3"/>
  <c r="M682" i="3"/>
  <c r="L682" i="3"/>
  <c r="K682" i="3"/>
  <c r="J682" i="3"/>
  <c r="O681" i="3"/>
  <c r="M681" i="3"/>
  <c r="N681" i="3" s="1"/>
  <c r="L681" i="3"/>
  <c r="K681" i="3"/>
  <c r="J681" i="3"/>
  <c r="O680" i="3"/>
  <c r="M680" i="3"/>
  <c r="N680" i="3" s="1"/>
  <c r="L680" i="3"/>
  <c r="K680" i="3"/>
  <c r="J680" i="3"/>
  <c r="O679" i="3"/>
  <c r="M679" i="3"/>
  <c r="N679" i="3" s="1"/>
  <c r="L679" i="3"/>
  <c r="K679" i="3"/>
  <c r="J679" i="3"/>
  <c r="O678" i="3"/>
  <c r="N678" i="3"/>
  <c r="M678" i="3"/>
  <c r="L678" i="3"/>
  <c r="K678" i="3"/>
  <c r="J678" i="3"/>
  <c r="O677" i="3"/>
  <c r="M677" i="3"/>
  <c r="N677" i="3" s="1"/>
  <c r="L677" i="3"/>
  <c r="K677" i="3"/>
  <c r="J677" i="3"/>
  <c r="O676" i="3"/>
  <c r="M676" i="3"/>
  <c r="N676" i="3" s="1"/>
  <c r="L676" i="3"/>
  <c r="K676" i="3"/>
  <c r="J676" i="3"/>
  <c r="O675" i="3"/>
  <c r="M675" i="3"/>
  <c r="N675" i="3" s="1"/>
  <c r="L675" i="3"/>
  <c r="K675" i="3"/>
  <c r="J675" i="3"/>
  <c r="O674" i="3"/>
  <c r="N674" i="3"/>
  <c r="M674" i="3"/>
  <c r="L674" i="3"/>
  <c r="K674" i="3"/>
  <c r="J674" i="3"/>
  <c r="O673" i="3"/>
  <c r="M673" i="3"/>
  <c r="N673" i="3" s="1"/>
  <c r="L673" i="3"/>
  <c r="K673" i="3"/>
  <c r="J673" i="3"/>
  <c r="O672" i="3"/>
  <c r="N672" i="3"/>
  <c r="M672" i="3"/>
  <c r="L672" i="3"/>
  <c r="K672" i="3"/>
  <c r="J672" i="3"/>
  <c r="O671" i="3"/>
  <c r="M671" i="3"/>
  <c r="N671" i="3" s="1"/>
  <c r="L671" i="3"/>
  <c r="K671" i="3"/>
  <c r="J671" i="3"/>
  <c r="O670" i="3"/>
  <c r="M670" i="3"/>
  <c r="N670" i="3" s="1"/>
  <c r="L670" i="3"/>
  <c r="K670" i="3"/>
  <c r="J670" i="3"/>
  <c r="O669" i="3"/>
  <c r="M669" i="3"/>
  <c r="N669" i="3" s="1"/>
  <c r="L669" i="3"/>
  <c r="K669" i="3"/>
  <c r="J669" i="3"/>
  <c r="O668" i="3"/>
  <c r="M668" i="3"/>
  <c r="N668" i="3" s="1"/>
  <c r="L668" i="3"/>
  <c r="K668" i="3"/>
  <c r="J668" i="3"/>
  <c r="O667" i="3"/>
  <c r="M667" i="3"/>
  <c r="N667" i="3" s="1"/>
  <c r="L667" i="3"/>
  <c r="K667" i="3"/>
  <c r="J667" i="3"/>
  <c r="O666" i="3"/>
  <c r="N666" i="3"/>
  <c r="M666" i="3"/>
  <c r="L666" i="3"/>
  <c r="K666" i="3"/>
  <c r="J666" i="3"/>
  <c r="O665" i="3"/>
  <c r="M665" i="3"/>
  <c r="N665" i="3" s="1"/>
  <c r="L665" i="3"/>
  <c r="K665" i="3"/>
  <c r="J665" i="3"/>
  <c r="O664" i="3"/>
  <c r="M664" i="3"/>
  <c r="N664" i="3" s="1"/>
  <c r="L664" i="3"/>
  <c r="K664" i="3"/>
  <c r="J664" i="3"/>
  <c r="O663" i="3"/>
  <c r="M663" i="3"/>
  <c r="N663" i="3" s="1"/>
  <c r="L663" i="3"/>
  <c r="K663" i="3"/>
  <c r="J663" i="3"/>
  <c r="O662" i="3"/>
  <c r="N662" i="3"/>
  <c r="M662" i="3"/>
  <c r="L662" i="3"/>
  <c r="K662" i="3"/>
  <c r="J662" i="3"/>
  <c r="O661" i="3"/>
  <c r="M661" i="3"/>
  <c r="N661" i="3" s="1"/>
  <c r="L661" i="3"/>
  <c r="K661" i="3"/>
  <c r="J661" i="3"/>
  <c r="O660" i="3"/>
  <c r="M660" i="3"/>
  <c r="N660" i="3" s="1"/>
  <c r="L660" i="3"/>
  <c r="K660" i="3"/>
  <c r="J660" i="3"/>
  <c r="O659" i="3"/>
  <c r="N659" i="3"/>
  <c r="M659" i="3"/>
  <c r="L659" i="3"/>
  <c r="K659" i="3"/>
  <c r="J659" i="3"/>
  <c r="O658" i="3"/>
  <c r="M658" i="3"/>
  <c r="N658" i="3" s="1"/>
  <c r="L658" i="3"/>
  <c r="K658" i="3"/>
  <c r="J658" i="3"/>
  <c r="O657" i="3"/>
  <c r="M657" i="3"/>
  <c r="N657" i="3" s="1"/>
  <c r="L657" i="3"/>
  <c r="K657" i="3"/>
  <c r="J657" i="3"/>
  <c r="O656" i="3"/>
  <c r="M656" i="3"/>
  <c r="N656" i="3" s="1"/>
  <c r="L656" i="3"/>
  <c r="K656" i="3"/>
  <c r="J656" i="3"/>
  <c r="O655" i="3"/>
  <c r="N655" i="3"/>
  <c r="M655" i="3"/>
  <c r="L655" i="3"/>
  <c r="K655" i="3"/>
  <c r="J655" i="3"/>
  <c r="O654" i="3"/>
  <c r="M654" i="3"/>
  <c r="N654" i="3" s="1"/>
  <c r="L654" i="3"/>
  <c r="K654" i="3"/>
  <c r="J654" i="3"/>
  <c r="O653" i="3"/>
  <c r="M653" i="3"/>
  <c r="N653" i="3" s="1"/>
  <c r="L653" i="3"/>
  <c r="K653" i="3"/>
  <c r="J653" i="3"/>
  <c r="O652" i="3"/>
  <c r="M652" i="3"/>
  <c r="N652" i="3" s="1"/>
  <c r="L652" i="3"/>
  <c r="K652" i="3"/>
  <c r="J652" i="3"/>
  <c r="O651" i="3"/>
  <c r="N651" i="3"/>
  <c r="M651" i="3"/>
  <c r="L651" i="3"/>
  <c r="K651" i="3"/>
  <c r="J651" i="3"/>
  <c r="O650" i="3"/>
  <c r="M650" i="3"/>
  <c r="N650" i="3" s="1"/>
  <c r="L650" i="3"/>
  <c r="K650" i="3"/>
  <c r="J650" i="3"/>
  <c r="O649" i="3"/>
  <c r="M649" i="3"/>
  <c r="N649" i="3" s="1"/>
  <c r="L649" i="3"/>
  <c r="K649" i="3"/>
  <c r="J649" i="3"/>
  <c r="O648" i="3"/>
  <c r="M648" i="3"/>
  <c r="N648" i="3" s="1"/>
  <c r="L648" i="3"/>
  <c r="K648" i="3"/>
  <c r="J648" i="3"/>
  <c r="O647" i="3"/>
  <c r="N647" i="3"/>
  <c r="M647" i="3"/>
  <c r="L647" i="3"/>
  <c r="K647" i="3"/>
  <c r="J647" i="3"/>
  <c r="O646" i="3"/>
  <c r="M646" i="3"/>
  <c r="N646" i="3" s="1"/>
  <c r="L646" i="3"/>
  <c r="K646" i="3"/>
  <c r="J646" i="3"/>
  <c r="O645" i="3"/>
  <c r="M645" i="3"/>
  <c r="N645" i="3" s="1"/>
  <c r="L645" i="3"/>
  <c r="K645" i="3"/>
  <c r="J645" i="3"/>
  <c r="O644" i="3"/>
  <c r="M644" i="3"/>
  <c r="N644" i="3" s="1"/>
  <c r="L644" i="3"/>
  <c r="K644" i="3"/>
  <c r="J644" i="3"/>
  <c r="O643" i="3"/>
  <c r="N643" i="3"/>
  <c r="M643" i="3"/>
  <c r="L643" i="3"/>
  <c r="K643" i="3"/>
  <c r="J643" i="3"/>
  <c r="O642" i="3"/>
  <c r="M642" i="3"/>
  <c r="N642" i="3" s="1"/>
  <c r="L642" i="3"/>
  <c r="K642" i="3"/>
  <c r="J642" i="3"/>
  <c r="O641" i="3"/>
  <c r="M641" i="3"/>
  <c r="N641" i="3" s="1"/>
  <c r="L641" i="3"/>
  <c r="K641" i="3"/>
  <c r="J641" i="3"/>
  <c r="O640" i="3"/>
  <c r="M640" i="3"/>
  <c r="N640" i="3" s="1"/>
  <c r="L640" i="3"/>
  <c r="K640" i="3"/>
  <c r="J640" i="3"/>
  <c r="O639" i="3"/>
  <c r="N639" i="3"/>
  <c r="M639" i="3"/>
  <c r="L639" i="3"/>
  <c r="K639" i="3"/>
  <c r="J639" i="3"/>
  <c r="O638" i="3"/>
  <c r="M638" i="3"/>
  <c r="N638" i="3" s="1"/>
  <c r="L638" i="3"/>
  <c r="K638" i="3"/>
  <c r="J638" i="3"/>
  <c r="O637" i="3"/>
  <c r="M637" i="3"/>
  <c r="N637" i="3" s="1"/>
  <c r="L637" i="3"/>
  <c r="K637" i="3"/>
  <c r="J637" i="3"/>
  <c r="O636" i="3"/>
  <c r="M636" i="3"/>
  <c r="N636" i="3" s="1"/>
  <c r="L636" i="3"/>
  <c r="K636" i="3"/>
  <c r="J636" i="3"/>
  <c r="O635" i="3"/>
  <c r="N635" i="3"/>
  <c r="M635" i="3"/>
  <c r="L635" i="3"/>
  <c r="K635" i="3"/>
  <c r="J635" i="3"/>
  <c r="O634" i="3"/>
  <c r="M634" i="3"/>
  <c r="N634" i="3" s="1"/>
  <c r="L634" i="3"/>
  <c r="K634" i="3"/>
  <c r="J634" i="3"/>
  <c r="O633" i="3"/>
  <c r="M633" i="3"/>
  <c r="N633" i="3" s="1"/>
  <c r="L633" i="3"/>
  <c r="K633" i="3"/>
  <c r="J633" i="3"/>
  <c r="O632" i="3"/>
  <c r="M632" i="3"/>
  <c r="N632" i="3" s="1"/>
  <c r="L632" i="3"/>
  <c r="K632" i="3"/>
  <c r="J632" i="3"/>
  <c r="O631" i="3"/>
  <c r="N631" i="3"/>
  <c r="M631" i="3"/>
  <c r="L631" i="3"/>
  <c r="K631" i="3"/>
  <c r="J631" i="3"/>
  <c r="O630" i="3"/>
  <c r="M630" i="3"/>
  <c r="N630" i="3" s="1"/>
  <c r="L630" i="3"/>
  <c r="K630" i="3"/>
  <c r="J630" i="3"/>
  <c r="O629" i="3"/>
  <c r="M629" i="3"/>
  <c r="N629" i="3" s="1"/>
  <c r="L629" i="3"/>
  <c r="K629" i="3"/>
  <c r="J629" i="3"/>
  <c r="O628" i="3"/>
  <c r="M628" i="3"/>
  <c r="N628" i="3" s="1"/>
  <c r="L628" i="3"/>
  <c r="K628" i="3"/>
  <c r="J628" i="3"/>
  <c r="O627" i="3"/>
  <c r="N627" i="3"/>
  <c r="M627" i="3"/>
  <c r="L627" i="3"/>
  <c r="K627" i="3"/>
  <c r="J627" i="3"/>
  <c r="O626" i="3"/>
  <c r="M626" i="3"/>
  <c r="N626" i="3" s="1"/>
  <c r="L626" i="3"/>
  <c r="K626" i="3"/>
  <c r="J626" i="3"/>
  <c r="O625" i="3"/>
  <c r="M625" i="3"/>
  <c r="N625" i="3" s="1"/>
  <c r="L625" i="3"/>
  <c r="K625" i="3"/>
  <c r="J625" i="3"/>
  <c r="O624" i="3"/>
  <c r="M624" i="3"/>
  <c r="N624" i="3" s="1"/>
  <c r="L624" i="3"/>
  <c r="K624" i="3"/>
  <c r="J624" i="3"/>
  <c r="O623" i="3"/>
  <c r="N623" i="3"/>
  <c r="M623" i="3"/>
  <c r="L623" i="3"/>
  <c r="K623" i="3"/>
  <c r="J623" i="3"/>
  <c r="O622" i="3"/>
  <c r="M622" i="3"/>
  <c r="N622" i="3" s="1"/>
  <c r="L622" i="3"/>
  <c r="K622" i="3"/>
  <c r="J622" i="3"/>
  <c r="O621" i="3"/>
  <c r="M621" i="3"/>
  <c r="N621" i="3" s="1"/>
  <c r="L621" i="3"/>
  <c r="K621" i="3"/>
  <c r="J621" i="3"/>
  <c r="O620" i="3"/>
  <c r="M620" i="3"/>
  <c r="N620" i="3" s="1"/>
  <c r="L620" i="3"/>
  <c r="K620" i="3"/>
  <c r="J620" i="3"/>
  <c r="O619" i="3"/>
  <c r="N619" i="3"/>
  <c r="M619" i="3"/>
  <c r="L619" i="3"/>
  <c r="K619" i="3"/>
  <c r="J619" i="3"/>
  <c r="O618" i="3"/>
  <c r="M618" i="3"/>
  <c r="N618" i="3" s="1"/>
  <c r="L618" i="3"/>
  <c r="K618" i="3"/>
  <c r="J618" i="3"/>
  <c r="O617" i="3"/>
  <c r="M617" i="3"/>
  <c r="N617" i="3" s="1"/>
  <c r="L617" i="3"/>
  <c r="K617" i="3"/>
  <c r="J617" i="3"/>
  <c r="O616" i="3"/>
  <c r="M616" i="3"/>
  <c r="N616" i="3" s="1"/>
  <c r="L616" i="3"/>
  <c r="K616" i="3"/>
  <c r="J616" i="3"/>
  <c r="O615" i="3"/>
  <c r="N615" i="3"/>
  <c r="M615" i="3"/>
  <c r="L615" i="3"/>
  <c r="K615" i="3"/>
  <c r="J615" i="3"/>
  <c r="O614" i="3"/>
  <c r="M614" i="3"/>
  <c r="N614" i="3" s="1"/>
  <c r="L614" i="3"/>
  <c r="K614" i="3"/>
  <c r="J614" i="3"/>
  <c r="O613" i="3"/>
  <c r="M613" i="3"/>
  <c r="N613" i="3" s="1"/>
  <c r="L613" i="3"/>
  <c r="K613" i="3"/>
  <c r="J613" i="3"/>
  <c r="O612" i="3"/>
  <c r="M612" i="3"/>
  <c r="N612" i="3" s="1"/>
  <c r="L612" i="3"/>
  <c r="K612" i="3"/>
  <c r="J612" i="3"/>
  <c r="O611" i="3"/>
  <c r="N611" i="3"/>
  <c r="M611" i="3"/>
  <c r="L611" i="3"/>
  <c r="K611" i="3"/>
  <c r="J611" i="3"/>
  <c r="O610" i="3"/>
  <c r="M610" i="3"/>
  <c r="N610" i="3" s="1"/>
  <c r="L610" i="3"/>
  <c r="K610" i="3"/>
  <c r="J610" i="3"/>
  <c r="O609" i="3"/>
  <c r="M609" i="3"/>
  <c r="N609" i="3" s="1"/>
  <c r="L609" i="3"/>
  <c r="K609" i="3"/>
  <c r="J609" i="3"/>
  <c r="O608" i="3"/>
  <c r="M608" i="3"/>
  <c r="N608" i="3" s="1"/>
  <c r="L608" i="3"/>
  <c r="K608" i="3"/>
  <c r="J608" i="3"/>
  <c r="O607" i="3"/>
  <c r="N607" i="3"/>
  <c r="M607" i="3"/>
  <c r="L607" i="3"/>
  <c r="K607" i="3"/>
  <c r="J607" i="3"/>
  <c r="O606" i="3"/>
  <c r="M606" i="3"/>
  <c r="N606" i="3" s="1"/>
  <c r="L606" i="3"/>
  <c r="K606" i="3"/>
  <c r="J606" i="3"/>
  <c r="O605" i="3"/>
  <c r="M605" i="3"/>
  <c r="N605" i="3" s="1"/>
  <c r="L605" i="3"/>
  <c r="K605" i="3"/>
  <c r="J605" i="3"/>
  <c r="O604" i="3"/>
  <c r="M604" i="3"/>
  <c r="N604" i="3" s="1"/>
  <c r="L604" i="3"/>
  <c r="K604" i="3"/>
  <c r="J604" i="3"/>
  <c r="O603" i="3"/>
  <c r="N603" i="3"/>
  <c r="M603" i="3"/>
  <c r="L603" i="3"/>
  <c r="K603" i="3"/>
  <c r="J603" i="3"/>
  <c r="O602" i="3"/>
  <c r="M602" i="3"/>
  <c r="N602" i="3" s="1"/>
  <c r="L602" i="3"/>
  <c r="K602" i="3"/>
  <c r="J602" i="3"/>
  <c r="O601" i="3"/>
  <c r="M601" i="3"/>
  <c r="N601" i="3" s="1"/>
  <c r="L601" i="3"/>
  <c r="K601" i="3"/>
  <c r="J601" i="3"/>
  <c r="O600" i="3"/>
  <c r="M600" i="3"/>
  <c r="N600" i="3" s="1"/>
  <c r="L600" i="3"/>
  <c r="K600" i="3"/>
  <c r="J600" i="3"/>
  <c r="O599" i="3"/>
  <c r="N599" i="3"/>
  <c r="M599" i="3"/>
  <c r="L599" i="3"/>
  <c r="K599" i="3"/>
  <c r="J599" i="3"/>
  <c r="O598" i="3"/>
  <c r="M598" i="3"/>
  <c r="N598" i="3" s="1"/>
  <c r="L598" i="3"/>
  <c r="K598" i="3"/>
  <c r="J598" i="3"/>
  <c r="O597" i="3"/>
  <c r="M597" i="3"/>
  <c r="N597" i="3" s="1"/>
  <c r="L597" i="3"/>
  <c r="K597" i="3"/>
  <c r="J597" i="3"/>
  <c r="O596" i="3"/>
  <c r="M596" i="3"/>
  <c r="N596" i="3" s="1"/>
  <c r="L596" i="3"/>
  <c r="K596" i="3"/>
  <c r="J596" i="3"/>
  <c r="O595" i="3"/>
  <c r="N595" i="3"/>
  <c r="M595" i="3"/>
  <c r="L595" i="3"/>
  <c r="K595" i="3"/>
  <c r="J595" i="3"/>
  <c r="O594" i="3"/>
  <c r="M594" i="3"/>
  <c r="N594" i="3" s="1"/>
  <c r="L594" i="3"/>
  <c r="K594" i="3"/>
  <c r="J594" i="3"/>
  <c r="O593" i="3"/>
  <c r="M593" i="3"/>
  <c r="N593" i="3" s="1"/>
  <c r="L593" i="3"/>
  <c r="K593" i="3"/>
  <c r="J593" i="3"/>
  <c r="O592" i="3"/>
  <c r="M592" i="3"/>
  <c r="N592" i="3" s="1"/>
  <c r="L592" i="3"/>
  <c r="K592" i="3"/>
  <c r="J592" i="3"/>
  <c r="O591" i="3"/>
  <c r="N591" i="3"/>
  <c r="M591" i="3"/>
  <c r="L591" i="3"/>
  <c r="K591" i="3"/>
  <c r="J591" i="3"/>
  <c r="O590" i="3"/>
  <c r="M590" i="3"/>
  <c r="N590" i="3" s="1"/>
  <c r="L590" i="3"/>
  <c r="K590" i="3"/>
  <c r="J590" i="3"/>
  <c r="O589" i="3"/>
  <c r="M589" i="3"/>
  <c r="N589" i="3" s="1"/>
  <c r="L589" i="3"/>
  <c r="K589" i="3"/>
  <c r="J589" i="3"/>
  <c r="O588" i="3"/>
  <c r="M588" i="3"/>
  <c r="N588" i="3" s="1"/>
  <c r="L588" i="3"/>
  <c r="K588" i="3"/>
  <c r="J588" i="3"/>
  <c r="O587" i="3"/>
  <c r="N587" i="3"/>
  <c r="M587" i="3"/>
  <c r="L587" i="3"/>
  <c r="K587" i="3"/>
  <c r="J587" i="3"/>
  <c r="O586" i="3"/>
  <c r="M586" i="3"/>
  <c r="N586" i="3" s="1"/>
  <c r="L586" i="3"/>
  <c r="K586" i="3"/>
  <c r="J586" i="3"/>
  <c r="O585" i="3"/>
  <c r="M585" i="3"/>
  <c r="N585" i="3" s="1"/>
  <c r="L585" i="3"/>
  <c r="K585" i="3"/>
  <c r="J585" i="3"/>
  <c r="O584" i="3"/>
  <c r="M584" i="3"/>
  <c r="N584" i="3" s="1"/>
  <c r="L584" i="3"/>
  <c r="K584" i="3"/>
  <c r="J584" i="3"/>
  <c r="O583" i="3"/>
  <c r="N583" i="3"/>
  <c r="M583" i="3"/>
  <c r="L583" i="3"/>
  <c r="K583" i="3"/>
  <c r="J583" i="3"/>
  <c r="O582" i="3"/>
  <c r="M582" i="3"/>
  <c r="N582" i="3" s="1"/>
  <c r="L582" i="3"/>
  <c r="K582" i="3"/>
  <c r="J582" i="3"/>
  <c r="O581" i="3"/>
  <c r="M581" i="3"/>
  <c r="N581" i="3" s="1"/>
  <c r="L581" i="3"/>
  <c r="K581" i="3"/>
  <c r="J581" i="3"/>
  <c r="O580" i="3"/>
  <c r="M580" i="3"/>
  <c r="N580" i="3" s="1"/>
  <c r="L580" i="3"/>
  <c r="K580" i="3"/>
  <c r="J580" i="3"/>
  <c r="O579" i="3"/>
  <c r="N579" i="3"/>
  <c r="M579" i="3"/>
  <c r="L579" i="3"/>
  <c r="K579" i="3"/>
  <c r="J579" i="3"/>
  <c r="O578" i="3"/>
  <c r="M578" i="3"/>
  <c r="N578" i="3" s="1"/>
  <c r="L578" i="3"/>
  <c r="K578" i="3"/>
  <c r="J578" i="3"/>
  <c r="O577" i="3"/>
  <c r="M577" i="3"/>
  <c r="N577" i="3" s="1"/>
  <c r="L577" i="3"/>
  <c r="K577" i="3"/>
  <c r="J577" i="3"/>
  <c r="O576" i="3"/>
  <c r="M576" i="3"/>
  <c r="N576" i="3" s="1"/>
  <c r="L576" i="3"/>
  <c r="K576" i="3"/>
  <c r="J576" i="3"/>
  <c r="O575" i="3"/>
  <c r="N575" i="3"/>
  <c r="M575" i="3"/>
  <c r="L575" i="3"/>
  <c r="K575" i="3"/>
  <c r="J575" i="3"/>
  <c r="O574" i="3"/>
  <c r="M574" i="3"/>
  <c r="N574" i="3" s="1"/>
  <c r="K574" i="3"/>
  <c r="J574" i="3"/>
  <c r="O573" i="3"/>
  <c r="N573" i="3"/>
  <c r="M573" i="3"/>
  <c r="K573" i="3"/>
  <c r="J573" i="3"/>
  <c r="O572" i="3"/>
  <c r="M572" i="3"/>
  <c r="N572" i="3" s="1"/>
  <c r="K572" i="3"/>
  <c r="J572" i="3"/>
  <c r="O571" i="3"/>
  <c r="N571" i="3"/>
  <c r="M571" i="3"/>
  <c r="K571" i="3"/>
  <c r="J571" i="3"/>
  <c r="O570" i="3"/>
  <c r="M570" i="3"/>
  <c r="N570" i="3" s="1"/>
  <c r="K570" i="3"/>
  <c r="J570" i="3"/>
  <c r="O569" i="3"/>
  <c r="M569" i="3"/>
  <c r="N569" i="3" s="1"/>
  <c r="K569" i="3"/>
  <c r="J569" i="3"/>
  <c r="O568" i="3"/>
  <c r="N568" i="3"/>
  <c r="M568" i="3"/>
  <c r="K568" i="3"/>
  <c r="J568" i="3"/>
  <c r="O567" i="3"/>
  <c r="N567" i="3"/>
  <c r="M567" i="3"/>
  <c r="K567" i="3"/>
  <c r="J567" i="3"/>
  <c r="O566" i="3"/>
  <c r="M566" i="3"/>
  <c r="N566" i="3" s="1"/>
  <c r="K566" i="3"/>
  <c r="J566" i="3"/>
  <c r="O565" i="3"/>
  <c r="N565" i="3"/>
  <c r="M565" i="3"/>
  <c r="K565" i="3"/>
  <c r="J565" i="3"/>
  <c r="O564" i="3"/>
  <c r="M564" i="3"/>
  <c r="N564" i="3" s="1"/>
  <c r="K564" i="3"/>
  <c r="J564" i="3"/>
  <c r="O563" i="3"/>
  <c r="N563" i="3"/>
  <c r="M563" i="3"/>
  <c r="K563" i="3"/>
  <c r="J563" i="3"/>
  <c r="O562" i="3"/>
  <c r="M562" i="3"/>
  <c r="N562" i="3" s="1"/>
  <c r="K562" i="3"/>
  <c r="J562" i="3"/>
  <c r="O561" i="3"/>
  <c r="M561" i="3"/>
  <c r="N561" i="3" s="1"/>
  <c r="K561" i="3"/>
  <c r="J561" i="3"/>
  <c r="O560" i="3"/>
  <c r="N560" i="3"/>
  <c r="M560" i="3"/>
  <c r="K560" i="3"/>
  <c r="J560" i="3"/>
  <c r="O559" i="3"/>
  <c r="N559" i="3"/>
  <c r="M559" i="3"/>
  <c r="K559" i="3"/>
  <c r="J559" i="3"/>
  <c r="O558" i="3"/>
  <c r="M558" i="3"/>
  <c r="N558" i="3" s="1"/>
  <c r="K558" i="3"/>
  <c r="J558" i="3"/>
  <c r="O557" i="3"/>
  <c r="N557" i="3"/>
  <c r="M557" i="3"/>
  <c r="K557" i="3"/>
  <c r="J557" i="3"/>
  <c r="O556" i="3"/>
  <c r="M556" i="3"/>
  <c r="N556" i="3" s="1"/>
  <c r="K556" i="3"/>
  <c r="J556" i="3"/>
  <c r="O555" i="3"/>
  <c r="N555" i="3"/>
  <c r="M555" i="3"/>
  <c r="K555" i="3"/>
  <c r="J555" i="3"/>
  <c r="O554" i="3"/>
  <c r="M554" i="3"/>
  <c r="N554" i="3" s="1"/>
  <c r="K554" i="3"/>
  <c r="J554" i="3"/>
  <c r="O553" i="3"/>
  <c r="M553" i="3"/>
  <c r="N553" i="3" s="1"/>
  <c r="K553" i="3"/>
  <c r="J553" i="3"/>
  <c r="O552" i="3"/>
  <c r="N552" i="3"/>
  <c r="M552" i="3"/>
  <c r="K552" i="3"/>
  <c r="J552" i="3"/>
  <c r="O551" i="3"/>
  <c r="N551" i="3"/>
  <c r="M551" i="3"/>
  <c r="K551" i="3"/>
  <c r="J551" i="3"/>
  <c r="O550" i="3"/>
  <c r="M550" i="3"/>
  <c r="N550" i="3" s="1"/>
  <c r="K550" i="3"/>
  <c r="J550" i="3"/>
  <c r="O549" i="3"/>
  <c r="N549" i="3"/>
  <c r="M549" i="3"/>
  <c r="K549" i="3"/>
  <c r="J549" i="3"/>
  <c r="O548" i="3"/>
  <c r="M548" i="3"/>
  <c r="N548" i="3" s="1"/>
  <c r="K548" i="3"/>
  <c r="J548" i="3"/>
  <c r="O547" i="3"/>
  <c r="N547" i="3"/>
  <c r="M547" i="3"/>
  <c r="K547" i="3"/>
  <c r="J547" i="3"/>
  <c r="O546" i="3"/>
  <c r="M546" i="3"/>
  <c r="N546" i="3" s="1"/>
  <c r="K546" i="3"/>
  <c r="J546" i="3"/>
  <c r="O545" i="3"/>
  <c r="M545" i="3"/>
  <c r="N545" i="3" s="1"/>
  <c r="K545" i="3"/>
  <c r="J545" i="3"/>
  <c r="O544" i="3"/>
  <c r="N544" i="3"/>
  <c r="M544" i="3"/>
  <c r="J544" i="3"/>
  <c r="O543" i="3"/>
  <c r="N543" i="3"/>
  <c r="M543" i="3"/>
  <c r="J543" i="3"/>
  <c r="O542" i="3"/>
  <c r="N542" i="3"/>
  <c r="M542" i="3"/>
  <c r="J542" i="3"/>
  <c r="O541" i="3"/>
  <c r="N541" i="3"/>
  <c r="M541" i="3"/>
  <c r="J541" i="3"/>
  <c r="O540" i="3"/>
  <c r="N540" i="3"/>
  <c r="M540" i="3"/>
  <c r="J540" i="3"/>
  <c r="O539" i="3"/>
  <c r="N539" i="3"/>
  <c r="M539" i="3"/>
  <c r="J539" i="3"/>
  <c r="O538" i="3"/>
  <c r="N538" i="3"/>
  <c r="M538" i="3"/>
  <c r="J538" i="3"/>
  <c r="O537" i="3"/>
  <c r="N537" i="3"/>
  <c r="M537" i="3"/>
  <c r="J537" i="3"/>
  <c r="O536" i="3"/>
  <c r="N536" i="3"/>
  <c r="M536" i="3"/>
  <c r="J536" i="3"/>
  <c r="O535" i="3"/>
  <c r="N535" i="3"/>
  <c r="M535" i="3"/>
  <c r="J535" i="3"/>
  <c r="O534" i="3"/>
  <c r="N534" i="3"/>
  <c r="M534" i="3"/>
  <c r="J534" i="3"/>
  <c r="O533" i="3"/>
  <c r="N533" i="3"/>
  <c r="M533" i="3"/>
  <c r="J533" i="3"/>
  <c r="O532" i="3"/>
  <c r="N532" i="3"/>
  <c r="M532" i="3"/>
  <c r="J532" i="3"/>
  <c r="O531" i="3"/>
  <c r="N531" i="3"/>
  <c r="M531" i="3"/>
  <c r="J531" i="3"/>
  <c r="O530" i="3"/>
  <c r="N530" i="3"/>
  <c r="M530" i="3"/>
  <c r="J530" i="3"/>
  <c r="O529" i="3"/>
  <c r="N529" i="3"/>
  <c r="M529" i="3"/>
  <c r="J529" i="3"/>
  <c r="O528" i="3"/>
  <c r="N528" i="3"/>
  <c r="M528" i="3"/>
  <c r="J528" i="3"/>
  <c r="O527" i="3"/>
  <c r="N527" i="3"/>
  <c r="M527" i="3"/>
  <c r="J527" i="3"/>
  <c r="O526" i="3"/>
  <c r="N526" i="3"/>
  <c r="E4" i="4" s="1"/>
  <c r="M526" i="3"/>
  <c r="O525" i="3"/>
  <c r="M525" i="3"/>
  <c r="N525" i="3" s="1"/>
  <c r="L525" i="3"/>
  <c r="K525" i="3"/>
  <c r="J525" i="3"/>
  <c r="O524" i="3"/>
  <c r="N524" i="3"/>
  <c r="M524" i="3"/>
  <c r="L524" i="3"/>
  <c r="K524" i="3"/>
  <c r="J524" i="3"/>
  <c r="O523" i="3"/>
  <c r="M523" i="3"/>
  <c r="N523" i="3" s="1"/>
  <c r="L523" i="3"/>
  <c r="K523" i="3"/>
  <c r="J523" i="3"/>
  <c r="O522" i="3"/>
  <c r="N522" i="3"/>
  <c r="M522" i="3"/>
  <c r="L522" i="3"/>
  <c r="K522" i="3"/>
  <c r="J522" i="3"/>
  <c r="O521" i="3"/>
  <c r="M521" i="3"/>
  <c r="N521" i="3" s="1"/>
  <c r="L521" i="3"/>
  <c r="K521" i="3"/>
  <c r="J521" i="3"/>
  <c r="O520" i="3"/>
  <c r="N520" i="3"/>
  <c r="M520" i="3"/>
  <c r="L520" i="3"/>
  <c r="K520" i="3"/>
  <c r="J520" i="3"/>
  <c r="O519" i="3"/>
  <c r="M519" i="3"/>
  <c r="N519" i="3" s="1"/>
  <c r="L519" i="3"/>
  <c r="K519" i="3"/>
  <c r="J519" i="3"/>
  <c r="O518" i="3"/>
  <c r="N518" i="3"/>
  <c r="M518" i="3"/>
  <c r="L518" i="3"/>
  <c r="K518" i="3"/>
  <c r="J518" i="3"/>
  <c r="O517" i="3"/>
  <c r="M517" i="3"/>
  <c r="N517" i="3" s="1"/>
  <c r="L517" i="3"/>
  <c r="K517" i="3"/>
  <c r="J517" i="3"/>
  <c r="O516" i="3"/>
  <c r="N516" i="3"/>
  <c r="M516" i="3"/>
  <c r="L516" i="3"/>
  <c r="K516" i="3"/>
  <c r="J516" i="3"/>
  <c r="O515" i="3"/>
  <c r="M515" i="3"/>
  <c r="N515" i="3" s="1"/>
  <c r="L515" i="3"/>
  <c r="K515" i="3"/>
  <c r="J515" i="3"/>
  <c r="O514" i="3"/>
  <c r="N514" i="3"/>
  <c r="M514" i="3"/>
  <c r="L514" i="3"/>
  <c r="K514" i="3"/>
  <c r="J514" i="3"/>
  <c r="O513" i="3"/>
  <c r="M513" i="3"/>
  <c r="N513" i="3" s="1"/>
  <c r="L513" i="3"/>
  <c r="K513" i="3"/>
  <c r="J513" i="3"/>
  <c r="O512" i="3"/>
  <c r="N512" i="3"/>
  <c r="M512" i="3"/>
  <c r="L512" i="3"/>
  <c r="K512" i="3"/>
  <c r="J512" i="3"/>
  <c r="O511" i="3"/>
  <c r="M511" i="3"/>
  <c r="N511" i="3" s="1"/>
  <c r="L511" i="3"/>
  <c r="K511" i="3"/>
  <c r="J511" i="3"/>
  <c r="O510" i="3"/>
  <c r="N510" i="3"/>
  <c r="M510" i="3"/>
  <c r="L510" i="3"/>
  <c r="K510" i="3"/>
  <c r="J510" i="3"/>
  <c r="O509" i="3"/>
  <c r="M509" i="3"/>
  <c r="N509" i="3" s="1"/>
  <c r="L509" i="3"/>
  <c r="K509" i="3"/>
  <c r="J509" i="3"/>
  <c r="O508" i="3"/>
  <c r="N508" i="3"/>
  <c r="M508" i="3"/>
  <c r="L508" i="3"/>
  <c r="K508" i="3"/>
  <c r="J508" i="3"/>
  <c r="O507" i="3"/>
  <c r="M507" i="3"/>
  <c r="N507" i="3" s="1"/>
  <c r="L507" i="3"/>
  <c r="K507" i="3"/>
  <c r="J507" i="3"/>
  <c r="O506" i="3"/>
  <c r="N506" i="3"/>
  <c r="M506" i="3"/>
  <c r="L506" i="3"/>
  <c r="K506" i="3"/>
  <c r="J506" i="3"/>
  <c r="O505" i="3"/>
  <c r="M505" i="3"/>
  <c r="N505" i="3" s="1"/>
  <c r="L505" i="3"/>
  <c r="K505" i="3"/>
  <c r="J505" i="3"/>
  <c r="O504" i="3"/>
  <c r="N504" i="3"/>
  <c r="M504" i="3"/>
  <c r="L504" i="3"/>
  <c r="K504" i="3"/>
  <c r="J504" i="3"/>
  <c r="O503" i="3"/>
  <c r="M503" i="3"/>
  <c r="N503" i="3" s="1"/>
  <c r="L503" i="3"/>
  <c r="K503" i="3"/>
  <c r="J503" i="3"/>
  <c r="O502" i="3"/>
  <c r="N502" i="3"/>
  <c r="M502" i="3"/>
  <c r="L502" i="3"/>
  <c r="K502" i="3"/>
  <c r="J502" i="3"/>
  <c r="O501" i="3"/>
  <c r="M501" i="3"/>
  <c r="N501" i="3" s="1"/>
  <c r="L501" i="3"/>
  <c r="K501" i="3"/>
  <c r="J501" i="3"/>
  <c r="O500" i="3"/>
  <c r="N500" i="3"/>
  <c r="M500" i="3"/>
  <c r="L500" i="3"/>
  <c r="K500" i="3"/>
  <c r="J500" i="3"/>
  <c r="O499" i="3"/>
  <c r="M499" i="3"/>
  <c r="N499" i="3" s="1"/>
  <c r="L499" i="3"/>
  <c r="K499" i="3"/>
  <c r="J499" i="3"/>
  <c r="O498" i="3"/>
  <c r="N498" i="3"/>
  <c r="M498" i="3"/>
  <c r="L498" i="3"/>
  <c r="K498" i="3"/>
  <c r="J498" i="3"/>
  <c r="O497" i="3"/>
  <c r="M497" i="3"/>
  <c r="N497" i="3" s="1"/>
  <c r="L497" i="3"/>
  <c r="K497" i="3"/>
  <c r="J497" i="3"/>
  <c r="O496" i="3"/>
  <c r="N496" i="3"/>
  <c r="M496" i="3"/>
  <c r="L496" i="3"/>
  <c r="K496" i="3"/>
  <c r="J496" i="3"/>
  <c r="O495" i="3"/>
  <c r="M495" i="3"/>
  <c r="N495" i="3" s="1"/>
  <c r="L495" i="3"/>
  <c r="K495" i="3"/>
  <c r="J495" i="3"/>
  <c r="O494" i="3"/>
  <c r="N494" i="3"/>
  <c r="M494" i="3"/>
  <c r="L494" i="3"/>
  <c r="K494" i="3"/>
  <c r="J494" i="3"/>
  <c r="O493" i="3"/>
  <c r="M493" i="3"/>
  <c r="N493" i="3" s="1"/>
  <c r="L493" i="3"/>
  <c r="K493" i="3"/>
  <c r="J493" i="3"/>
  <c r="O492" i="3"/>
  <c r="N492" i="3"/>
  <c r="M492" i="3"/>
  <c r="L492" i="3"/>
  <c r="K492" i="3"/>
  <c r="J492" i="3"/>
  <c r="O491" i="3"/>
  <c r="M491" i="3"/>
  <c r="N491" i="3" s="1"/>
  <c r="L491" i="3"/>
  <c r="K491" i="3"/>
  <c r="J491" i="3"/>
  <c r="O490" i="3"/>
  <c r="N490" i="3"/>
  <c r="M490" i="3"/>
  <c r="L490" i="3"/>
  <c r="K490" i="3"/>
  <c r="J490" i="3"/>
  <c r="O489" i="3"/>
  <c r="M489" i="3"/>
  <c r="N489" i="3" s="1"/>
  <c r="L489" i="3"/>
  <c r="K489" i="3"/>
  <c r="J489" i="3"/>
  <c r="O488" i="3"/>
  <c r="N488" i="3"/>
  <c r="M488" i="3"/>
  <c r="L488" i="3"/>
  <c r="K488" i="3"/>
  <c r="J488" i="3"/>
  <c r="O487" i="3"/>
  <c r="M487" i="3"/>
  <c r="N487" i="3" s="1"/>
  <c r="L487" i="3"/>
  <c r="K487" i="3"/>
  <c r="J487" i="3"/>
  <c r="O486" i="3"/>
  <c r="N486" i="3"/>
  <c r="M486" i="3"/>
  <c r="L486" i="3"/>
  <c r="K486" i="3"/>
  <c r="J486" i="3"/>
  <c r="O485" i="3"/>
  <c r="M485" i="3"/>
  <c r="N485" i="3" s="1"/>
  <c r="L485" i="3"/>
  <c r="K485" i="3"/>
  <c r="J485" i="3"/>
  <c r="O484" i="3"/>
  <c r="N484" i="3"/>
  <c r="M484" i="3"/>
  <c r="L484" i="3"/>
  <c r="K484" i="3"/>
  <c r="J484" i="3"/>
  <c r="O483" i="3"/>
  <c r="M483" i="3"/>
  <c r="N483" i="3" s="1"/>
  <c r="L483" i="3"/>
  <c r="K483" i="3"/>
  <c r="J483" i="3"/>
  <c r="O482" i="3"/>
  <c r="N482" i="3"/>
  <c r="M482" i="3"/>
  <c r="L482" i="3"/>
  <c r="K482" i="3"/>
  <c r="J482" i="3"/>
  <c r="O481" i="3"/>
  <c r="M481" i="3"/>
  <c r="N481" i="3" s="1"/>
  <c r="L481" i="3"/>
  <c r="K481" i="3"/>
  <c r="J481" i="3"/>
  <c r="O480" i="3"/>
  <c r="N480" i="3"/>
  <c r="M480" i="3"/>
  <c r="L480" i="3"/>
  <c r="K480" i="3"/>
  <c r="J480" i="3"/>
  <c r="O479" i="3"/>
  <c r="M479" i="3"/>
  <c r="N479" i="3" s="1"/>
  <c r="L479" i="3"/>
  <c r="K479" i="3"/>
  <c r="J479" i="3"/>
  <c r="O478" i="3"/>
  <c r="N478" i="3"/>
  <c r="M478" i="3"/>
  <c r="L478" i="3"/>
  <c r="K478" i="3"/>
  <c r="J478" i="3"/>
  <c r="O477" i="3"/>
  <c r="M477" i="3"/>
  <c r="N477" i="3" s="1"/>
  <c r="L477" i="3"/>
  <c r="K477" i="3"/>
  <c r="J477" i="3"/>
  <c r="O476" i="3"/>
  <c r="N476" i="3"/>
  <c r="M476" i="3"/>
  <c r="L476" i="3"/>
  <c r="K476" i="3"/>
  <c r="J476" i="3"/>
  <c r="O475" i="3"/>
  <c r="M475" i="3"/>
  <c r="N475" i="3" s="1"/>
  <c r="L475" i="3"/>
  <c r="K475" i="3"/>
  <c r="J475" i="3"/>
  <c r="O474" i="3"/>
  <c r="N474" i="3"/>
  <c r="M474" i="3"/>
  <c r="L474" i="3"/>
  <c r="K474" i="3"/>
  <c r="J474" i="3"/>
  <c r="O473" i="3"/>
  <c r="M473" i="3"/>
  <c r="N473" i="3" s="1"/>
  <c r="L473" i="3"/>
  <c r="K473" i="3"/>
  <c r="J473" i="3"/>
  <c r="O472" i="3"/>
  <c r="N472" i="3"/>
  <c r="M472" i="3"/>
  <c r="L472" i="3"/>
  <c r="K472" i="3"/>
  <c r="J472" i="3"/>
  <c r="O471" i="3"/>
  <c r="M471" i="3"/>
  <c r="N471" i="3" s="1"/>
  <c r="L471" i="3"/>
  <c r="K471" i="3"/>
  <c r="J471" i="3"/>
  <c r="O470" i="3"/>
  <c r="N470" i="3"/>
  <c r="M470" i="3"/>
  <c r="L470" i="3"/>
  <c r="K470" i="3"/>
  <c r="J470" i="3"/>
  <c r="O469" i="3"/>
  <c r="M469" i="3"/>
  <c r="N469" i="3" s="1"/>
  <c r="L469" i="3"/>
  <c r="K469" i="3"/>
  <c r="J469" i="3"/>
  <c r="O468" i="3"/>
  <c r="N468" i="3"/>
  <c r="M468" i="3"/>
  <c r="L468" i="3"/>
  <c r="K468" i="3"/>
  <c r="J468" i="3"/>
  <c r="O467" i="3"/>
  <c r="M467" i="3"/>
  <c r="N467" i="3" s="1"/>
  <c r="L467" i="3"/>
  <c r="K467" i="3"/>
  <c r="J467" i="3"/>
  <c r="O466" i="3"/>
  <c r="N466" i="3"/>
  <c r="M466" i="3"/>
  <c r="L466" i="3"/>
  <c r="K466" i="3"/>
  <c r="J466" i="3"/>
  <c r="O465" i="3"/>
  <c r="M465" i="3"/>
  <c r="N465" i="3" s="1"/>
  <c r="L465" i="3"/>
  <c r="K465" i="3"/>
  <c r="J465" i="3"/>
  <c r="O464" i="3"/>
  <c r="N464" i="3"/>
  <c r="M464" i="3"/>
  <c r="L464" i="3"/>
  <c r="K464" i="3"/>
  <c r="J464" i="3"/>
  <c r="O463" i="3"/>
  <c r="M463" i="3"/>
  <c r="N463" i="3" s="1"/>
  <c r="L463" i="3"/>
  <c r="K463" i="3"/>
  <c r="J463" i="3"/>
  <c r="O462" i="3"/>
  <c r="N462" i="3"/>
  <c r="M462" i="3"/>
  <c r="L462" i="3"/>
  <c r="K462" i="3"/>
  <c r="J462" i="3"/>
  <c r="O461" i="3"/>
  <c r="M461" i="3"/>
  <c r="N461" i="3" s="1"/>
  <c r="L461" i="3"/>
  <c r="K461" i="3"/>
  <c r="J461" i="3"/>
  <c r="O460" i="3"/>
  <c r="N460" i="3"/>
  <c r="M460" i="3"/>
  <c r="L460" i="3"/>
  <c r="K460" i="3"/>
  <c r="J460" i="3"/>
  <c r="O459" i="3"/>
  <c r="M459" i="3"/>
  <c r="N459" i="3" s="1"/>
  <c r="L459" i="3"/>
  <c r="K459" i="3"/>
  <c r="J459" i="3"/>
  <c r="O458" i="3"/>
  <c r="N458" i="3"/>
  <c r="M458" i="3"/>
  <c r="L458" i="3"/>
  <c r="K458" i="3"/>
  <c r="J458" i="3"/>
  <c r="O457" i="3"/>
  <c r="M457" i="3"/>
  <c r="N457" i="3" s="1"/>
  <c r="L457" i="3"/>
  <c r="K457" i="3"/>
  <c r="J457" i="3"/>
  <c r="O456" i="3"/>
  <c r="N456" i="3"/>
  <c r="M456" i="3"/>
  <c r="L456" i="3"/>
  <c r="K456" i="3"/>
  <c r="J456" i="3"/>
  <c r="O455" i="3"/>
  <c r="M455" i="3"/>
  <c r="N455" i="3" s="1"/>
  <c r="L455" i="3"/>
  <c r="K455" i="3"/>
  <c r="J455" i="3"/>
  <c r="O454" i="3"/>
  <c r="N454" i="3"/>
  <c r="M454" i="3"/>
  <c r="L454" i="3"/>
  <c r="K454" i="3"/>
  <c r="J454" i="3"/>
  <c r="O453" i="3"/>
  <c r="M453" i="3"/>
  <c r="N453" i="3" s="1"/>
  <c r="L453" i="3"/>
  <c r="K453" i="3"/>
  <c r="J453" i="3"/>
  <c r="O452" i="3"/>
  <c r="N452" i="3"/>
  <c r="M452" i="3"/>
  <c r="L452" i="3"/>
  <c r="K452" i="3"/>
  <c r="J452" i="3"/>
  <c r="O451" i="3"/>
  <c r="M451" i="3"/>
  <c r="N451" i="3" s="1"/>
  <c r="L451" i="3"/>
  <c r="K451" i="3"/>
  <c r="J451" i="3"/>
  <c r="O450" i="3"/>
  <c r="N450" i="3"/>
  <c r="M450" i="3"/>
  <c r="L450" i="3"/>
  <c r="K450" i="3"/>
  <c r="J450" i="3"/>
  <c r="O449" i="3"/>
  <c r="M449" i="3"/>
  <c r="N449" i="3" s="1"/>
  <c r="L449" i="3"/>
  <c r="K449" i="3"/>
  <c r="J449" i="3"/>
  <c r="O448" i="3"/>
  <c r="N448" i="3"/>
  <c r="M448" i="3"/>
  <c r="L448" i="3"/>
  <c r="K448" i="3"/>
  <c r="J448" i="3"/>
  <c r="O447" i="3"/>
  <c r="M447" i="3"/>
  <c r="N447" i="3" s="1"/>
  <c r="L447" i="3"/>
  <c r="K447" i="3"/>
  <c r="J447" i="3"/>
  <c r="O446" i="3"/>
  <c r="N446" i="3"/>
  <c r="M446" i="3"/>
  <c r="L446" i="3"/>
  <c r="K446" i="3"/>
  <c r="J446" i="3"/>
  <c r="O445" i="3"/>
  <c r="M445" i="3"/>
  <c r="N445" i="3" s="1"/>
  <c r="L445" i="3"/>
  <c r="K445" i="3"/>
  <c r="J445" i="3"/>
  <c r="O444" i="3"/>
  <c r="N444" i="3"/>
  <c r="M444" i="3"/>
  <c r="L444" i="3"/>
  <c r="K444" i="3"/>
  <c r="J444" i="3"/>
  <c r="O443" i="3"/>
  <c r="M443" i="3"/>
  <c r="N443" i="3" s="1"/>
  <c r="L443" i="3"/>
  <c r="K443" i="3"/>
  <c r="J443" i="3"/>
  <c r="O442" i="3"/>
  <c r="N442" i="3"/>
  <c r="M442" i="3"/>
  <c r="L442" i="3"/>
  <c r="K442" i="3"/>
  <c r="J442" i="3"/>
  <c r="O441" i="3"/>
  <c r="M441" i="3"/>
  <c r="N441" i="3" s="1"/>
  <c r="L441" i="3"/>
  <c r="K441" i="3"/>
  <c r="J441" i="3"/>
  <c r="O440" i="3"/>
  <c r="N440" i="3"/>
  <c r="M440" i="3"/>
  <c r="L440" i="3"/>
  <c r="K440" i="3"/>
  <c r="J440" i="3"/>
  <c r="O439" i="3"/>
  <c r="M439" i="3"/>
  <c r="N439" i="3" s="1"/>
  <c r="L439" i="3"/>
  <c r="K439" i="3"/>
  <c r="J439" i="3"/>
  <c r="O438" i="3"/>
  <c r="N438" i="3"/>
  <c r="M438" i="3"/>
  <c r="L438" i="3"/>
  <c r="K438" i="3"/>
  <c r="J438" i="3"/>
  <c r="O437" i="3"/>
  <c r="M437" i="3"/>
  <c r="N437" i="3" s="1"/>
  <c r="L437" i="3"/>
  <c r="K437" i="3"/>
  <c r="J437" i="3"/>
  <c r="O436" i="3"/>
  <c r="N436" i="3"/>
  <c r="M436" i="3"/>
  <c r="L436" i="3"/>
  <c r="K436" i="3"/>
  <c r="J436" i="3"/>
  <c r="O435" i="3"/>
  <c r="M435" i="3"/>
  <c r="N435" i="3" s="1"/>
  <c r="L435" i="3"/>
  <c r="K435" i="3"/>
  <c r="J435" i="3"/>
  <c r="O434" i="3"/>
  <c r="N434" i="3"/>
  <c r="M434" i="3"/>
  <c r="L434" i="3"/>
  <c r="K434" i="3"/>
  <c r="J434" i="3"/>
  <c r="O433" i="3"/>
  <c r="M433" i="3"/>
  <c r="N433" i="3" s="1"/>
  <c r="L433" i="3"/>
  <c r="K433" i="3"/>
  <c r="J433" i="3"/>
  <c r="O432" i="3"/>
  <c r="N432" i="3"/>
  <c r="M432" i="3"/>
  <c r="L432" i="3"/>
  <c r="K432" i="3"/>
  <c r="J432" i="3"/>
  <c r="O431" i="3"/>
  <c r="M431" i="3"/>
  <c r="N431" i="3" s="1"/>
  <c r="L431" i="3"/>
  <c r="K431" i="3"/>
  <c r="J431" i="3"/>
  <c r="O430" i="3"/>
  <c r="N430" i="3"/>
  <c r="M430" i="3"/>
  <c r="L430" i="3"/>
  <c r="K430" i="3"/>
  <c r="J430" i="3"/>
  <c r="O429" i="3"/>
  <c r="M429" i="3"/>
  <c r="N429" i="3" s="1"/>
  <c r="L429" i="3"/>
  <c r="K429" i="3"/>
  <c r="J429" i="3"/>
  <c r="O428" i="3"/>
  <c r="N428" i="3"/>
  <c r="M428" i="3"/>
  <c r="L428" i="3"/>
  <c r="K428" i="3"/>
  <c r="J428" i="3"/>
  <c r="O427" i="3"/>
  <c r="M427" i="3"/>
  <c r="N427" i="3" s="1"/>
  <c r="L427" i="3"/>
  <c r="K427" i="3"/>
  <c r="J427" i="3"/>
  <c r="O426" i="3"/>
  <c r="N426" i="3"/>
  <c r="M426" i="3"/>
  <c r="L426" i="3"/>
  <c r="K426" i="3"/>
  <c r="J426" i="3"/>
  <c r="O425" i="3"/>
  <c r="M425" i="3"/>
  <c r="N425" i="3" s="1"/>
  <c r="L425" i="3"/>
  <c r="K425" i="3"/>
  <c r="J425" i="3"/>
  <c r="O424" i="3"/>
  <c r="N424" i="3"/>
  <c r="M424" i="3"/>
  <c r="L424" i="3"/>
  <c r="K424" i="3"/>
  <c r="J424" i="3"/>
  <c r="O423" i="3"/>
  <c r="M423" i="3"/>
  <c r="N423" i="3" s="1"/>
  <c r="L423" i="3"/>
  <c r="K423" i="3"/>
  <c r="J423" i="3"/>
  <c r="O422" i="3"/>
  <c r="N422" i="3"/>
  <c r="M422" i="3"/>
  <c r="L422" i="3"/>
  <c r="K422" i="3"/>
  <c r="J422" i="3"/>
  <c r="O421" i="3"/>
  <c r="M421" i="3"/>
  <c r="N421" i="3" s="1"/>
  <c r="L421" i="3"/>
  <c r="K421" i="3"/>
  <c r="J421" i="3"/>
  <c r="O420" i="3"/>
  <c r="N420" i="3"/>
  <c r="M420" i="3"/>
  <c r="L420" i="3"/>
  <c r="K420" i="3"/>
  <c r="J420" i="3"/>
  <c r="O419" i="3"/>
  <c r="M419" i="3"/>
  <c r="N419" i="3" s="1"/>
  <c r="L419" i="3"/>
  <c r="K419" i="3"/>
  <c r="J419" i="3"/>
  <c r="O418" i="3"/>
  <c r="N418" i="3"/>
  <c r="M418" i="3"/>
  <c r="L418" i="3"/>
  <c r="K418" i="3"/>
  <c r="J418" i="3"/>
  <c r="O417" i="3"/>
  <c r="M417" i="3"/>
  <c r="N417" i="3" s="1"/>
  <c r="L417" i="3"/>
  <c r="K417" i="3"/>
  <c r="J417" i="3"/>
  <c r="O416" i="3"/>
  <c r="N416" i="3"/>
  <c r="M416" i="3"/>
  <c r="L416" i="3"/>
  <c r="K416" i="3"/>
  <c r="J416" i="3"/>
  <c r="O415" i="3"/>
  <c r="M415" i="3"/>
  <c r="N415" i="3" s="1"/>
  <c r="L415" i="3"/>
  <c r="K415" i="3"/>
  <c r="J415" i="3"/>
  <c r="O414" i="3"/>
  <c r="N414" i="3"/>
  <c r="M414" i="3"/>
  <c r="L414" i="3"/>
  <c r="K414" i="3"/>
  <c r="J414" i="3"/>
  <c r="O413" i="3"/>
  <c r="M413" i="3"/>
  <c r="N413" i="3" s="1"/>
  <c r="L413" i="3"/>
  <c r="K413" i="3"/>
  <c r="J413" i="3"/>
  <c r="O412" i="3"/>
  <c r="N412" i="3"/>
  <c r="M412" i="3"/>
  <c r="L412" i="3"/>
  <c r="K412" i="3"/>
  <c r="J412" i="3"/>
  <c r="O411" i="3"/>
  <c r="M411" i="3"/>
  <c r="N411" i="3" s="1"/>
  <c r="L411" i="3"/>
  <c r="K411" i="3"/>
  <c r="J411" i="3"/>
  <c r="O410" i="3"/>
  <c r="N410" i="3"/>
  <c r="M410" i="3"/>
  <c r="L410" i="3"/>
  <c r="K410" i="3"/>
  <c r="J410" i="3"/>
  <c r="O409" i="3"/>
  <c r="M409" i="3"/>
  <c r="N409" i="3" s="1"/>
  <c r="L409" i="3"/>
  <c r="K409" i="3"/>
  <c r="J409" i="3"/>
  <c r="O408" i="3"/>
  <c r="N408" i="3"/>
  <c r="M408" i="3"/>
  <c r="L408" i="3"/>
  <c r="K408" i="3"/>
  <c r="J408" i="3"/>
  <c r="O407" i="3"/>
  <c r="M407" i="3"/>
  <c r="N407" i="3" s="1"/>
  <c r="L407" i="3"/>
  <c r="K407" i="3"/>
  <c r="J407" i="3"/>
  <c r="O406" i="3"/>
  <c r="N406" i="3"/>
  <c r="M406" i="3"/>
  <c r="L406" i="3"/>
  <c r="K406" i="3"/>
  <c r="J406" i="3"/>
  <c r="O405" i="3"/>
  <c r="M405" i="3"/>
  <c r="N405" i="3" s="1"/>
  <c r="L405" i="3"/>
  <c r="K405" i="3"/>
  <c r="J405" i="3"/>
  <c r="O404" i="3"/>
  <c r="N404" i="3"/>
  <c r="M404" i="3"/>
  <c r="L404" i="3"/>
  <c r="K404" i="3"/>
  <c r="J404" i="3"/>
  <c r="O403" i="3"/>
  <c r="M403" i="3"/>
  <c r="N403" i="3" s="1"/>
  <c r="L403" i="3"/>
  <c r="K403" i="3"/>
  <c r="J403" i="3"/>
  <c r="O402" i="3"/>
  <c r="N402" i="3"/>
  <c r="M402" i="3"/>
  <c r="L402" i="3"/>
  <c r="K402" i="3"/>
  <c r="J402" i="3"/>
  <c r="O401" i="3"/>
  <c r="M401" i="3"/>
  <c r="N401" i="3" s="1"/>
  <c r="L401" i="3"/>
  <c r="K401" i="3"/>
  <c r="J401" i="3"/>
  <c r="O400" i="3"/>
  <c r="N400" i="3"/>
  <c r="M400" i="3"/>
  <c r="L400" i="3"/>
  <c r="K400" i="3"/>
  <c r="J400" i="3"/>
  <c r="O399" i="3"/>
  <c r="M399" i="3"/>
  <c r="N399" i="3" s="1"/>
  <c r="L399" i="3"/>
  <c r="K399" i="3"/>
  <c r="J399" i="3"/>
  <c r="O398" i="3"/>
  <c r="N398" i="3"/>
  <c r="M398" i="3"/>
  <c r="L398" i="3"/>
  <c r="K398" i="3"/>
  <c r="J398" i="3"/>
  <c r="O397" i="3"/>
  <c r="M397" i="3"/>
  <c r="N397" i="3" s="1"/>
  <c r="L397" i="3"/>
  <c r="K397" i="3"/>
  <c r="J397" i="3"/>
  <c r="O396" i="3"/>
  <c r="N396" i="3"/>
  <c r="M396" i="3"/>
  <c r="L396" i="3"/>
  <c r="K396" i="3"/>
  <c r="J396" i="3"/>
  <c r="O395" i="3"/>
  <c r="M395" i="3"/>
  <c r="N395" i="3" s="1"/>
  <c r="L395" i="3"/>
  <c r="K395" i="3"/>
  <c r="J395" i="3"/>
  <c r="O394" i="3"/>
  <c r="N394" i="3"/>
  <c r="M394" i="3"/>
  <c r="L394" i="3"/>
  <c r="K394" i="3"/>
  <c r="J394" i="3"/>
  <c r="O393" i="3"/>
  <c r="M393" i="3"/>
  <c r="N393" i="3" s="1"/>
  <c r="L393" i="3"/>
  <c r="K393" i="3"/>
  <c r="J393" i="3"/>
  <c r="O392" i="3"/>
  <c r="N392" i="3"/>
  <c r="M392" i="3"/>
  <c r="L392" i="3"/>
  <c r="K392" i="3"/>
  <c r="J392" i="3"/>
  <c r="O391" i="3"/>
  <c r="M391" i="3"/>
  <c r="N391" i="3" s="1"/>
  <c r="L391" i="3"/>
  <c r="K391" i="3"/>
  <c r="J391" i="3"/>
  <c r="O390" i="3"/>
  <c r="N390" i="3"/>
  <c r="M390" i="3"/>
  <c r="L390" i="3"/>
  <c r="K390" i="3"/>
  <c r="J390" i="3"/>
  <c r="O389" i="3"/>
  <c r="M389" i="3"/>
  <c r="N389" i="3" s="1"/>
  <c r="L389" i="3"/>
  <c r="K389" i="3"/>
  <c r="J389" i="3"/>
  <c r="O388" i="3"/>
  <c r="N388" i="3"/>
  <c r="M388" i="3"/>
  <c r="L388" i="3"/>
  <c r="K388" i="3"/>
  <c r="J388" i="3"/>
  <c r="O387" i="3"/>
  <c r="M387" i="3"/>
  <c r="N387" i="3" s="1"/>
  <c r="L387" i="3"/>
  <c r="K387" i="3"/>
  <c r="J387" i="3"/>
  <c r="O386" i="3"/>
  <c r="N386" i="3"/>
  <c r="M386" i="3"/>
  <c r="L386" i="3"/>
  <c r="K386" i="3"/>
  <c r="J386" i="3"/>
  <c r="O385" i="3"/>
  <c r="M385" i="3"/>
  <c r="N385" i="3" s="1"/>
  <c r="L385" i="3"/>
  <c r="K385" i="3"/>
  <c r="J385" i="3"/>
  <c r="O384" i="3"/>
  <c r="N384" i="3"/>
  <c r="M384" i="3"/>
  <c r="L384" i="3"/>
  <c r="K384" i="3"/>
  <c r="J384" i="3"/>
  <c r="O383" i="3"/>
  <c r="M383" i="3"/>
  <c r="N383" i="3" s="1"/>
  <c r="L383" i="3"/>
  <c r="K383" i="3"/>
  <c r="J383" i="3"/>
  <c r="O382" i="3"/>
  <c r="N382" i="3"/>
  <c r="M382" i="3"/>
  <c r="L382" i="3"/>
  <c r="K382" i="3"/>
  <c r="J382" i="3"/>
  <c r="O381" i="3"/>
  <c r="M381" i="3"/>
  <c r="N381" i="3" s="1"/>
  <c r="L381" i="3"/>
  <c r="K381" i="3"/>
  <c r="J381" i="3"/>
  <c r="O380" i="3"/>
  <c r="N380" i="3"/>
  <c r="M380" i="3"/>
  <c r="L380" i="3"/>
  <c r="K380" i="3"/>
  <c r="J380" i="3"/>
  <c r="O379" i="3"/>
  <c r="M379" i="3"/>
  <c r="N379" i="3" s="1"/>
  <c r="L379" i="3"/>
  <c r="K379" i="3"/>
  <c r="J379" i="3"/>
  <c r="O378" i="3"/>
  <c r="N378" i="3"/>
  <c r="M378" i="3"/>
  <c r="L378" i="3"/>
  <c r="K378" i="3"/>
  <c r="J378" i="3"/>
  <c r="O377" i="3"/>
  <c r="M377" i="3"/>
  <c r="N377" i="3" s="1"/>
  <c r="L377" i="3"/>
  <c r="K377" i="3"/>
  <c r="J377" i="3"/>
  <c r="O376" i="3"/>
  <c r="N376" i="3"/>
  <c r="M376" i="3"/>
  <c r="L376" i="3"/>
  <c r="K376" i="3"/>
  <c r="J376" i="3"/>
  <c r="O375" i="3"/>
  <c r="M375" i="3"/>
  <c r="N375" i="3" s="1"/>
  <c r="L375" i="3"/>
  <c r="K375" i="3"/>
  <c r="J375" i="3"/>
  <c r="O374" i="3"/>
  <c r="N374" i="3"/>
  <c r="M374" i="3"/>
  <c r="L374" i="3"/>
  <c r="K374" i="3"/>
  <c r="J374" i="3"/>
  <c r="O373" i="3"/>
  <c r="M373" i="3"/>
  <c r="N373" i="3" s="1"/>
  <c r="L373" i="3"/>
  <c r="K373" i="3"/>
  <c r="J373" i="3"/>
  <c r="O372" i="3"/>
  <c r="N372" i="3"/>
  <c r="M372" i="3"/>
  <c r="L372" i="3"/>
  <c r="K372" i="3"/>
  <c r="J372" i="3"/>
  <c r="O371" i="3"/>
  <c r="M371" i="3"/>
  <c r="N371" i="3" s="1"/>
  <c r="L371" i="3"/>
  <c r="K371" i="3"/>
  <c r="J371" i="3"/>
  <c r="O370" i="3"/>
  <c r="N370" i="3"/>
  <c r="M370" i="3"/>
  <c r="L370" i="3"/>
  <c r="K370" i="3"/>
  <c r="J370" i="3"/>
  <c r="O369" i="3"/>
  <c r="M369" i="3"/>
  <c r="N369" i="3" s="1"/>
  <c r="L369" i="3"/>
  <c r="K369" i="3"/>
  <c r="J369" i="3"/>
  <c r="O368" i="3"/>
  <c r="N368" i="3"/>
  <c r="M368" i="3"/>
  <c r="L368" i="3"/>
  <c r="K368" i="3"/>
  <c r="J368" i="3"/>
  <c r="O367" i="3"/>
  <c r="M367" i="3"/>
  <c r="N367" i="3" s="1"/>
  <c r="L367" i="3"/>
  <c r="K367" i="3"/>
  <c r="J367" i="3"/>
  <c r="O366" i="3"/>
  <c r="N366" i="3"/>
  <c r="M366" i="3"/>
  <c r="L366" i="3"/>
  <c r="K366" i="3"/>
  <c r="J366" i="3"/>
  <c r="O365" i="3"/>
  <c r="M365" i="3"/>
  <c r="N365" i="3" s="1"/>
  <c r="L365" i="3"/>
  <c r="K365" i="3"/>
  <c r="J365" i="3"/>
  <c r="O364" i="3"/>
  <c r="N364" i="3"/>
  <c r="M364" i="3"/>
  <c r="L364" i="3"/>
  <c r="K364" i="3"/>
  <c r="J364" i="3"/>
  <c r="O363" i="3"/>
  <c r="M363" i="3"/>
  <c r="N363" i="3" s="1"/>
  <c r="L363" i="3"/>
  <c r="K363" i="3"/>
  <c r="J363" i="3"/>
  <c r="O362" i="3"/>
  <c r="N362" i="3"/>
  <c r="M362" i="3"/>
  <c r="L362" i="3"/>
  <c r="K362" i="3"/>
  <c r="J362" i="3"/>
  <c r="O361" i="3"/>
  <c r="M361" i="3"/>
  <c r="N361" i="3" s="1"/>
  <c r="L361" i="3"/>
  <c r="K361" i="3"/>
  <c r="J361" i="3"/>
  <c r="O360" i="3"/>
  <c r="N360" i="3"/>
  <c r="M360" i="3"/>
  <c r="L360" i="3"/>
  <c r="K360" i="3"/>
  <c r="J360" i="3"/>
  <c r="O359" i="3"/>
  <c r="M359" i="3"/>
  <c r="N359" i="3" s="1"/>
  <c r="L359" i="3"/>
  <c r="K359" i="3"/>
  <c r="J359" i="3"/>
  <c r="O358" i="3"/>
  <c r="N358" i="3"/>
  <c r="M358" i="3"/>
  <c r="L358" i="3"/>
  <c r="K358" i="3"/>
  <c r="J358" i="3"/>
  <c r="O357" i="3"/>
  <c r="M357" i="3"/>
  <c r="N357" i="3" s="1"/>
  <c r="L357" i="3"/>
  <c r="K357" i="3"/>
  <c r="J357" i="3"/>
  <c r="O356" i="3"/>
  <c r="N356" i="3"/>
  <c r="M356" i="3"/>
  <c r="L356" i="3"/>
  <c r="K356" i="3"/>
  <c r="J356" i="3"/>
  <c r="O355" i="3"/>
  <c r="M355" i="3"/>
  <c r="N355" i="3" s="1"/>
  <c r="L355" i="3"/>
  <c r="K355" i="3"/>
  <c r="J355" i="3"/>
  <c r="O354" i="3"/>
  <c r="N354" i="3"/>
  <c r="M354" i="3"/>
  <c r="L354" i="3"/>
  <c r="K354" i="3"/>
  <c r="J354" i="3"/>
  <c r="O353" i="3"/>
  <c r="M353" i="3"/>
  <c r="N353" i="3" s="1"/>
  <c r="L353" i="3"/>
  <c r="K353" i="3"/>
  <c r="J353" i="3"/>
  <c r="O352" i="3"/>
  <c r="N352" i="3"/>
  <c r="M352" i="3"/>
  <c r="L352" i="3"/>
  <c r="K352" i="3"/>
  <c r="J352" i="3"/>
  <c r="O351" i="3"/>
  <c r="M351" i="3"/>
  <c r="N351" i="3" s="1"/>
  <c r="L351" i="3"/>
  <c r="K351" i="3"/>
  <c r="J351" i="3"/>
  <c r="O350" i="3"/>
  <c r="N350" i="3"/>
  <c r="M350" i="3"/>
  <c r="L350" i="3"/>
  <c r="K350" i="3"/>
  <c r="J350" i="3"/>
  <c r="O349" i="3"/>
  <c r="M349" i="3"/>
  <c r="N349" i="3" s="1"/>
  <c r="L349" i="3"/>
  <c r="K349" i="3"/>
  <c r="J349" i="3"/>
  <c r="O348" i="3"/>
  <c r="N348" i="3"/>
  <c r="M348" i="3"/>
  <c r="L348" i="3"/>
  <c r="K348" i="3"/>
  <c r="J348" i="3"/>
  <c r="O347" i="3"/>
  <c r="M347" i="3"/>
  <c r="N347" i="3" s="1"/>
  <c r="L347" i="3"/>
  <c r="K347" i="3"/>
  <c r="J347" i="3"/>
  <c r="O346" i="3"/>
  <c r="N346" i="3"/>
  <c r="M346" i="3"/>
  <c r="L346" i="3"/>
  <c r="K346" i="3"/>
  <c r="J346" i="3"/>
  <c r="O345" i="3"/>
  <c r="M345" i="3"/>
  <c r="N345" i="3" s="1"/>
  <c r="L345" i="3"/>
  <c r="K345" i="3"/>
  <c r="J345" i="3"/>
  <c r="O344" i="3"/>
  <c r="N344" i="3"/>
  <c r="M344" i="3"/>
  <c r="L344" i="3"/>
  <c r="K344" i="3"/>
  <c r="J344" i="3"/>
  <c r="O343" i="3"/>
  <c r="M343" i="3"/>
  <c r="N343" i="3" s="1"/>
  <c r="L343" i="3"/>
  <c r="K343" i="3"/>
  <c r="J343" i="3"/>
  <c r="O342" i="3"/>
  <c r="N342" i="3"/>
  <c r="M342" i="3"/>
  <c r="L342" i="3"/>
  <c r="K342" i="3"/>
  <c r="J342" i="3"/>
  <c r="O341" i="3"/>
  <c r="M341" i="3"/>
  <c r="N341" i="3" s="1"/>
  <c r="L341" i="3"/>
  <c r="K341" i="3"/>
  <c r="J341" i="3"/>
  <c r="O340" i="3"/>
  <c r="N340" i="3"/>
  <c r="M340" i="3"/>
  <c r="L340" i="3"/>
  <c r="K340" i="3"/>
  <c r="J340" i="3"/>
  <c r="O339" i="3"/>
  <c r="M339" i="3"/>
  <c r="N339" i="3" s="1"/>
  <c r="L339" i="3"/>
  <c r="K339" i="3"/>
  <c r="J339" i="3"/>
  <c r="O338" i="3"/>
  <c r="N338" i="3"/>
  <c r="M338" i="3"/>
  <c r="L338" i="3"/>
  <c r="K338" i="3"/>
  <c r="J338" i="3"/>
  <c r="O337" i="3"/>
  <c r="M337" i="3"/>
  <c r="N337" i="3" s="1"/>
  <c r="L337" i="3"/>
  <c r="K337" i="3"/>
  <c r="J337" i="3"/>
  <c r="O336" i="3"/>
  <c r="N336" i="3"/>
  <c r="M336" i="3"/>
  <c r="L336" i="3"/>
  <c r="K336" i="3"/>
  <c r="J336" i="3"/>
  <c r="O335" i="3"/>
  <c r="M335" i="3"/>
  <c r="N335" i="3" s="1"/>
  <c r="L335" i="3"/>
  <c r="K335" i="3"/>
  <c r="J335" i="3"/>
  <c r="O334" i="3"/>
  <c r="N334" i="3"/>
  <c r="M334" i="3"/>
  <c r="L334" i="3"/>
  <c r="K334" i="3"/>
  <c r="J334" i="3"/>
  <c r="O333" i="3"/>
  <c r="M333" i="3"/>
  <c r="N333" i="3" s="1"/>
  <c r="L333" i="3"/>
  <c r="K333" i="3"/>
  <c r="J333" i="3"/>
  <c r="O332" i="3"/>
  <c r="N332" i="3"/>
  <c r="M332" i="3"/>
  <c r="L332" i="3"/>
  <c r="K332" i="3"/>
  <c r="J332" i="3"/>
  <c r="O331" i="3"/>
  <c r="M331" i="3"/>
  <c r="N331" i="3" s="1"/>
  <c r="L331" i="3"/>
  <c r="K331" i="3"/>
  <c r="J331" i="3"/>
  <c r="O330" i="3"/>
  <c r="N330" i="3"/>
  <c r="M330" i="3"/>
  <c r="L330" i="3"/>
  <c r="K330" i="3"/>
  <c r="J330" i="3"/>
  <c r="O329" i="3"/>
  <c r="M329" i="3"/>
  <c r="N329" i="3" s="1"/>
  <c r="L329" i="3"/>
  <c r="K329" i="3"/>
  <c r="J329" i="3"/>
  <c r="O328" i="3"/>
  <c r="N328" i="3"/>
  <c r="M328" i="3"/>
  <c r="L328" i="3"/>
  <c r="K328" i="3"/>
  <c r="J328" i="3"/>
  <c r="O327" i="3"/>
  <c r="M327" i="3"/>
  <c r="N327" i="3" s="1"/>
  <c r="L327" i="3"/>
  <c r="K327" i="3"/>
  <c r="J327" i="3"/>
  <c r="O326" i="3"/>
  <c r="N326" i="3"/>
  <c r="M326" i="3"/>
  <c r="L326" i="3"/>
  <c r="K326" i="3"/>
  <c r="J326" i="3"/>
  <c r="O325" i="3"/>
  <c r="M325" i="3"/>
  <c r="N325" i="3" s="1"/>
  <c r="L325" i="3"/>
  <c r="K325" i="3"/>
  <c r="J325" i="3"/>
  <c r="O324" i="3"/>
  <c r="N324" i="3"/>
  <c r="M324" i="3"/>
  <c r="L324" i="3"/>
  <c r="K324" i="3"/>
  <c r="J324" i="3"/>
  <c r="O323" i="3"/>
  <c r="M323" i="3"/>
  <c r="N323" i="3" s="1"/>
  <c r="L323" i="3"/>
  <c r="K323" i="3"/>
  <c r="J323" i="3"/>
  <c r="O322" i="3"/>
  <c r="N322" i="3"/>
  <c r="M322" i="3"/>
  <c r="L322" i="3"/>
  <c r="K322" i="3"/>
  <c r="J322" i="3"/>
  <c r="O321" i="3"/>
  <c r="M321" i="3"/>
  <c r="N321" i="3" s="1"/>
  <c r="L321" i="3"/>
  <c r="K321" i="3"/>
  <c r="J321" i="3"/>
  <c r="O320" i="3"/>
  <c r="N320" i="3"/>
  <c r="M320" i="3"/>
  <c r="L320" i="3"/>
  <c r="K320" i="3"/>
  <c r="J320" i="3"/>
  <c r="O319" i="3"/>
  <c r="M319" i="3"/>
  <c r="N319" i="3" s="1"/>
  <c r="L319" i="3"/>
  <c r="K319" i="3"/>
  <c r="J319" i="3"/>
  <c r="O318" i="3"/>
  <c r="N318" i="3"/>
  <c r="M318" i="3"/>
  <c r="L318" i="3"/>
  <c r="K318" i="3"/>
  <c r="J318" i="3"/>
  <c r="O317" i="3"/>
  <c r="M317" i="3"/>
  <c r="N317" i="3" s="1"/>
  <c r="L317" i="3"/>
  <c r="K317" i="3"/>
  <c r="J317" i="3"/>
  <c r="O316" i="3"/>
  <c r="N316" i="3"/>
  <c r="M316" i="3"/>
  <c r="L316" i="3"/>
  <c r="K316" i="3"/>
  <c r="J316" i="3"/>
  <c r="O315" i="3"/>
  <c r="M315" i="3"/>
  <c r="N315" i="3" s="1"/>
  <c r="L315" i="3"/>
  <c r="K315" i="3"/>
  <c r="J315" i="3"/>
  <c r="O314" i="3"/>
  <c r="N314" i="3"/>
  <c r="M314" i="3"/>
  <c r="L314" i="3"/>
  <c r="K314" i="3"/>
  <c r="J314" i="3"/>
  <c r="O313" i="3"/>
  <c r="M313" i="3"/>
  <c r="N313" i="3" s="1"/>
  <c r="L313" i="3"/>
  <c r="K313" i="3"/>
  <c r="J313" i="3"/>
  <c r="O312" i="3"/>
  <c r="N312" i="3"/>
  <c r="M312" i="3"/>
  <c r="K312" i="3"/>
  <c r="J312" i="3"/>
  <c r="O311" i="3"/>
  <c r="M311" i="3"/>
  <c r="N311" i="3" s="1"/>
  <c r="K311" i="3"/>
  <c r="J311" i="3"/>
  <c r="O310" i="3"/>
  <c r="N310" i="3"/>
  <c r="M310" i="3"/>
  <c r="K310" i="3"/>
  <c r="J310" i="3"/>
  <c r="O309" i="3"/>
  <c r="M309" i="3"/>
  <c r="N309" i="3" s="1"/>
  <c r="K309" i="3"/>
  <c r="J309" i="3"/>
  <c r="O308" i="3"/>
  <c r="N308" i="3"/>
  <c r="M308" i="3"/>
  <c r="K308" i="3"/>
  <c r="J308" i="3"/>
  <c r="O307" i="3"/>
  <c r="M307" i="3"/>
  <c r="N307" i="3" s="1"/>
  <c r="K307" i="3"/>
  <c r="J307" i="3"/>
  <c r="O306" i="3"/>
  <c r="M306" i="3"/>
  <c r="N306" i="3" s="1"/>
  <c r="K306" i="3"/>
  <c r="J306" i="3"/>
  <c r="O305" i="3"/>
  <c r="N305" i="3"/>
  <c r="M305" i="3"/>
  <c r="K305" i="3"/>
  <c r="J305" i="3"/>
  <c r="O304" i="3"/>
  <c r="N304" i="3"/>
  <c r="M304" i="3"/>
  <c r="K304" i="3"/>
  <c r="J304" i="3"/>
  <c r="O303" i="3"/>
  <c r="M303" i="3"/>
  <c r="N303" i="3" s="1"/>
  <c r="K303" i="3"/>
  <c r="J303" i="3"/>
  <c r="O302" i="3"/>
  <c r="N302" i="3"/>
  <c r="M302" i="3"/>
  <c r="K302" i="3"/>
  <c r="J302" i="3"/>
  <c r="O301" i="3"/>
  <c r="M301" i="3"/>
  <c r="N301" i="3" s="1"/>
  <c r="K301" i="3"/>
  <c r="J301" i="3"/>
  <c r="O300" i="3"/>
  <c r="N300" i="3"/>
  <c r="M300" i="3"/>
  <c r="K300" i="3"/>
  <c r="J300" i="3"/>
  <c r="O299" i="3"/>
  <c r="M299" i="3"/>
  <c r="N299" i="3" s="1"/>
  <c r="K299" i="3"/>
  <c r="J299" i="3"/>
  <c r="O298" i="3"/>
  <c r="M298" i="3"/>
  <c r="N298" i="3" s="1"/>
  <c r="K298" i="3"/>
  <c r="J298" i="3"/>
  <c r="O297" i="3"/>
  <c r="N297" i="3"/>
  <c r="M297" i="3"/>
  <c r="K297" i="3"/>
  <c r="J297" i="3"/>
  <c r="O296" i="3"/>
  <c r="N296" i="3"/>
  <c r="M296" i="3"/>
  <c r="K296" i="3"/>
  <c r="J296" i="3"/>
  <c r="O295" i="3"/>
  <c r="M295" i="3"/>
  <c r="N295" i="3" s="1"/>
  <c r="K295" i="3"/>
  <c r="J295" i="3"/>
  <c r="O294" i="3"/>
  <c r="N294" i="3"/>
  <c r="M294" i="3"/>
  <c r="K294" i="3"/>
  <c r="J294" i="3"/>
  <c r="O293" i="3"/>
  <c r="M293" i="3"/>
  <c r="N293" i="3" s="1"/>
  <c r="K293" i="3"/>
  <c r="J293" i="3"/>
  <c r="O292" i="3"/>
  <c r="N292" i="3"/>
  <c r="M292" i="3"/>
  <c r="K292" i="3"/>
  <c r="J292" i="3"/>
  <c r="O291" i="3"/>
  <c r="M291" i="3"/>
  <c r="N291" i="3" s="1"/>
  <c r="K291" i="3"/>
  <c r="J291" i="3"/>
  <c r="O290" i="3"/>
  <c r="M290" i="3"/>
  <c r="N290" i="3" s="1"/>
  <c r="K290" i="3"/>
  <c r="J290" i="3"/>
  <c r="O289" i="3"/>
  <c r="N289" i="3"/>
  <c r="M289" i="3"/>
  <c r="K289" i="3"/>
  <c r="J289" i="3"/>
  <c r="O288" i="3"/>
  <c r="N288" i="3"/>
  <c r="M288" i="3"/>
  <c r="K288" i="3"/>
  <c r="J288" i="3"/>
  <c r="O287" i="3"/>
  <c r="M287" i="3"/>
  <c r="N287" i="3" s="1"/>
  <c r="K287" i="3"/>
  <c r="J287" i="3"/>
  <c r="O286" i="3"/>
  <c r="N286" i="3"/>
  <c r="M286" i="3"/>
  <c r="K286" i="3"/>
  <c r="J286" i="3"/>
  <c r="O285" i="3"/>
  <c r="M285" i="3"/>
  <c r="N285" i="3" s="1"/>
  <c r="K285" i="3"/>
  <c r="J285" i="3"/>
  <c r="O284" i="3"/>
  <c r="N284" i="3"/>
  <c r="M284" i="3"/>
  <c r="K284" i="3"/>
  <c r="J284" i="3"/>
  <c r="O283" i="3"/>
  <c r="M283" i="3"/>
  <c r="N283" i="3" s="1"/>
  <c r="K283" i="3"/>
  <c r="J283" i="3"/>
  <c r="O282" i="3"/>
  <c r="M282" i="3"/>
  <c r="N282" i="3" s="1"/>
  <c r="J282" i="3"/>
  <c r="O281" i="3"/>
  <c r="M281" i="3"/>
  <c r="N281" i="3" s="1"/>
  <c r="J281" i="3"/>
  <c r="O280" i="3"/>
  <c r="M280" i="3"/>
  <c r="N280" i="3" s="1"/>
  <c r="J280" i="3"/>
  <c r="O279" i="3"/>
  <c r="M279" i="3"/>
  <c r="N279" i="3" s="1"/>
  <c r="J279" i="3"/>
  <c r="O278" i="3"/>
  <c r="M278" i="3"/>
  <c r="N278" i="3" s="1"/>
  <c r="J278" i="3"/>
  <c r="O277" i="3"/>
  <c r="M277" i="3"/>
  <c r="N277" i="3" s="1"/>
  <c r="J277" i="3"/>
  <c r="O276" i="3"/>
  <c r="M276" i="3"/>
  <c r="N276" i="3" s="1"/>
  <c r="J276" i="3"/>
  <c r="O275" i="3"/>
  <c r="M275" i="3"/>
  <c r="N275" i="3" s="1"/>
  <c r="J275" i="3"/>
  <c r="O274" i="3"/>
  <c r="M274" i="3"/>
  <c r="N274" i="3" s="1"/>
  <c r="J274" i="3"/>
  <c r="O273" i="3"/>
  <c r="M273" i="3"/>
  <c r="N273" i="3" s="1"/>
  <c r="J273" i="3"/>
  <c r="O272" i="3"/>
  <c r="M272" i="3"/>
  <c r="N272" i="3" s="1"/>
  <c r="J272" i="3"/>
  <c r="O271" i="3"/>
  <c r="M271" i="3"/>
  <c r="N271" i="3" s="1"/>
  <c r="J271" i="3"/>
  <c r="O270" i="3"/>
  <c r="M270" i="3"/>
  <c r="N270" i="3" s="1"/>
  <c r="J270" i="3"/>
  <c r="O269" i="3"/>
  <c r="M269" i="3"/>
  <c r="N269" i="3" s="1"/>
  <c r="J269" i="3"/>
  <c r="O268" i="3"/>
  <c r="M268" i="3"/>
  <c r="N268" i="3" s="1"/>
  <c r="J268" i="3"/>
  <c r="O267" i="3"/>
  <c r="M267" i="3"/>
  <c r="N267" i="3" s="1"/>
  <c r="J267" i="3"/>
  <c r="O266" i="3"/>
  <c r="M266" i="3"/>
  <c r="N266" i="3" s="1"/>
  <c r="J266" i="3"/>
  <c r="O265" i="3"/>
  <c r="M265" i="3"/>
  <c r="N265" i="3" s="1"/>
  <c r="J265" i="3"/>
  <c r="O264" i="3"/>
  <c r="M264" i="3"/>
  <c r="N264" i="3" s="1"/>
  <c r="O263" i="3"/>
  <c r="M263" i="3"/>
  <c r="N263" i="3" s="1"/>
  <c r="L263" i="3"/>
  <c r="K263" i="3"/>
  <c r="J263" i="3"/>
  <c r="O262" i="3"/>
  <c r="M262" i="3"/>
  <c r="N262" i="3" s="1"/>
  <c r="L262" i="3"/>
  <c r="K262" i="3"/>
  <c r="J262" i="3"/>
  <c r="O261" i="3"/>
  <c r="M261" i="3"/>
  <c r="N261" i="3" s="1"/>
  <c r="L261" i="3"/>
  <c r="K261" i="3"/>
  <c r="J261" i="3"/>
  <c r="O260" i="3"/>
  <c r="N260" i="3"/>
  <c r="M260" i="3"/>
  <c r="L260" i="3"/>
  <c r="K260" i="3"/>
  <c r="J260" i="3"/>
  <c r="O259" i="3"/>
  <c r="M259" i="3"/>
  <c r="N259" i="3" s="1"/>
  <c r="L259" i="3"/>
  <c r="K259" i="3"/>
  <c r="J259" i="3"/>
  <c r="O258" i="3"/>
  <c r="M258" i="3"/>
  <c r="N258" i="3" s="1"/>
  <c r="L258" i="3"/>
  <c r="K258" i="3"/>
  <c r="J258" i="3"/>
  <c r="O257" i="3"/>
  <c r="M257" i="3"/>
  <c r="N257" i="3" s="1"/>
  <c r="L257" i="3"/>
  <c r="K257" i="3"/>
  <c r="J257" i="3"/>
  <c r="O256" i="3"/>
  <c r="N256" i="3"/>
  <c r="M256" i="3"/>
  <c r="L256" i="3"/>
  <c r="K256" i="3"/>
  <c r="J256" i="3"/>
  <c r="O255" i="3"/>
  <c r="M255" i="3"/>
  <c r="N255" i="3" s="1"/>
  <c r="L255" i="3"/>
  <c r="K255" i="3"/>
  <c r="J255" i="3"/>
  <c r="O254" i="3"/>
  <c r="M254" i="3"/>
  <c r="N254" i="3" s="1"/>
  <c r="L254" i="3"/>
  <c r="K254" i="3"/>
  <c r="J254" i="3"/>
  <c r="O253" i="3"/>
  <c r="M253" i="3"/>
  <c r="N253" i="3" s="1"/>
  <c r="L253" i="3"/>
  <c r="K253" i="3"/>
  <c r="J253" i="3"/>
  <c r="O252" i="3"/>
  <c r="N252" i="3"/>
  <c r="M252" i="3"/>
  <c r="L252" i="3"/>
  <c r="K252" i="3"/>
  <c r="J252" i="3"/>
  <c r="O251" i="3"/>
  <c r="M251" i="3"/>
  <c r="N251" i="3" s="1"/>
  <c r="L251" i="3"/>
  <c r="K251" i="3"/>
  <c r="J251" i="3"/>
  <c r="O250" i="3"/>
  <c r="M250" i="3"/>
  <c r="N250" i="3" s="1"/>
  <c r="L250" i="3"/>
  <c r="K250" i="3"/>
  <c r="J250" i="3"/>
  <c r="O249" i="3"/>
  <c r="M249" i="3"/>
  <c r="N249" i="3" s="1"/>
  <c r="L249" i="3"/>
  <c r="K249" i="3"/>
  <c r="J249" i="3"/>
  <c r="O248" i="3"/>
  <c r="N248" i="3"/>
  <c r="M248" i="3"/>
  <c r="L248" i="3"/>
  <c r="K248" i="3"/>
  <c r="J248" i="3"/>
  <c r="O247" i="3"/>
  <c r="M247" i="3"/>
  <c r="N247" i="3" s="1"/>
  <c r="L247" i="3"/>
  <c r="K247" i="3"/>
  <c r="J247" i="3"/>
  <c r="O246" i="3"/>
  <c r="M246" i="3"/>
  <c r="N246" i="3" s="1"/>
  <c r="L246" i="3"/>
  <c r="K246" i="3"/>
  <c r="J246" i="3"/>
  <c r="O245" i="3"/>
  <c r="M245" i="3"/>
  <c r="N245" i="3" s="1"/>
  <c r="L245" i="3"/>
  <c r="K245" i="3"/>
  <c r="J245" i="3"/>
  <c r="O244" i="3"/>
  <c r="N244" i="3"/>
  <c r="M244" i="3"/>
  <c r="L244" i="3"/>
  <c r="K244" i="3"/>
  <c r="J244" i="3"/>
  <c r="O243" i="3"/>
  <c r="M243" i="3"/>
  <c r="N243" i="3" s="1"/>
  <c r="L243" i="3"/>
  <c r="K243" i="3"/>
  <c r="J243" i="3"/>
  <c r="O242" i="3"/>
  <c r="M242" i="3"/>
  <c r="N242" i="3" s="1"/>
  <c r="L242" i="3"/>
  <c r="K242" i="3"/>
  <c r="J242" i="3"/>
  <c r="O241" i="3"/>
  <c r="M241" i="3"/>
  <c r="N241" i="3" s="1"/>
  <c r="L241" i="3"/>
  <c r="K241" i="3"/>
  <c r="J241" i="3"/>
  <c r="O240" i="3"/>
  <c r="N240" i="3"/>
  <c r="M240" i="3"/>
  <c r="L240" i="3"/>
  <c r="K240" i="3"/>
  <c r="J240" i="3"/>
  <c r="O239" i="3"/>
  <c r="M239" i="3"/>
  <c r="N239" i="3" s="1"/>
  <c r="L239" i="3"/>
  <c r="K239" i="3"/>
  <c r="J239" i="3"/>
  <c r="O238" i="3"/>
  <c r="M238" i="3"/>
  <c r="N238" i="3" s="1"/>
  <c r="L238" i="3"/>
  <c r="K238" i="3"/>
  <c r="J238" i="3"/>
  <c r="O237" i="3"/>
  <c r="M237" i="3"/>
  <c r="N237" i="3" s="1"/>
  <c r="L237" i="3"/>
  <c r="K237" i="3"/>
  <c r="J237" i="3"/>
  <c r="O236" i="3"/>
  <c r="M236" i="3"/>
  <c r="N236" i="3" s="1"/>
  <c r="L236" i="3"/>
  <c r="K236" i="3"/>
  <c r="J236" i="3"/>
  <c r="O235" i="3"/>
  <c r="M235" i="3"/>
  <c r="N235" i="3" s="1"/>
  <c r="L235" i="3"/>
  <c r="K235" i="3"/>
  <c r="J235" i="3"/>
  <c r="O234" i="3"/>
  <c r="M234" i="3"/>
  <c r="N234" i="3" s="1"/>
  <c r="L234" i="3"/>
  <c r="K234" i="3"/>
  <c r="J234" i="3"/>
  <c r="O233" i="3"/>
  <c r="M233" i="3"/>
  <c r="N233" i="3" s="1"/>
  <c r="L233" i="3"/>
  <c r="K233" i="3"/>
  <c r="J233" i="3"/>
  <c r="O232" i="3"/>
  <c r="M232" i="3"/>
  <c r="N232" i="3" s="1"/>
  <c r="L232" i="3"/>
  <c r="K232" i="3"/>
  <c r="J232" i="3"/>
  <c r="O231" i="3"/>
  <c r="M231" i="3"/>
  <c r="N231" i="3" s="1"/>
  <c r="L231" i="3"/>
  <c r="K231" i="3"/>
  <c r="J231" i="3"/>
  <c r="O230" i="3"/>
  <c r="M230" i="3"/>
  <c r="N230" i="3" s="1"/>
  <c r="L230" i="3"/>
  <c r="K230" i="3"/>
  <c r="J230" i="3"/>
  <c r="O229" i="3"/>
  <c r="M229" i="3"/>
  <c r="N229" i="3" s="1"/>
  <c r="L229" i="3"/>
  <c r="K229" i="3"/>
  <c r="J229" i="3"/>
  <c r="O228" i="3"/>
  <c r="M228" i="3"/>
  <c r="N228" i="3" s="1"/>
  <c r="L228" i="3"/>
  <c r="K228" i="3"/>
  <c r="J228" i="3"/>
  <c r="O227" i="3"/>
  <c r="M227" i="3"/>
  <c r="N227" i="3" s="1"/>
  <c r="L227" i="3"/>
  <c r="K227" i="3"/>
  <c r="J227" i="3"/>
  <c r="O226" i="3"/>
  <c r="M226" i="3"/>
  <c r="N226" i="3" s="1"/>
  <c r="L226" i="3"/>
  <c r="K226" i="3"/>
  <c r="J226" i="3"/>
  <c r="O225" i="3"/>
  <c r="M225" i="3"/>
  <c r="N225" i="3" s="1"/>
  <c r="L225" i="3"/>
  <c r="K225" i="3"/>
  <c r="J225" i="3"/>
  <c r="O224" i="3"/>
  <c r="M224" i="3"/>
  <c r="N224" i="3" s="1"/>
  <c r="L224" i="3"/>
  <c r="K224" i="3"/>
  <c r="J224" i="3"/>
  <c r="O223" i="3"/>
  <c r="M223" i="3"/>
  <c r="N223" i="3" s="1"/>
  <c r="L223" i="3"/>
  <c r="K223" i="3"/>
  <c r="J223" i="3"/>
  <c r="O222" i="3"/>
  <c r="M222" i="3"/>
  <c r="N222" i="3" s="1"/>
  <c r="L222" i="3"/>
  <c r="K222" i="3"/>
  <c r="J222" i="3"/>
  <c r="O221" i="3"/>
  <c r="M221" i="3"/>
  <c r="N221" i="3" s="1"/>
  <c r="L221" i="3"/>
  <c r="K221" i="3"/>
  <c r="J221" i="3"/>
  <c r="O220" i="3"/>
  <c r="M220" i="3"/>
  <c r="N220" i="3" s="1"/>
  <c r="L220" i="3"/>
  <c r="K220" i="3"/>
  <c r="J220" i="3"/>
  <c r="O219" i="3"/>
  <c r="M219" i="3"/>
  <c r="N219" i="3" s="1"/>
  <c r="L219" i="3"/>
  <c r="K219" i="3"/>
  <c r="J219" i="3"/>
  <c r="O218" i="3"/>
  <c r="M218" i="3"/>
  <c r="N218" i="3" s="1"/>
  <c r="L218" i="3"/>
  <c r="K218" i="3"/>
  <c r="J218" i="3"/>
  <c r="O217" i="3"/>
  <c r="M217" i="3"/>
  <c r="N217" i="3" s="1"/>
  <c r="L217" i="3"/>
  <c r="K217" i="3"/>
  <c r="J217" i="3"/>
  <c r="O216" i="3"/>
  <c r="M216" i="3"/>
  <c r="N216" i="3" s="1"/>
  <c r="L216" i="3"/>
  <c r="K216" i="3"/>
  <c r="J216" i="3"/>
  <c r="O215" i="3"/>
  <c r="M215" i="3"/>
  <c r="N215" i="3" s="1"/>
  <c r="L215" i="3"/>
  <c r="K215" i="3"/>
  <c r="J215" i="3"/>
  <c r="O214" i="3"/>
  <c r="M214" i="3"/>
  <c r="N214" i="3" s="1"/>
  <c r="L214" i="3"/>
  <c r="K214" i="3"/>
  <c r="J214" i="3"/>
  <c r="O213" i="3"/>
  <c r="M213" i="3"/>
  <c r="N213" i="3" s="1"/>
  <c r="L213" i="3"/>
  <c r="K213" i="3"/>
  <c r="J213" i="3"/>
  <c r="O212" i="3"/>
  <c r="M212" i="3"/>
  <c r="N212" i="3" s="1"/>
  <c r="L212" i="3"/>
  <c r="K212" i="3"/>
  <c r="J212" i="3"/>
  <c r="O211" i="3"/>
  <c r="M211" i="3"/>
  <c r="N211" i="3" s="1"/>
  <c r="L211" i="3"/>
  <c r="K211" i="3"/>
  <c r="J211" i="3"/>
  <c r="O210" i="3"/>
  <c r="M210" i="3"/>
  <c r="N210" i="3" s="1"/>
  <c r="L210" i="3"/>
  <c r="K210" i="3"/>
  <c r="J210" i="3"/>
  <c r="O209" i="3"/>
  <c r="M209" i="3"/>
  <c r="N209" i="3" s="1"/>
  <c r="L209" i="3"/>
  <c r="K209" i="3"/>
  <c r="J209" i="3"/>
  <c r="O208" i="3"/>
  <c r="M208" i="3"/>
  <c r="N208" i="3" s="1"/>
  <c r="L208" i="3"/>
  <c r="K208" i="3"/>
  <c r="J208" i="3"/>
  <c r="O207" i="3"/>
  <c r="M207" i="3"/>
  <c r="N207" i="3" s="1"/>
  <c r="L207" i="3"/>
  <c r="K207" i="3"/>
  <c r="J207" i="3"/>
  <c r="O206" i="3"/>
  <c r="M206" i="3"/>
  <c r="N206" i="3" s="1"/>
  <c r="L206" i="3"/>
  <c r="K206" i="3"/>
  <c r="J206" i="3"/>
  <c r="O205" i="3"/>
  <c r="M205" i="3"/>
  <c r="N205" i="3" s="1"/>
  <c r="L205" i="3"/>
  <c r="K205" i="3"/>
  <c r="J205" i="3"/>
  <c r="O204" i="3"/>
  <c r="M204" i="3"/>
  <c r="N204" i="3" s="1"/>
  <c r="L204" i="3"/>
  <c r="K204" i="3"/>
  <c r="J204" i="3"/>
  <c r="O203" i="3"/>
  <c r="M203" i="3"/>
  <c r="N203" i="3" s="1"/>
  <c r="L203" i="3"/>
  <c r="K203" i="3"/>
  <c r="J203" i="3"/>
  <c r="O202" i="3"/>
  <c r="M202" i="3"/>
  <c r="N202" i="3" s="1"/>
  <c r="L202" i="3"/>
  <c r="K202" i="3"/>
  <c r="J202" i="3"/>
  <c r="O201" i="3"/>
  <c r="M201" i="3"/>
  <c r="N201" i="3" s="1"/>
  <c r="L201" i="3"/>
  <c r="K201" i="3"/>
  <c r="J201" i="3"/>
  <c r="O200" i="3"/>
  <c r="M200" i="3"/>
  <c r="N200" i="3" s="1"/>
  <c r="L200" i="3"/>
  <c r="K200" i="3"/>
  <c r="J200" i="3"/>
  <c r="O199" i="3"/>
  <c r="M199" i="3"/>
  <c r="N199" i="3" s="1"/>
  <c r="L199" i="3"/>
  <c r="K199" i="3"/>
  <c r="J199" i="3"/>
  <c r="O198" i="3"/>
  <c r="M198" i="3"/>
  <c r="N198" i="3" s="1"/>
  <c r="L198" i="3"/>
  <c r="K198" i="3"/>
  <c r="J198" i="3"/>
  <c r="O197" i="3"/>
  <c r="M197" i="3"/>
  <c r="N197" i="3" s="1"/>
  <c r="L197" i="3"/>
  <c r="K197" i="3"/>
  <c r="J197" i="3"/>
  <c r="O196" i="3"/>
  <c r="N196" i="3"/>
  <c r="M196" i="3"/>
  <c r="L196" i="3"/>
  <c r="K196" i="3"/>
  <c r="J196" i="3"/>
  <c r="O195" i="3"/>
  <c r="M195" i="3"/>
  <c r="N195" i="3" s="1"/>
  <c r="L195" i="3"/>
  <c r="K195" i="3"/>
  <c r="J195" i="3"/>
  <c r="O194" i="3"/>
  <c r="N194" i="3"/>
  <c r="M194" i="3"/>
  <c r="L194" i="3"/>
  <c r="K194" i="3"/>
  <c r="J194" i="3"/>
  <c r="O193" i="3"/>
  <c r="M193" i="3"/>
  <c r="N193" i="3" s="1"/>
  <c r="L193" i="3"/>
  <c r="K193" i="3"/>
  <c r="J193" i="3"/>
  <c r="O192" i="3"/>
  <c r="M192" i="3"/>
  <c r="N192" i="3" s="1"/>
  <c r="L192" i="3"/>
  <c r="K192" i="3"/>
  <c r="J192" i="3"/>
  <c r="O191" i="3"/>
  <c r="M191" i="3"/>
  <c r="N191" i="3" s="1"/>
  <c r="L191" i="3"/>
  <c r="K191" i="3"/>
  <c r="J191" i="3"/>
  <c r="O190" i="3"/>
  <c r="M190" i="3"/>
  <c r="N190" i="3" s="1"/>
  <c r="L190" i="3"/>
  <c r="K190" i="3"/>
  <c r="J190" i="3"/>
  <c r="O189" i="3"/>
  <c r="M189" i="3"/>
  <c r="N189" i="3" s="1"/>
  <c r="L189" i="3"/>
  <c r="K189" i="3"/>
  <c r="J189" i="3"/>
  <c r="O188" i="3"/>
  <c r="N188" i="3"/>
  <c r="M188" i="3"/>
  <c r="L188" i="3"/>
  <c r="K188" i="3"/>
  <c r="J188" i="3"/>
  <c r="O187" i="3"/>
  <c r="M187" i="3"/>
  <c r="N187" i="3" s="1"/>
  <c r="L187" i="3"/>
  <c r="K187" i="3"/>
  <c r="J187" i="3"/>
  <c r="O186" i="3"/>
  <c r="N186" i="3"/>
  <c r="M186" i="3"/>
  <c r="L186" i="3"/>
  <c r="K186" i="3"/>
  <c r="J186" i="3"/>
  <c r="O185" i="3"/>
  <c r="M185" i="3"/>
  <c r="N185" i="3" s="1"/>
  <c r="L185" i="3"/>
  <c r="K185" i="3"/>
  <c r="J185" i="3"/>
  <c r="O184" i="3"/>
  <c r="M184" i="3"/>
  <c r="N184" i="3" s="1"/>
  <c r="L184" i="3"/>
  <c r="K184" i="3"/>
  <c r="J184" i="3"/>
  <c r="O183" i="3"/>
  <c r="M183" i="3"/>
  <c r="N183" i="3" s="1"/>
  <c r="L183" i="3"/>
  <c r="K183" i="3"/>
  <c r="J183" i="3"/>
  <c r="O182" i="3"/>
  <c r="M182" i="3"/>
  <c r="N182" i="3" s="1"/>
  <c r="L182" i="3"/>
  <c r="K182" i="3"/>
  <c r="J182" i="3"/>
  <c r="O181" i="3"/>
  <c r="M181" i="3"/>
  <c r="N181" i="3" s="1"/>
  <c r="L181" i="3"/>
  <c r="K181" i="3"/>
  <c r="J181" i="3"/>
  <c r="O180" i="3"/>
  <c r="N180" i="3"/>
  <c r="M180" i="3"/>
  <c r="L180" i="3"/>
  <c r="K180" i="3"/>
  <c r="J180" i="3"/>
  <c r="O179" i="3"/>
  <c r="M179" i="3"/>
  <c r="N179" i="3" s="1"/>
  <c r="L179" i="3"/>
  <c r="K179" i="3"/>
  <c r="J179" i="3"/>
  <c r="O178" i="3"/>
  <c r="N178" i="3"/>
  <c r="M178" i="3"/>
  <c r="L178" i="3"/>
  <c r="K178" i="3"/>
  <c r="J178" i="3"/>
  <c r="O177" i="3"/>
  <c r="M177" i="3"/>
  <c r="N177" i="3" s="1"/>
  <c r="L177" i="3"/>
  <c r="K177" i="3"/>
  <c r="J177" i="3"/>
  <c r="O176" i="3"/>
  <c r="M176" i="3"/>
  <c r="N176" i="3" s="1"/>
  <c r="L176" i="3"/>
  <c r="K176" i="3"/>
  <c r="J176" i="3"/>
  <c r="O175" i="3"/>
  <c r="M175" i="3"/>
  <c r="N175" i="3" s="1"/>
  <c r="L175" i="3"/>
  <c r="K175" i="3"/>
  <c r="J175" i="3"/>
  <c r="O174" i="3"/>
  <c r="M174" i="3"/>
  <c r="N174" i="3" s="1"/>
  <c r="L174" i="3"/>
  <c r="K174" i="3"/>
  <c r="J174" i="3"/>
  <c r="O173" i="3"/>
  <c r="M173" i="3"/>
  <c r="N173" i="3" s="1"/>
  <c r="L173" i="3"/>
  <c r="K173" i="3"/>
  <c r="J173" i="3"/>
  <c r="O172" i="3"/>
  <c r="N172" i="3"/>
  <c r="M172" i="3"/>
  <c r="L172" i="3"/>
  <c r="K172" i="3"/>
  <c r="J172" i="3"/>
  <c r="O171" i="3"/>
  <c r="M171" i="3"/>
  <c r="N171" i="3" s="1"/>
  <c r="L171" i="3"/>
  <c r="K171" i="3"/>
  <c r="J171" i="3"/>
  <c r="O170" i="3"/>
  <c r="N170" i="3"/>
  <c r="M170" i="3"/>
  <c r="L170" i="3"/>
  <c r="K170" i="3"/>
  <c r="J170" i="3"/>
  <c r="O169" i="3"/>
  <c r="M169" i="3"/>
  <c r="N169" i="3" s="1"/>
  <c r="L169" i="3"/>
  <c r="K169" i="3"/>
  <c r="J169" i="3"/>
  <c r="O168" i="3"/>
  <c r="M168" i="3"/>
  <c r="N168" i="3" s="1"/>
  <c r="L168" i="3"/>
  <c r="K168" i="3"/>
  <c r="J168" i="3"/>
  <c r="O167" i="3"/>
  <c r="M167" i="3"/>
  <c r="N167" i="3" s="1"/>
  <c r="L167" i="3"/>
  <c r="K167" i="3"/>
  <c r="J167" i="3"/>
  <c r="O166" i="3"/>
  <c r="M166" i="3"/>
  <c r="N166" i="3" s="1"/>
  <c r="L166" i="3"/>
  <c r="K166" i="3"/>
  <c r="J166" i="3"/>
  <c r="O165" i="3"/>
  <c r="M165" i="3"/>
  <c r="N165" i="3" s="1"/>
  <c r="L165" i="3"/>
  <c r="K165" i="3"/>
  <c r="J165" i="3"/>
  <c r="O164" i="3"/>
  <c r="N164" i="3"/>
  <c r="M164" i="3"/>
  <c r="L164" i="3"/>
  <c r="K164" i="3"/>
  <c r="J164" i="3"/>
  <c r="O163" i="3"/>
  <c r="M163" i="3"/>
  <c r="N163" i="3" s="1"/>
  <c r="L163" i="3"/>
  <c r="K163" i="3"/>
  <c r="J163" i="3"/>
  <c r="O162" i="3"/>
  <c r="N162" i="3"/>
  <c r="M162" i="3"/>
  <c r="L162" i="3"/>
  <c r="K162" i="3"/>
  <c r="J162" i="3"/>
  <c r="O161" i="3"/>
  <c r="M161" i="3"/>
  <c r="N161" i="3" s="1"/>
  <c r="L161" i="3"/>
  <c r="K161" i="3"/>
  <c r="J161" i="3"/>
  <c r="O160" i="3"/>
  <c r="M160" i="3"/>
  <c r="N160" i="3" s="1"/>
  <c r="L160" i="3"/>
  <c r="K160" i="3"/>
  <c r="J160" i="3"/>
  <c r="O159" i="3"/>
  <c r="M159" i="3"/>
  <c r="N159" i="3" s="1"/>
  <c r="L159" i="3"/>
  <c r="K159" i="3"/>
  <c r="J159" i="3"/>
  <c r="O158" i="3"/>
  <c r="M158" i="3"/>
  <c r="N158" i="3" s="1"/>
  <c r="L158" i="3"/>
  <c r="K158" i="3"/>
  <c r="J158" i="3"/>
  <c r="O157" i="3"/>
  <c r="M157" i="3"/>
  <c r="N157" i="3" s="1"/>
  <c r="L157" i="3"/>
  <c r="K157" i="3"/>
  <c r="J157" i="3"/>
  <c r="O156" i="3"/>
  <c r="N156" i="3"/>
  <c r="M156" i="3"/>
  <c r="L156" i="3"/>
  <c r="K156" i="3"/>
  <c r="J156" i="3"/>
  <c r="O155" i="3"/>
  <c r="M155" i="3"/>
  <c r="N155" i="3" s="1"/>
  <c r="L155" i="3"/>
  <c r="K155" i="3"/>
  <c r="J155" i="3"/>
  <c r="O154" i="3"/>
  <c r="N154" i="3"/>
  <c r="M154" i="3"/>
  <c r="L154" i="3"/>
  <c r="K154" i="3"/>
  <c r="J154" i="3"/>
  <c r="O153" i="3"/>
  <c r="M153" i="3"/>
  <c r="N153" i="3" s="1"/>
  <c r="L153" i="3"/>
  <c r="K153" i="3"/>
  <c r="J153" i="3"/>
  <c r="O152" i="3"/>
  <c r="M152" i="3"/>
  <c r="N152" i="3" s="1"/>
  <c r="L152" i="3"/>
  <c r="K152" i="3"/>
  <c r="J152" i="3"/>
  <c r="O151" i="3"/>
  <c r="M151" i="3"/>
  <c r="N151" i="3" s="1"/>
  <c r="L151" i="3"/>
  <c r="K151" i="3"/>
  <c r="J151" i="3"/>
  <c r="O150" i="3"/>
  <c r="M150" i="3"/>
  <c r="N150" i="3" s="1"/>
  <c r="L150" i="3"/>
  <c r="K150" i="3"/>
  <c r="J150" i="3"/>
  <c r="O149" i="3"/>
  <c r="M149" i="3"/>
  <c r="N149" i="3" s="1"/>
  <c r="L149" i="3"/>
  <c r="K149" i="3"/>
  <c r="J149" i="3"/>
  <c r="O148" i="3"/>
  <c r="N148" i="3"/>
  <c r="M148" i="3"/>
  <c r="L148" i="3"/>
  <c r="K148" i="3"/>
  <c r="J148" i="3"/>
  <c r="O147" i="3"/>
  <c r="M147" i="3"/>
  <c r="N147" i="3" s="1"/>
  <c r="L147" i="3"/>
  <c r="K147" i="3"/>
  <c r="J147" i="3"/>
  <c r="O146" i="3"/>
  <c r="N146" i="3"/>
  <c r="M146" i="3"/>
  <c r="L146" i="3"/>
  <c r="K146" i="3"/>
  <c r="J146" i="3"/>
  <c r="O145" i="3"/>
  <c r="M145" i="3"/>
  <c r="N145" i="3" s="1"/>
  <c r="L145" i="3"/>
  <c r="K145" i="3"/>
  <c r="J145" i="3"/>
  <c r="O144" i="3"/>
  <c r="M144" i="3"/>
  <c r="N144" i="3" s="1"/>
  <c r="L144" i="3"/>
  <c r="K144" i="3"/>
  <c r="J144" i="3"/>
  <c r="O143" i="3"/>
  <c r="M143" i="3"/>
  <c r="N143" i="3" s="1"/>
  <c r="L143" i="3"/>
  <c r="K143" i="3"/>
  <c r="J143" i="3"/>
  <c r="O142" i="3"/>
  <c r="M142" i="3"/>
  <c r="N142" i="3" s="1"/>
  <c r="L142" i="3"/>
  <c r="K142" i="3"/>
  <c r="J142" i="3"/>
  <c r="O141" i="3"/>
  <c r="M141" i="3"/>
  <c r="N141" i="3" s="1"/>
  <c r="L141" i="3"/>
  <c r="K141" i="3"/>
  <c r="J141" i="3"/>
  <c r="O140" i="3"/>
  <c r="N140" i="3"/>
  <c r="M140" i="3"/>
  <c r="L140" i="3"/>
  <c r="K140" i="3"/>
  <c r="J140" i="3"/>
  <c r="O139" i="3"/>
  <c r="M139" i="3"/>
  <c r="N139" i="3" s="1"/>
  <c r="L139" i="3"/>
  <c r="K139" i="3"/>
  <c r="J139" i="3"/>
  <c r="O138" i="3"/>
  <c r="N138" i="3"/>
  <c r="M138" i="3"/>
  <c r="L138" i="3"/>
  <c r="K138" i="3"/>
  <c r="J138" i="3"/>
  <c r="O137" i="3"/>
  <c r="M137" i="3"/>
  <c r="N137" i="3" s="1"/>
  <c r="L137" i="3"/>
  <c r="K137" i="3"/>
  <c r="J137" i="3"/>
  <c r="O136" i="3"/>
  <c r="M136" i="3"/>
  <c r="N136" i="3" s="1"/>
  <c r="L136" i="3"/>
  <c r="K136" i="3"/>
  <c r="J136" i="3"/>
  <c r="O135" i="3"/>
  <c r="M135" i="3"/>
  <c r="N135" i="3" s="1"/>
  <c r="L135" i="3"/>
  <c r="K135" i="3"/>
  <c r="J135" i="3"/>
  <c r="O134" i="3"/>
  <c r="M134" i="3"/>
  <c r="N134" i="3" s="1"/>
  <c r="L134" i="3"/>
  <c r="K134" i="3"/>
  <c r="J134" i="3"/>
  <c r="O133" i="3"/>
  <c r="M133" i="3"/>
  <c r="N133" i="3" s="1"/>
  <c r="L133" i="3"/>
  <c r="K133" i="3"/>
  <c r="J133" i="3"/>
  <c r="O132" i="3"/>
  <c r="N132" i="3"/>
  <c r="M132" i="3"/>
  <c r="L132" i="3"/>
  <c r="K132" i="3"/>
  <c r="J132" i="3"/>
  <c r="O131" i="3"/>
  <c r="M131" i="3"/>
  <c r="N131" i="3" s="1"/>
  <c r="L131" i="3"/>
  <c r="K131" i="3"/>
  <c r="J131" i="3"/>
  <c r="O130" i="3"/>
  <c r="N130" i="3"/>
  <c r="M130" i="3"/>
  <c r="L130" i="3"/>
  <c r="K130" i="3"/>
  <c r="J130" i="3"/>
  <c r="O129" i="3"/>
  <c r="M129" i="3"/>
  <c r="N129" i="3" s="1"/>
  <c r="L129" i="3"/>
  <c r="K129" i="3"/>
  <c r="J129" i="3"/>
  <c r="O128" i="3"/>
  <c r="M128" i="3"/>
  <c r="N128" i="3" s="1"/>
  <c r="L128" i="3"/>
  <c r="K128" i="3"/>
  <c r="J128" i="3"/>
  <c r="O127" i="3"/>
  <c r="M127" i="3"/>
  <c r="N127" i="3" s="1"/>
  <c r="L127" i="3"/>
  <c r="K127" i="3"/>
  <c r="J127" i="3"/>
  <c r="O126" i="3"/>
  <c r="M126" i="3"/>
  <c r="N126" i="3" s="1"/>
  <c r="L126" i="3"/>
  <c r="K126" i="3"/>
  <c r="J126" i="3"/>
  <c r="O125" i="3"/>
  <c r="M125" i="3"/>
  <c r="N125" i="3" s="1"/>
  <c r="L125" i="3"/>
  <c r="K125" i="3"/>
  <c r="J125" i="3"/>
  <c r="O124" i="3"/>
  <c r="N124" i="3"/>
  <c r="M124" i="3"/>
  <c r="L124" i="3"/>
  <c r="K124" i="3"/>
  <c r="J124" i="3"/>
  <c r="O123" i="3"/>
  <c r="M123" i="3"/>
  <c r="N123" i="3" s="1"/>
  <c r="L123" i="3"/>
  <c r="K123" i="3"/>
  <c r="J123" i="3"/>
  <c r="O122" i="3"/>
  <c r="N122" i="3"/>
  <c r="M122" i="3"/>
  <c r="L122" i="3"/>
  <c r="K122" i="3"/>
  <c r="J122" i="3"/>
  <c r="O121" i="3"/>
  <c r="M121" i="3"/>
  <c r="N121" i="3" s="1"/>
  <c r="L121" i="3"/>
  <c r="K121" i="3"/>
  <c r="J121" i="3"/>
  <c r="O120" i="3"/>
  <c r="M120" i="3"/>
  <c r="N120" i="3" s="1"/>
  <c r="L120" i="3"/>
  <c r="K120" i="3"/>
  <c r="J120" i="3"/>
  <c r="O119" i="3"/>
  <c r="M119" i="3"/>
  <c r="N119" i="3" s="1"/>
  <c r="L119" i="3"/>
  <c r="K119" i="3"/>
  <c r="J119" i="3"/>
  <c r="O118" i="3"/>
  <c r="M118" i="3"/>
  <c r="N118" i="3" s="1"/>
  <c r="L118" i="3"/>
  <c r="K118" i="3"/>
  <c r="J118" i="3"/>
  <c r="O117" i="3"/>
  <c r="M117" i="3"/>
  <c r="N117" i="3" s="1"/>
  <c r="L117" i="3"/>
  <c r="K117" i="3"/>
  <c r="J117" i="3"/>
  <c r="O116" i="3"/>
  <c r="N116" i="3"/>
  <c r="M116" i="3"/>
  <c r="L116" i="3"/>
  <c r="K116" i="3"/>
  <c r="J116" i="3"/>
  <c r="O115" i="3"/>
  <c r="M115" i="3"/>
  <c r="N115" i="3" s="1"/>
  <c r="L115" i="3"/>
  <c r="K115" i="3"/>
  <c r="J115" i="3"/>
  <c r="O114" i="3"/>
  <c r="N114" i="3"/>
  <c r="M114" i="3"/>
  <c r="L114" i="3"/>
  <c r="K114" i="3"/>
  <c r="J114" i="3"/>
  <c r="O113" i="3"/>
  <c r="M113" i="3"/>
  <c r="N113" i="3" s="1"/>
  <c r="L113" i="3"/>
  <c r="K113" i="3"/>
  <c r="J113" i="3"/>
  <c r="O112" i="3"/>
  <c r="M112" i="3"/>
  <c r="N112" i="3" s="1"/>
  <c r="L112" i="3"/>
  <c r="K112" i="3"/>
  <c r="J112" i="3"/>
  <c r="O111" i="3"/>
  <c r="M111" i="3"/>
  <c r="N111" i="3" s="1"/>
  <c r="L111" i="3"/>
  <c r="K111" i="3"/>
  <c r="J111" i="3"/>
  <c r="O110" i="3"/>
  <c r="M110" i="3"/>
  <c r="N110" i="3" s="1"/>
  <c r="L110" i="3"/>
  <c r="K110" i="3"/>
  <c r="J110" i="3"/>
  <c r="O109" i="3"/>
  <c r="M109" i="3"/>
  <c r="N109" i="3" s="1"/>
  <c r="L109" i="3"/>
  <c r="K109" i="3"/>
  <c r="J109" i="3"/>
  <c r="O108" i="3"/>
  <c r="N108" i="3"/>
  <c r="M108" i="3"/>
  <c r="L108" i="3"/>
  <c r="K108" i="3"/>
  <c r="J108" i="3"/>
  <c r="O107" i="3"/>
  <c r="M107" i="3"/>
  <c r="N107" i="3" s="1"/>
  <c r="L107" i="3"/>
  <c r="K107" i="3"/>
  <c r="J107" i="3"/>
  <c r="O106" i="3"/>
  <c r="N106" i="3"/>
  <c r="M106" i="3"/>
  <c r="L106" i="3"/>
  <c r="K106" i="3"/>
  <c r="J106" i="3"/>
  <c r="O105" i="3"/>
  <c r="M105" i="3"/>
  <c r="N105" i="3" s="1"/>
  <c r="L105" i="3"/>
  <c r="K105" i="3"/>
  <c r="J105" i="3"/>
  <c r="O104" i="3"/>
  <c r="M104" i="3"/>
  <c r="N104" i="3" s="1"/>
  <c r="L104" i="3"/>
  <c r="K104" i="3"/>
  <c r="J104" i="3"/>
  <c r="O103" i="3"/>
  <c r="M103" i="3"/>
  <c r="N103" i="3" s="1"/>
  <c r="L103" i="3"/>
  <c r="K103" i="3"/>
  <c r="J103" i="3"/>
  <c r="O102" i="3"/>
  <c r="M102" i="3"/>
  <c r="N102" i="3" s="1"/>
  <c r="L102" i="3"/>
  <c r="K102" i="3"/>
  <c r="J102" i="3"/>
  <c r="O101" i="3"/>
  <c r="M101" i="3"/>
  <c r="N101" i="3" s="1"/>
  <c r="L101" i="3"/>
  <c r="K101" i="3"/>
  <c r="J101" i="3"/>
  <c r="O100" i="3"/>
  <c r="N100" i="3"/>
  <c r="M100" i="3"/>
  <c r="L100" i="3"/>
  <c r="K100" i="3"/>
  <c r="J100" i="3"/>
  <c r="O99" i="3"/>
  <c r="M99" i="3"/>
  <c r="N99" i="3" s="1"/>
  <c r="L99" i="3"/>
  <c r="K99" i="3"/>
  <c r="J99" i="3"/>
  <c r="O98" i="3"/>
  <c r="N98" i="3"/>
  <c r="M98" i="3"/>
  <c r="L98" i="3"/>
  <c r="K98" i="3"/>
  <c r="J98" i="3"/>
  <c r="O97" i="3"/>
  <c r="M97" i="3"/>
  <c r="N97" i="3" s="1"/>
  <c r="L97" i="3"/>
  <c r="K97" i="3"/>
  <c r="J97" i="3"/>
  <c r="O96" i="3"/>
  <c r="M96" i="3"/>
  <c r="N96" i="3" s="1"/>
  <c r="L96" i="3"/>
  <c r="K96" i="3"/>
  <c r="J96" i="3"/>
  <c r="O95" i="3"/>
  <c r="M95" i="3"/>
  <c r="N95" i="3" s="1"/>
  <c r="L95" i="3"/>
  <c r="K95" i="3"/>
  <c r="J95" i="3"/>
  <c r="O94" i="3"/>
  <c r="M94" i="3"/>
  <c r="N94" i="3" s="1"/>
  <c r="L94" i="3"/>
  <c r="K94" i="3"/>
  <c r="J94" i="3"/>
  <c r="O93" i="3"/>
  <c r="M93" i="3"/>
  <c r="N93" i="3" s="1"/>
  <c r="L93" i="3"/>
  <c r="K93" i="3"/>
  <c r="J93" i="3"/>
  <c r="O92" i="3"/>
  <c r="N92" i="3"/>
  <c r="M92" i="3"/>
  <c r="L92" i="3"/>
  <c r="K92" i="3"/>
  <c r="J92" i="3"/>
  <c r="O91" i="3"/>
  <c r="M91" i="3"/>
  <c r="N91" i="3" s="1"/>
  <c r="L91" i="3"/>
  <c r="K91" i="3"/>
  <c r="J91" i="3"/>
  <c r="O90" i="3"/>
  <c r="N90" i="3"/>
  <c r="M90" i="3"/>
  <c r="L90" i="3"/>
  <c r="K90" i="3"/>
  <c r="J90" i="3"/>
  <c r="O89" i="3"/>
  <c r="M89" i="3"/>
  <c r="N89" i="3" s="1"/>
  <c r="L89" i="3"/>
  <c r="K89" i="3"/>
  <c r="J89" i="3"/>
  <c r="O88" i="3"/>
  <c r="M88" i="3"/>
  <c r="N88" i="3" s="1"/>
  <c r="L88" i="3"/>
  <c r="K88" i="3"/>
  <c r="J88" i="3"/>
  <c r="O87" i="3"/>
  <c r="M87" i="3"/>
  <c r="N87" i="3" s="1"/>
  <c r="L87" i="3"/>
  <c r="K87" i="3"/>
  <c r="J87" i="3"/>
  <c r="O86" i="3"/>
  <c r="M86" i="3"/>
  <c r="N86" i="3" s="1"/>
  <c r="L86" i="3"/>
  <c r="K86" i="3"/>
  <c r="J86" i="3"/>
  <c r="O85" i="3"/>
  <c r="M85" i="3"/>
  <c r="N85" i="3" s="1"/>
  <c r="L85" i="3"/>
  <c r="K85" i="3"/>
  <c r="J85" i="3"/>
  <c r="O84" i="3"/>
  <c r="N84" i="3"/>
  <c r="M84" i="3"/>
  <c r="L84" i="3"/>
  <c r="K84" i="3"/>
  <c r="J84" i="3"/>
  <c r="O83" i="3"/>
  <c r="M83" i="3"/>
  <c r="N83" i="3" s="1"/>
  <c r="L83" i="3"/>
  <c r="K83" i="3"/>
  <c r="J83" i="3"/>
  <c r="O82" i="3"/>
  <c r="N82" i="3"/>
  <c r="M82" i="3"/>
  <c r="L82" i="3"/>
  <c r="K82" i="3"/>
  <c r="J82" i="3"/>
  <c r="O81" i="3"/>
  <c r="M81" i="3"/>
  <c r="N81" i="3" s="1"/>
  <c r="L81" i="3"/>
  <c r="K81" i="3"/>
  <c r="J81" i="3"/>
  <c r="O80" i="3"/>
  <c r="M80" i="3"/>
  <c r="N80" i="3" s="1"/>
  <c r="L80" i="3"/>
  <c r="K80" i="3"/>
  <c r="J80" i="3"/>
  <c r="O79" i="3"/>
  <c r="M79" i="3"/>
  <c r="N79" i="3" s="1"/>
  <c r="L79" i="3"/>
  <c r="K79" i="3"/>
  <c r="J79" i="3"/>
  <c r="O78" i="3"/>
  <c r="M78" i="3"/>
  <c r="N78" i="3" s="1"/>
  <c r="L78" i="3"/>
  <c r="K78" i="3"/>
  <c r="J78" i="3"/>
  <c r="O77" i="3"/>
  <c r="M77" i="3"/>
  <c r="N77" i="3" s="1"/>
  <c r="L77" i="3"/>
  <c r="K77" i="3"/>
  <c r="J77" i="3"/>
  <c r="O76" i="3"/>
  <c r="N76" i="3"/>
  <c r="M76" i="3"/>
  <c r="L76" i="3"/>
  <c r="K76" i="3"/>
  <c r="J76" i="3"/>
  <c r="O75" i="3"/>
  <c r="M75" i="3"/>
  <c r="N75" i="3" s="1"/>
  <c r="L75" i="3"/>
  <c r="K75" i="3"/>
  <c r="J75" i="3"/>
  <c r="O74" i="3"/>
  <c r="N74" i="3"/>
  <c r="M74" i="3"/>
  <c r="L74" i="3"/>
  <c r="K74" i="3"/>
  <c r="J74" i="3"/>
  <c r="O73" i="3"/>
  <c r="M73" i="3"/>
  <c r="N73" i="3" s="1"/>
  <c r="L73" i="3"/>
  <c r="K73" i="3"/>
  <c r="J73" i="3"/>
  <c r="O72" i="3"/>
  <c r="M72" i="3"/>
  <c r="N72" i="3" s="1"/>
  <c r="L72" i="3"/>
  <c r="K72" i="3"/>
  <c r="J72" i="3"/>
  <c r="O71" i="3"/>
  <c r="M71" i="3"/>
  <c r="N71" i="3" s="1"/>
  <c r="L71" i="3"/>
  <c r="K71" i="3"/>
  <c r="J71" i="3"/>
  <c r="O70" i="3"/>
  <c r="M70" i="3"/>
  <c r="N70" i="3" s="1"/>
  <c r="L70" i="3"/>
  <c r="K70" i="3"/>
  <c r="J70" i="3"/>
  <c r="O69" i="3"/>
  <c r="M69" i="3"/>
  <c r="N69" i="3" s="1"/>
  <c r="L69" i="3"/>
  <c r="K69" i="3"/>
  <c r="J69" i="3"/>
  <c r="O68" i="3"/>
  <c r="N68" i="3"/>
  <c r="M68" i="3"/>
  <c r="L68" i="3"/>
  <c r="K68" i="3"/>
  <c r="J68" i="3"/>
  <c r="O67" i="3"/>
  <c r="M67" i="3"/>
  <c r="N67" i="3" s="1"/>
  <c r="L67" i="3"/>
  <c r="K67" i="3"/>
  <c r="J67" i="3"/>
  <c r="O66" i="3"/>
  <c r="N66" i="3"/>
  <c r="M66" i="3"/>
  <c r="L66" i="3"/>
  <c r="K66" i="3"/>
  <c r="J66" i="3"/>
  <c r="O65" i="3"/>
  <c r="M65" i="3"/>
  <c r="N65" i="3" s="1"/>
  <c r="L65" i="3"/>
  <c r="K65" i="3"/>
  <c r="J65" i="3"/>
  <c r="O64" i="3"/>
  <c r="M64" i="3"/>
  <c r="N64" i="3" s="1"/>
  <c r="L64" i="3"/>
  <c r="K64" i="3"/>
  <c r="J64" i="3"/>
  <c r="O63" i="3"/>
  <c r="M63" i="3"/>
  <c r="N63" i="3" s="1"/>
  <c r="L63" i="3"/>
  <c r="K63" i="3"/>
  <c r="J63" i="3"/>
  <c r="O62" i="3"/>
  <c r="M62" i="3"/>
  <c r="N62" i="3" s="1"/>
  <c r="L62" i="3"/>
  <c r="K62" i="3"/>
  <c r="J62" i="3"/>
  <c r="O61" i="3"/>
  <c r="M61" i="3"/>
  <c r="N61" i="3" s="1"/>
  <c r="L61" i="3"/>
  <c r="K61" i="3"/>
  <c r="J61" i="3"/>
  <c r="O60" i="3"/>
  <c r="N60" i="3"/>
  <c r="M60" i="3"/>
  <c r="L60" i="3"/>
  <c r="K60" i="3"/>
  <c r="J60" i="3"/>
  <c r="O59" i="3"/>
  <c r="M59" i="3"/>
  <c r="N59" i="3" s="1"/>
  <c r="L59" i="3"/>
  <c r="K59" i="3"/>
  <c r="J59" i="3"/>
  <c r="O58" i="3"/>
  <c r="N58" i="3"/>
  <c r="M58" i="3"/>
  <c r="L58" i="3"/>
  <c r="K58" i="3"/>
  <c r="J58" i="3"/>
  <c r="O57" i="3"/>
  <c r="M57" i="3"/>
  <c r="N57" i="3" s="1"/>
  <c r="L57" i="3"/>
  <c r="K57" i="3"/>
  <c r="J57" i="3"/>
  <c r="O56" i="3"/>
  <c r="M56" i="3"/>
  <c r="N56" i="3" s="1"/>
  <c r="L56" i="3"/>
  <c r="K56" i="3"/>
  <c r="J56" i="3"/>
  <c r="O55" i="3"/>
  <c r="M55" i="3"/>
  <c r="N55" i="3" s="1"/>
  <c r="L55" i="3"/>
  <c r="K55" i="3"/>
  <c r="J55" i="3"/>
  <c r="O54" i="3"/>
  <c r="M54" i="3"/>
  <c r="N54" i="3" s="1"/>
  <c r="L54" i="3"/>
  <c r="K54" i="3"/>
  <c r="J54" i="3"/>
  <c r="O53" i="3"/>
  <c r="M53" i="3"/>
  <c r="N53" i="3" s="1"/>
  <c r="L53" i="3"/>
  <c r="K53" i="3"/>
  <c r="J53" i="3"/>
  <c r="O52" i="3"/>
  <c r="N52" i="3"/>
  <c r="M52" i="3"/>
  <c r="L52" i="3"/>
  <c r="K52" i="3"/>
  <c r="J52" i="3"/>
  <c r="O51" i="3"/>
  <c r="M51" i="3"/>
  <c r="N51" i="3" s="1"/>
  <c r="L51" i="3"/>
  <c r="K51" i="3"/>
  <c r="J51" i="3"/>
  <c r="O50" i="3"/>
  <c r="N50" i="3"/>
  <c r="M50" i="3"/>
  <c r="K50" i="3"/>
  <c r="J50" i="3"/>
  <c r="O49" i="3"/>
  <c r="N49" i="3"/>
  <c r="M49" i="3"/>
  <c r="K49" i="3"/>
  <c r="J49" i="3"/>
  <c r="O48" i="3"/>
  <c r="M48" i="3"/>
  <c r="N48" i="3" s="1"/>
  <c r="K48" i="3"/>
  <c r="J48" i="3"/>
  <c r="O47" i="3"/>
  <c r="M47" i="3"/>
  <c r="N47" i="3" s="1"/>
  <c r="K47" i="3"/>
  <c r="J47" i="3"/>
  <c r="O46" i="3"/>
  <c r="M46" i="3"/>
  <c r="N46" i="3" s="1"/>
  <c r="K46" i="3"/>
  <c r="J46" i="3"/>
  <c r="O45" i="3"/>
  <c r="N45" i="3"/>
  <c r="M45" i="3"/>
  <c r="K45" i="3"/>
  <c r="J45" i="3"/>
  <c r="O44" i="3"/>
  <c r="M44" i="3"/>
  <c r="N44" i="3" s="1"/>
  <c r="K44" i="3"/>
  <c r="J44" i="3"/>
  <c r="O43" i="3"/>
  <c r="N43" i="3"/>
  <c r="M43" i="3"/>
  <c r="K43" i="3"/>
  <c r="J43" i="3"/>
  <c r="O42" i="3"/>
  <c r="M42" i="3"/>
  <c r="N42" i="3" s="1"/>
  <c r="K42" i="3"/>
  <c r="J42" i="3"/>
  <c r="O41" i="3"/>
  <c r="N41" i="3"/>
  <c r="M41" i="3"/>
  <c r="K41" i="3"/>
  <c r="J41" i="3"/>
  <c r="O40" i="3"/>
  <c r="M40" i="3"/>
  <c r="N40" i="3" s="1"/>
  <c r="K40" i="3"/>
  <c r="J40" i="3"/>
  <c r="O39" i="3"/>
  <c r="N39" i="3"/>
  <c r="M39" i="3"/>
  <c r="K39" i="3"/>
  <c r="J39" i="3"/>
  <c r="O38" i="3"/>
  <c r="N38" i="3"/>
  <c r="M38" i="3"/>
  <c r="K38" i="3"/>
  <c r="J38" i="3"/>
  <c r="O37" i="3"/>
  <c r="N37" i="3"/>
  <c r="M37" i="3"/>
  <c r="K37" i="3"/>
  <c r="J37" i="3"/>
  <c r="O36" i="3"/>
  <c r="M36" i="3"/>
  <c r="N36" i="3" s="1"/>
  <c r="K36" i="3"/>
  <c r="J36" i="3"/>
  <c r="O35" i="3"/>
  <c r="M35" i="3"/>
  <c r="N35" i="3" s="1"/>
  <c r="K35" i="3"/>
  <c r="J35" i="3"/>
  <c r="O34" i="3"/>
  <c r="N34" i="3"/>
  <c r="M34" i="3"/>
  <c r="K34" i="3"/>
  <c r="J34" i="3"/>
  <c r="O33" i="3"/>
  <c r="N33" i="3"/>
  <c r="M33" i="3"/>
  <c r="K33" i="3"/>
  <c r="J33" i="3"/>
  <c r="O32" i="3"/>
  <c r="M32" i="3"/>
  <c r="N32" i="3" s="1"/>
  <c r="K32" i="3"/>
  <c r="J32" i="3"/>
  <c r="O31" i="3"/>
  <c r="M31" i="3"/>
  <c r="N31" i="3" s="1"/>
  <c r="K31" i="3"/>
  <c r="J31" i="3"/>
  <c r="O30" i="3"/>
  <c r="M30" i="3"/>
  <c r="N30" i="3" s="1"/>
  <c r="K30" i="3"/>
  <c r="J30" i="3"/>
  <c r="O29" i="3"/>
  <c r="N29" i="3"/>
  <c r="M29" i="3"/>
  <c r="K29" i="3"/>
  <c r="J29" i="3"/>
  <c r="O28" i="3"/>
  <c r="M28" i="3"/>
  <c r="N28" i="3" s="1"/>
  <c r="K28" i="3"/>
  <c r="J28" i="3"/>
  <c r="O27" i="3"/>
  <c r="N27" i="3"/>
  <c r="M27" i="3"/>
  <c r="K27" i="3"/>
  <c r="J27" i="3"/>
  <c r="O26" i="3"/>
  <c r="M26" i="3"/>
  <c r="N26" i="3" s="1"/>
  <c r="K26" i="3"/>
  <c r="J26" i="3"/>
  <c r="O25" i="3"/>
  <c r="N25" i="3"/>
  <c r="M25" i="3"/>
  <c r="K25" i="3"/>
  <c r="J25" i="3"/>
  <c r="O24" i="3"/>
  <c r="M24" i="3"/>
  <c r="N24" i="3" s="1"/>
  <c r="K24" i="3"/>
  <c r="J24" i="3"/>
  <c r="O23" i="3"/>
  <c r="N23" i="3"/>
  <c r="M23" i="3"/>
  <c r="K23" i="3"/>
  <c r="J23" i="3"/>
  <c r="O22" i="3"/>
  <c r="N22" i="3"/>
  <c r="M22" i="3"/>
  <c r="K22" i="3"/>
  <c r="J22" i="3"/>
  <c r="O21" i="3"/>
  <c r="M21" i="3"/>
  <c r="N21" i="3" s="1"/>
  <c r="K21" i="3"/>
  <c r="J21" i="3"/>
  <c r="O20" i="3"/>
  <c r="M20" i="3"/>
  <c r="N20" i="3" s="1"/>
  <c r="J20" i="3"/>
  <c r="O19" i="3"/>
  <c r="M19" i="3"/>
  <c r="N19" i="3" s="1"/>
  <c r="J19" i="3"/>
  <c r="O18" i="3"/>
  <c r="M18" i="3"/>
  <c r="N18" i="3" s="1"/>
  <c r="J18" i="3"/>
  <c r="O17" i="3"/>
  <c r="M17" i="3"/>
  <c r="N17" i="3" s="1"/>
  <c r="J17" i="3"/>
  <c r="O16" i="3"/>
  <c r="M16" i="3"/>
  <c r="N16" i="3" s="1"/>
  <c r="J16" i="3"/>
  <c r="O15" i="3"/>
  <c r="M15" i="3"/>
  <c r="N15" i="3" s="1"/>
  <c r="J15" i="3"/>
  <c r="O14" i="3"/>
  <c r="M14" i="3"/>
  <c r="N14" i="3" s="1"/>
  <c r="J14" i="3"/>
  <c r="O13" i="3"/>
  <c r="M13" i="3"/>
  <c r="N13" i="3" s="1"/>
  <c r="J13" i="3"/>
  <c r="O12" i="3"/>
  <c r="M12" i="3"/>
  <c r="N12" i="3" s="1"/>
  <c r="J12" i="3"/>
  <c r="O11" i="3"/>
  <c r="M11" i="3"/>
  <c r="N11" i="3" s="1"/>
  <c r="J11" i="3"/>
  <c r="O10" i="3"/>
  <c r="M10" i="3"/>
  <c r="N10" i="3" s="1"/>
  <c r="J10" i="3"/>
  <c r="O9" i="3"/>
  <c r="M9" i="3"/>
  <c r="N9" i="3" s="1"/>
  <c r="J9" i="3"/>
  <c r="O8" i="3"/>
  <c r="M8" i="3"/>
  <c r="N8" i="3" s="1"/>
  <c r="J8" i="3"/>
  <c r="O7" i="3"/>
  <c r="M7" i="3"/>
  <c r="N7" i="3" s="1"/>
  <c r="J7" i="3"/>
  <c r="O6" i="3"/>
  <c r="M6" i="3"/>
  <c r="N6" i="3" s="1"/>
  <c r="J6" i="3"/>
  <c r="O5" i="3"/>
  <c r="M5" i="3"/>
  <c r="N5" i="3" s="1"/>
  <c r="J5" i="3"/>
  <c r="O4" i="3"/>
  <c r="M4" i="3"/>
  <c r="N4" i="3" s="1"/>
  <c r="J4" i="3"/>
  <c r="O3" i="3"/>
  <c r="M3" i="3"/>
  <c r="N3" i="3" s="1"/>
  <c r="J3" i="3"/>
  <c r="O2" i="3"/>
  <c r="M2" i="3"/>
  <c r="N2" i="3" s="1"/>
  <c r="K8" i="2"/>
  <c r="K6" i="2"/>
  <c r="E2" i="4" l="1"/>
  <c r="M7" i="6"/>
  <c r="I7" i="6"/>
  <c r="E7" i="6"/>
  <c r="L7" i="6"/>
  <c r="K7" i="6"/>
  <c r="G7" i="6"/>
  <c r="C7" i="6"/>
  <c r="J7" i="6"/>
  <c r="F7" i="6"/>
  <c r="B7" i="6"/>
  <c r="H7" i="6"/>
  <c r="D7" i="6"/>
  <c r="E3" i="4"/>
  <c r="F2" i="4"/>
  <c r="D2" i="4"/>
  <c r="C2" i="4"/>
  <c r="G2" i="4"/>
  <c r="E5" i="4"/>
  <c r="M5" i="6"/>
  <c r="I5" i="6"/>
  <c r="E5" i="6"/>
  <c r="K5" i="6"/>
  <c r="G5" i="6"/>
  <c r="C5" i="6"/>
  <c r="J5" i="6"/>
  <c r="F5" i="6"/>
  <c r="B5" i="6"/>
  <c r="L5" i="6"/>
  <c r="H5" i="6"/>
  <c r="D5" i="6"/>
  <c r="G3" i="4"/>
  <c r="C3" i="4"/>
  <c r="F3" i="4"/>
  <c r="D3" i="4"/>
  <c r="M6" i="6"/>
  <c r="I6" i="6"/>
  <c r="E6" i="6"/>
  <c r="K6" i="6"/>
  <c r="G6" i="6"/>
  <c r="C6" i="6"/>
  <c r="J6" i="6"/>
  <c r="F6" i="6"/>
  <c r="B6" i="6"/>
  <c r="D6" i="6"/>
  <c r="L6" i="6"/>
  <c r="H6" i="6"/>
  <c r="D4" i="4"/>
  <c r="F4" i="4"/>
  <c r="C4" i="4"/>
  <c r="G4" i="4"/>
  <c r="E6" i="4"/>
  <c r="G7" i="4"/>
  <c r="C7" i="4"/>
  <c r="F7" i="4"/>
  <c r="D7" i="4"/>
  <c r="E7" i="4"/>
  <c r="F2" i="6"/>
  <c r="L2" i="6"/>
  <c r="D2" i="6"/>
  <c r="E8" i="4"/>
  <c r="G2" i="5"/>
  <c r="B38" i="5"/>
  <c r="G4" i="5"/>
  <c r="D38" i="5"/>
  <c r="I38" i="5"/>
  <c r="G9" i="5"/>
  <c r="G10" i="5"/>
  <c r="B39" i="5"/>
  <c r="G12" i="5"/>
  <c r="D39" i="5"/>
  <c r="I39" i="5"/>
  <c r="G17" i="5"/>
  <c r="G18" i="5"/>
  <c r="B40" i="5"/>
  <c r="G20" i="5"/>
  <c r="I40" i="5"/>
  <c r="G25" i="5"/>
  <c r="G26" i="5"/>
  <c r="B41" i="5"/>
  <c r="G28" i="5"/>
  <c r="D41" i="5"/>
  <c r="I41" i="5"/>
  <c r="G33" i="5"/>
  <c r="M3" i="6"/>
  <c r="I3" i="6"/>
  <c r="E3" i="6"/>
  <c r="K3" i="6"/>
  <c r="G3" i="6"/>
  <c r="C3" i="6"/>
  <c r="F3" i="6"/>
  <c r="L3" i="6"/>
  <c r="D3" i="6"/>
  <c r="J3" i="6"/>
  <c r="B3" i="6"/>
  <c r="H3" i="6"/>
  <c r="E9" i="4"/>
  <c r="D40" i="5"/>
  <c r="G7" i="5"/>
  <c r="G38" i="5"/>
  <c r="G15" i="5"/>
  <c r="G39" i="5"/>
  <c r="G23" i="5"/>
  <c r="G40" i="5"/>
  <c r="G31" i="5"/>
  <c r="G41" i="5"/>
  <c r="F6" i="4"/>
  <c r="D6" i="4"/>
  <c r="C6" i="4"/>
  <c r="E38" i="5"/>
  <c r="G5" i="5"/>
  <c r="G6" i="5"/>
  <c r="F38" i="5"/>
  <c r="G8" i="5"/>
  <c r="H38" i="5"/>
  <c r="E39" i="5"/>
  <c r="G13" i="5"/>
  <c r="G14" i="5"/>
  <c r="F39" i="5"/>
  <c r="G16" i="5"/>
  <c r="H39" i="5"/>
  <c r="E40" i="5"/>
  <c r="G21" i="5"/>
  <c r="G22" i="5"/>
  <c r="F40" i="5"/>
  <c r="G24" i="5"/>
  <c r="H40" i="5"/>
  <c r="E41" i="5"/>
  <c r="G29" i="5"/>
  <c r="G32" i="5"/>
  <c r="H41" i="5"/>
  <c r="G5" i="4"/>
  <c r="C5" i="4"/>
  <c r="F4" i="6"/>
  <c r="D4" i="6"/>
  <c r="D5" i="4"/>
  <c r="G6" i="4"/>
  <c r="G3" i="5"/>
  <c r="C38" i="5"/>
  <c r="G11" i="5"/>
  <c r="C39" i="5"/>
  <c r="G19" i="5"/>
  <c r="C40" i="5"/>
  <c r="G27" i="5"/>
  <c r="C41" i="5"/>
  <c r="G30" i="5"/>
  <c r="F41" i="5"/>
  <c r="M2" i="6"/>
  <c r="I2" i="6"/>
  <c r="E2" i="6"/>
  <c r="K2" i="6"/>
  <c r="G2" i="6"/>
  <c r="C2" i="6"/>
  <c r="M4" i="6"/>
  <c r="J4" i="6"/>
  <c r="H2" i="6"/>
  <c r="H4" i="6"/>
  <c r="D8" i="4"/>
  <c r="I8" i="4" s="1"/>
  <c r="F8" i="4"/>
  <c r="G9" i="4"/>
  <c r="C9" i="4"/>
  <c r="C8" i="4"/>
  <c r="B2" i="6"/>
  <c r="J2" i="6"/>
  <c r="B4" i="6"/>
  <c r="L4" i="6"/>
  <c r="C4" i="6"/>
  <c r="G4" i="6"/>
  <c r="K4" i="6"/>
  <c r="E4" i="6"/>
  <c r="I4" i="6"/>
  <c r="I5" i="4" l="1"/>
  <c r="I6" i="4"/>
  <c r="I7" i="4"/>
  <c r="I4" i="4"/>
  <c r="I3" i="4"/>
  <c r="I9" i="4"/>
  <c r="I2" i="4"/>
  <c r="H8" i="2"/>
  <c r="H6" i="2"/>
  <c r="E8" i="2" l="1"/>
  <c r="B8" i="2"/>
  <c r="B6" i="2"/>
  <c r="E6" i="2"/>
</calcChain>
</file>

<file path=xl/sharedStrings.xml><?xml version="1.0" encoding="utf-8"?>
<sst xmlns="http://schemas.openxmlformats.org/spreadsheetml/2006/main" count="6537" uniqueCount="350">
  <si>
    <t>Stock Market Analysis Dashboard</t>
  </si>
  <si>
    <t>Sumber data:</t>
  </si>
  <si>
    <t>Dataset bergaya Kaggle 'Stock Market Dataset' (OHLCV harian, 8 ticker, tahun 2024).</t>
  </si>
  <si>
    <t>Catatan data:</t>
  </si>
  <si>
    <t>Data pada sheet Raw_Data adalah DATA SIMULASI (synthetic) yang meniru struktur dan</t>
  </si>
  <si>
    <t xml:space="preserve">  karakteristik dataset asli Kaggle, dibuat agar workbook ini bisa didemokan end-to-end.</t>
  </si>
  <si>
    <t xml:space="preserve">  Untuk versi produksi, ganti isi sheet Raw_Data dengan hasil query SQL dari data riil</t>
  </si>
  <si>
    <t xml:space="preserve">  (lihat folder /sql pada repository project ini).</t>
  </si>
  <si>
    <t>Alur project:</t>
  </si>
  <si>
    <t>1. Data cleaning &amp; staging  -&gt; sql/01_schema_and_cleaning.sql</t>
  </si>
  <si>
    <t>2. Analisis SQL (window functions, CTE) -&gt; sql/02_analysis_queries.sql</t>
  </si>
  <si>
    <t>3. Hasil query diringkas &amp; divisualisasikan di workbook Excel ini</t>
  </si>
  <si>
    <t>Isi workbook:</t>
  </si>
  <si>
    <t>- Ticker_Summary  : ringkasan risk &amp; return per ticker (formula, bukan angka statis)</t>
  </si>
  <si>
    <t>- Quarterly_Return: return per kuartal per ticker + ranking</t>
  </si>
  <si>
    <t>- Sector_Trend    : rata-rata return bulanan per sektor</t>
  </si>
  <si>
    <t>- Volume_Spike    : deteksi lonjakan volume tidak wajar (hasil query SQL 06)</t>
  </si>
  <si>
    <t>- Dashboard       : ringkasan visual &amp; key insight</t>
  </si>
  <si>
    <t>Business questions:</t>
  </si>
  <si>
    <t>1. Ticker/sektor mana yang paling volatile vs paling stabil?</t>
  </si>
  <si>
    <t>2. Bagaimana tren return per kuartal, dan kapan drawdown terbesar terjadi?</t>
  </si>
  <si>
    <t>3. Sektor mana yang cenderung bergerak searah/berbeda arah tiap bulan?</t>
  </si>
  <si>
    <t>4. Kapan terjadi lonjakan volume yang mengindikasikan berita besar?</t>
  </si>
  <si>
    <t>Stock Market Analysis - Dashboard Ringkasan</t>
  </si>
  <si>
    <t>Periode: Januari - Desember 2024 | 8 ticker, 6 sektor</t>
  </si>
  <si>
    <t>Ticker Paling Volatile</t>
  </si>
  <si>
    <t>Ticker Paling Stabil</t>
  </si>
  <si>
    <t>Max Drawdown Terdalam</t>
  </si>
  <si>
    <t>Return Tertinggi (Total 2024)</t>
  </si>
  <si>
    <t>Ticker</t>
  </si>
  <si>
    <t>Sector</t>
  </si>
  <si>
    <t>Date</t>
  </si>
  <si>
    <t>Open</t>
  </si>
  <si>
    <t>High</t>
  </si>
  <si>
    <t>Low</t>
  </si>
  <si>
    <t>Close</t>
  </si>
  <si>
    <t>Adj_Close</t>
  </si>
  <si>
    <t>Volume</t>
  </si>
  <si>
    <t>Daily_Return_%</t>
  </si>
  <si>
    <t>MA_20</t>
  </si>
  <si>
    <t>MA_50</t>
  </si>
  <si>
    <t>Running_Peak</t>
  </si>
  <si>
    <t>Drawdown_%</t>
  </si>
  <si>
    <t>Month</t>
  </si>
  <si>
    <t>AAPL</t>
  </si>
  <si>
    <t>Technology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</si>
  <si>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</si>
  <si>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</si>
  <si>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</si>
  <si>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</si>
  <si>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</si>
  <si>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</si>
  <si>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</si>
  <si>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</si>
  <si>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</si>
  <si>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</si>
  <si>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</si>
  <si>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</si>
  <si>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</si>
  <si>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</si>
  <si>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</si>
  <si>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</si>
  <si>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</si>
  <si>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</si>
  <si>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</si>
  <si>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</si>
  <si>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</si>
  <si>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</si>
  <si>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</si>
  <si>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</si>
  <si>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</si>
  <si>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</si>
  <si>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</si>
  <si>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</si>
  <si>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</si>
  <si>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</si>
  <si>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</si>
  <si>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</si>
  <si>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</si>
  <si>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</si>
  <si>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</si>
  <si>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</si>
  <si>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</si>
  <si>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</si>
  <si>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</si>
  <si>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</si>
  <si>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</si>
  <si>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</si>
  <si>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</si>
  <si>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</si>
  <si>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</si>
  <si>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</si>
  <si>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</si>
  <si>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</si>
  <si>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</si>
  <si>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</si>
  <si>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</si>
  <si>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</si>
  <si>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</si>
  <si>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</si>
  <si>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</si>
  <si>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</si>
  <si>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</si>
  <si>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</si>
  <si>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</si>
  <si>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</si>
  <si>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</si>
  <si>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</si>
  <si>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</si>
  <si>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</si>
  <si>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</si>
  <si>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</si>
  <si>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</si>
  <si>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</si>
  <si>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</si>
  <si>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</si>
  <si>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</si>
  <si>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</si>
  <si>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</si>
  <si>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</si>
  <si>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</si>
  <si>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</si>
  <si>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</si>
  <si>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</si>
  <si>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</si>
  <si>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</si>
  <si>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</si>
  <si>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</si>
  <si>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</si>
  <si>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</si>
  <si>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</si>
  <si>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</si>
  <si>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</si>
  <si>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</si>
  <si>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</si>
  <si>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</si>
  <si>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</si>
  <si>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</si>
  <si>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</si>
  <si>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</si>
  <si>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</si>
  <si>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</si>
  <si>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</si>
  <si>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</si>
  <si>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</si>
  <si>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</si>
  <si>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</si>
  <si>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</si>
  <si>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</si>
  <si>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</si>
  <si>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</si>
  <si>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</si>
  <si>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</si>
  <si>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</si>
  <si>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</si>
  <si>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</si>
  <si>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</si>
  <si>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</si>
  <si>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</si>
  <si>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</si>
  <si>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</si>
  <si>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</si>
  <si>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</si>
  <si>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</si>
  <si>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</si>
  <si>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</si>
  <si>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</si>
  <si>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</si>
  <si>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</si>
  <si>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</si>
  <si>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</si>
  <si>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</si>
  <si>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</si>
  <si>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</si>
  <si>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</si>
  <si>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</si>
  <si>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</si>
  <si>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</si>
  <si>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</si>
  <si>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</si>
  <si>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</si>
  <si>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</si>
  <si>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</si>
  <si>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</si>
  <si>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</si>
  <si>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</si>
  <si>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</si>
  <si>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</si>
  <si>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</si>
  <si>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</si>
  <si>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</si>
  <si>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</si>
  <si>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</si>
  <si>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</si>
  <si>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</si>
  <si>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</si>
  <si>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</si>
  <si>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</si>
  <si>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</si>
  <si>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</si>
  <si>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</si>
  <si>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</si>
  <si>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</si>
  <si>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</si>
  <si>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</si>
  <si>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</si>
  <si>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</si>
  <si>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</si>
  <si>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</si>
  <si>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</si>
  <si>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</si>
  <si>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</si>
  <si>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</si>
  <si>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</si>
  <si>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</si>
  <si>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</si>
  <si>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</si>
  <si>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</si>
  <si>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</si>
  <si>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</si>
  <si>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</si>
  <si>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</si>
  <si>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</si>
  <si>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</si>
  <si>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</si>
  <si>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</si>
  <si>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</si>
  <si>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</si>
  <si>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</si>
  <si>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</si>
  <si>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</si>
  <si>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</si>
  <si>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</si>
  <si>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</si>
  <si>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</si>
  <si>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</si>
  <si>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</si>
  <si>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</si>
  <si>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</si>
  <si>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</si>
  <si>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</si>
  <si>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</si>
  <si>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</si>
  <si>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</si>
  <si>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</si>
  <si>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</si>
  <si>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</si>
  <si>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</si>
  <si>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</si>
  <si>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</si>
  <si>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</si>
  <si>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</si>
  <si>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</si>
  <si>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</si>
  <si>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</si>
  <si>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</si>
  <si>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</si>
  <si>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</si>
  <si>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</si>
  <si>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</si>
  <si>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</si>
  <si>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</si>
  <si>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</si>
  <si>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</si>
  <si>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</si>
  <si>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</si>
  <si>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</si>
  <si>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</si>
  <si>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</si>
  <si>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</si>
  <si>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</si>
  <si>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</si>
  <si>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</si>
  <si>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</si>
  <si>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</si>
  <si>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</si>
  <si>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</si>
  <si>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</si>
  <si>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</si>
  <si>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</si>
  <si>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</si>
  <si>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</si>
  <si>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</si>
  <si>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</si>
  <si>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</si>
  <si>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</si>
  <si>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</si>
  <si>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</si>
  <si>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</si>
  <si>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</si>
  <si>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</si>
  <si>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</si>
  <si>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</si>
  <si>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</si>
  <si>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</si>
  <si>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</si>
  <si>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</si>
  <si>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</si>
  <si>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</si>
  <si>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</si>
  <si>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</si>
  <si>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</si>
  <si>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</si>
  <si>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</si>
  <si>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</si>
  <si>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</si>
  <si>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</si>
  <si>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</si>
  <si>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JNJ</t>
  </si>
  <si>
    <t>Healthcare</t>
  </si>
  <si>
    <t>JPM</t>
  </si>
  <si>
    <t>Financials</t>
  </si>
  <si>
    <t>KO</t>
  </si>
  <si>
    <t>Consumer Staples</t>
  </si>
  <si>
    <t>MSFT</t>
  </si>
  <si>
    <t>NVDA</t>
  </si>
  <si>
    <t>TSLA</t>
  </si>
  <si>
    <t>Consumer Discretionary</t>
  </si>
  <si>
    <t>XOM</t>
  </si>
  <si>
    <t>Energy</t>
  </si>
  <si>
    <t>Avg_Daily_Return_%</t>
  </si>
  <si>
    <t>Volatility_%(StdevPop)</t>
  </si>
  <si>
    <t>Max_Drawdown_%</t>
  </si>
  <si>
    <t>Best_Day_%</t>
  </si>
  <si>
    <t>Worst_Day_%</t>
  </si>
  <si>
    <t>Total_Return_%</t>
  </si>
  <si>
    <t>Volatility_Rank</t>
  </si>
  <si>
    <t>Quarter</t>
  </si>
  <si>
    <t>Start_Close</t>
  </si>
  <si>
    <t>End_Close</t>
  </si>
  <si>
    <t>Return_%</t>
  </si>
  <si>
    <t>Rank_in_Quarter</t>
  </si>
  <si>
    <t>2024-Q1</t>
  </si>
  <si>
    <t>2024-Q2</t>
  </si>
  <si>
    <t>2024-Q3</t>
  </si>
  <si>
    <t>2024-Q4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</si>
  <si>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</si>
  <si>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</si>
  <si>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</si>
  <si>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</si>
  <si>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</si>
  <si>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</si>
  <si>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</si>
  <si>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</si>
  <si>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</si>
  <si>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</si>
  <si>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</si>
  <si>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</si>
  <si>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Avg_Volume_30D</t>
  </si>
  <si>
    <t>Rasio_vs_Rata2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</si>
</sst>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\%"/>
    <numFmt numFmtId="165" formatCode="yyyy\-mm\-dd"/>
    <numFmt numFmtId="166" formatCode="0.00\x"/>
  </numFmts>
  <fonts count="12" x14ac:knownFonts="1">
    <font>
      <sz val="11"/>
      <color theme="1"/>
      <name val="Calibri"/>
      <family val="2"/>
      <charset val="1"/>
    </font>
    <font>
      <i/>
      <sz val="10"/>
      <color rgb="FF666666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9"/>
      <color rgb="FFFFFFFF"/>
      <name val="Arial"/>
      <charset val="1"/>
    </font>
    <font>
      <sz val="11"/>
      <color rgb="FF666666"/>
      <name val="Arial"/>
      <charset val="1"/>
    </font>
    <font>
      <b/>
      <sz val="10"/>
      <color rgb="FFFFFFFF"/>
      <name val="Arial"/>
      <charset val="1"/>
    </font>
    <font>
      <i/>
      <sz val="9"/>
      <color rgb="FF808080"/>
      <name val="Arial"/>
      <charset val="1"/>
    </font>
    <font>
      <b/>
      <sz val="16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  <font>
      <b/>
      <sz val="1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indexed="64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7" fillId="0" borderId="0" xfId="0" applyFont="1" applyAlignment="1">
      <alignment wrapText="1"/>
    </xf>
    <xf numFmtId="164" fontId="5" fillId="0" borderId="1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7" fillId="0" borderId="0" xfId="0" applyFont="1"/>
    <xf numFmtId="0" fontId="0" fillId="0" borderId="0" xfId="0" applyBorder="1"/>
    <xf numFmtId="0" fontId="8" fillId="0" borderId="0" xfId="0" applyFont="1" applyBorder="1" applyAlignment="1">
      <alignment horizontal="center" vertical="center"/>
    </xf>
    <xf numFmtId="0" fontId="2" fillId="0" borderId="0" xfId="0" applyFont="1" applyBorder="1"/>
    <xf numFmtId="0" fontId="0" fillId="0" borderId="2" xfId="0" applyBorder="1"/>
    <xf numFmtId="0" fontId="0" fillId="0" borderId="3" xfId="0" applyBorder="1"/>
    <xf numFmtId="0" fontId="3" fillId="0" borderId="4" xfId="0" applyFont="1" applyBorder="1"/>
    <xf numFmtId="0" fontId="2" fillId="0" borderId="5" xfId="0" applyFont="1" applyBorder="1"/>
    <xf numFmtId="0" fontId="3" fillId="0" borderId="5" xfId="0" applyFont="1" applyBorder="1"/>
    <xf numFmtId="0" fontId="2" fillId="0" borderId="6" xfId="0" applyFont="1" applyBorder="1"/>
    <xf numFmtId="0" fontId="9" fillId="0" borderId="4" xfId="0" applyFont="1" applyBorder="1"/>
    <xf numFmtId="3" fontId="0" fillId="0" borderId="3" xfId="0" applyNumberFormat="1" applyBorder="1"/>
    <xf numFmtId="166" fontId="0" fillId="0" borderId="3" xfId="0" applyNumberFormat="1" applyBorder="1"/>
    <xf numFmtId="0" fontId="10" fillId="2" borderId="3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2" fontId="0" fillId="0" borderId="3" xfId="0" applyNumberFormat="1" applyBorder="1"/>
    <xf numFmtId="0" fontId="9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3" xfId="0" applyBorder="1" applyAlignment="1"/>
    <xf numFmtId="2" fontId="0" fillId="0" borderId="3" xfId="0" applyNumberFormat="1" applyBorder="1" applyAlignment="1"/>
    <xf numFmtId="0" fontId="6" fillId="2" borderId="3" xfId="0" applyFont="1" applyFill="1" applyBorder="1" applyAlignment="1">
      <alignment horizontal="center" vertical="center" wrapText="1"/>
    </xf>
    <xf numFmtId="165" fontId="0" fillId="0" borderId="3" xfId="0" applyNumberFormat="1" applyBorder="1"/>
    <xf numFmtId="0" fontId="11" fillId="0" borderId="1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12" xfId="0" applyBorder="1"/>
    <xf numFmtId="0" fontId="0" fillId="0" borderId="8" xfId="0" applyBorder="1"/>
    <xf numFmtId="0" fontId="4" fillId="2" borderId="13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11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164" fontId="5" fillId="0" borderId="13" xfId="0" applyNumberFormat="1" applyFont="1" applyBorder="1" applyAlignment="1">
      <alignment horizontal="center"/>
    </xf>
    <xf numFmtId="164" fontId="5" fillId="0" borderId="14" xfId="0" applyNumberFormat="1" applyFont="1" applyBorder="1" applyAlignment="1">
      <alignment horizontal="center"/>
    </xf>
    <xf numFmtId="0" fontId="0" fillId="0" borderId="15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C56D6B"/>
      <rgbColor rgb="FFB94D4A"/>
      <rgbColor rgb="FF008080"/>
      <rgbColor rgb="FFDBB0B0"/>
      <rgbColor rgb="FF808080"/>
      <rgbColor rgb="FF9999FF"/>
      <rgbColor rgb="FF9A403E"/>
      <rgbColor rgb="FFF9F9F9"/>
      <rgbColor rgb="FFCCFFFF"/>
      <rgbColor rgb="FF660066"/>
      <rgbColor rgb="FFD09493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5C8C8"/>
      <rgbColor rgb="FF4A7EBB"/>
      <rgbColor rgb="FF33CCCC"/>
      <rgbColor rgb="FF98B855"/>
      <rgbColor rgb="FFFFCC00"/>
      <rgbColor rgb="FFFF9900"/>
      <rgbColor rgb="FFBE4B48"/>
      <rgbColor rgb="FF666666"/>
      <rgbColor rgb="FF878787"/>
      <rgbColor rgb="FF003366"/>
      <rgbColor rgb="FF4F81BD"/>
      <rgbColor rgb="FF003300"/>
      <rgbColor rgb="FF333300"/>
      <rgbColor rgb="FFAB4744"/>
      <rgbColor rgb="FF88383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D" sz="1800" b="1" strike="noStrike" spc="-1">
                <a:solidFill>
                  <a:srgbClr val="000000"/>
                </a:solidFill>
                <a:latin typeface="Calibri"/>
              </a:rPr>
              <a:t>Tren Harga NVDA: Close vs MA20 vs MA50 (2024)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Raw_Data!$G$1311</c:f>
              <c:strCache>
                <c:ptCount val="1"/>
                <c:pt idx="0">
                  <c:v>478,06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Raw_Data!$C$1312:$C$1573</c:f>
              <c:strCache>
                <c:ptCount val="262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2024-01-08</c:v>
                </c:pt>
                <c:pt idx="6">
                  <c:v>2024-01-09</c:v>
                </c:pt>
                <c:pt idx="7">
                  <c:v>2024-01-10</c:v>
                </c:pt>
                <c:pt idx="8">
                  <c:v>2024-01-11</c:v>
                </c:pt>
                <c:pt idx="9">
                  <c:v>2024-01-12</c:v>
                </c:pt>
                <c:pt idx="10">
                  <c:v>2024-01-15</c:v>
                </c:pt>
                <c:pt idx="11">
                  <c:v>2024-01-16</c:v>
                </c:pt>
                <c:pt idx="12">
                  <c:v>2024-01-17</c:v>
                </c:pt>
                <c:pt idx="13">
                  <c:v>2024-01-18</c:v>
                </c:pt>
                <c:pt idx="14">
                  <c:v>2024-01-19</c:v>
                </c:pt>
                <c:pt idx="15">
                  <c:v>2024-01-22</c:v>
                </c:pt>
                <c:pt idx="16">
                  <c:v>2024-01-23</c:v>
                </c:pt>
                <c:pt idx="17">
                  <c:v>2024-01-24</c:v>
                </c:pt>
                <c:pt idx="18">
                  <c:v>2024-01-25</c:v>
                </c:pt>
                <c:pt idx="19">
                  <c:v>2024-01-26</c:v>
                </c:pt>
                <c:pt idx="20">
                  <c:v>2024-01-29</c:v>
                </c:pt>
                <c:pt idx="21">
                  <c:v>2024-01-30</c:v>
                </c:pt>
                <c:pt idx="22">
                  <c:v>2024-01-31</c:v>
                </c:pt>
                <c:pt idx="23">
                  <c:v>2024-02-01</c:v>
                </c:pt>
                <c:pt idx="24">
                  <c:v>2024-02-02</c:v>
                </c:pt>
                <c:pt idx="25">
                  <c:v>2024-02-05</c:v>
                </c:pt>
                <c:pt idx="26">
                  <c:v>2024-02-06</c:v>
                </c:pt>
                <c:pt idx="27">
                  <c:v>2024-02-07</c:v>
                </c:pt>
                <c:pt idx="28">
                  <c:v>2024-02-08</c:v>
                </c:pt>
                <c:pt idx="29">
                  <c:v>2024-02-09</c:v>
                </c:pt>
                <c:pt idx="30">
                  <c:v>2024-02-12</c:v>
                </c:pt>
                <c:pt idx="31">
                  <c:v>2024-02-13</c:v>
                </c:pt>
                <c:pt idx="32">
                  <c:v>2024-02-14</c:v>
                </c:pt>
                <c:pt idx="33">
                  <c:v>2024-02-15</c:v>
                </c:pt>
                <c:pt idx="34">
                  <c:v>2024-02-16</c:v>
                </c:pt>
                <c:pt idx="35">
                  <c:v>2024-02-19</c:v>
                </c:pt>
                <c:pt idx="36">
                  <c:v>2024-02-20</c:v>
                </c:pt>
                <c:pt idx="37">
                  <c:v>2024-02-21</c:v>
                </c:pt>
                <c:pt idx="38">
                  <c:v>2024-02-22</c:v>
                </c:pt>
                <c:pt idx="39">
                  <c:v>2024-02-23</c:v>
                </c:pt>
                <c:pt idx="40">
                  <c:v>2024-02-26</c:v>
                </c:pt>
                <c:pt idx="41">
                  <c:v>2024-02-27</c:v>
                </c:pt>
                <c:pt idx="42">
                  <c:v>2024-02-28</c:v>
                </c:pt>
                <c:pt idx="43">
                  <c:v>2024-02-29</c:v>
                </c:pt>
                <c:pt idx="44">
                  <c:v>2024-03-01</c:v>
                </c:pt>
                <c:pt idx="45">
                  <c:v>2024-03-04</c:v>
                </c:pt>
                <c:pt idx="46">
                  <c:v>2024-03-05</c:v>
                </c:pt>
                <c:pt idx="47">
                  <c:v>2024-03-06</c:v>
                </c:pt>
                <c:pt idx="48">
                  <c:v>2024-03-07</c:v>
                </c:pt>
                <c:pt idx="49">
                  <c:v>2024-03-08</c:v>
                </c:pt>
                <c:pt idx="50">
                  <c:v>2024-03-11</c:v>
                </c:pt>
                <c:pt idx="51">
                  <c:v>2024-03-12</c:v>
                </c:pt>
                <c:pt idx="52">
                  <c:v>2024-03-13</c:v>
                </c:pt>
                <c:pt idx="53">
                  <c:v>2024-03-14</c:v>
                </c:pt>
                <c:pt idx="54">
                  <c:v>2024-03-15</c:v>
                </c:pt>
                <c:pt idx="55">
                  <c:v>2024-03-18</c:v>
                </c:pt>
                <c:pt idx="56">
                  <c:v>2024-03-19</c:v>
                </c:pt>
                <c:pt idx="57">
                  <c:v>2024-03-20</c:v>
                </c:pt>
                <c:pt idx="58">
                  <c:v>2024-03-21</c:v>
                </c:pt>
                <c:pt idx="59">
                  <c:v>2024-03-22</c:v>
                </c:pt>
                <c:pt idx="60">
                  <c:v>2024-03-25</c:v>
                </c:pt>
                <c:pt idx="61">
                  <c:v>2024-03-26</c:v>
                </c:pt>
                <c:pt idx="62">
                  <c:v>2024-03-27</c:v>
                </c:pt>
                <c:pt idx="63">
                  <c:v>2024-03-28</c:v>
                </c:pt>
                <c:pt idx="64">
                  <c:v>2024-03-29</c:v>
                </c:pt>
                <c:pt idx="65">
                  <c:v>2024-04-01</c:v>
                </c:pt>
                <c:pt idx="66">
                  <c:v>2024-04-02</c:v>
                </c:pt>
                <c:pt idx="67">
                  <c:v>2024-04-03</c:v>
                </c:pt>
                <c:pt idx="68">
                  <c:v>2024-04-04</c:v>
                </c:pt>
                <c:pt idx="69">
                  <c:v>2024-04-05</c:v>
                </c:pt>
                <c:pt idx="70">
                  <c:v>2024-04-08</c:v>
                </c:pt>
                <c:pt idx="71">
                  <c:v>2024-04-09</c:v>
                </c:pt>
                <c:pt idx="72">
                  <c:v>2024-04-10</c:v>
                </c:pt>
                <c:pt idx="73">
                  <c:v>2024-04-11</c:v>
                </c:pt>
                <c:pt idx="74">
                  <c:v>2024-04-12</c:v>
                </c:pt>
                <c:pt idx="75">
                  <c:v>2024-04-15</c:v>
                </c:pt>
                <c:pt idx="76">
                  <c:v>2024-04-16</c:v>
                </c:pt>
                <c:pt idx="77">
                  <c:v>2024-04-17</c:v>
                </c:pt>
                <c:pt idx="78">
                  <c:v>2024-04-18</c:v>
                </c:pt>
                <c:pt idx="79">
                  <c:v>2024-04-19</c:v>
                </c:pt>
                <c:pt idx="80">
                  <c:v>2024-04-22</c:v>
                </c:pt>
                <c:pt idx="81">
                  <c:v>2024-04-23</c:v>
                </c:pt>
                <c:pt idx="82">
                  <c:v>2024-04-24</c:v>
                </c:pt>
                <c:pt idx="83">
                  <c:v>2024-04-25</c:v>
                </c:pt>
                <c:pt idx="84">
                  <c:v>2024-04-26</c:v>
                </c:pt>
                <c:pt idx="85">
                  <c:v>2024-04-29</c:v>
                </c:pt>
                <c:pt idx="86">
                  <c:v>2024-04-30</c:v>
                </c:pt>
                <c:pt idx="87">
                  <c:v>2024-05-01</c:v>
                </c:pt>
                <c:pt idx="88">
                  <c:v>2024-05-02</c:v>
                </c:pt>
                <c:pt idx="89">
                  <c:v>2024-05-03</c:v>
                </c:pt>
                <c:pt idx="90">
                  <c:v>2024-05-06</c:v>
                </c:pt>
                <c:pt idx="91">
                  <c:v>2024-05-07</c:v>
                </c:pt>
                <c:pt idx="92">
                  <c:v>2024-05-08</c:v>
                </c:pt>
                <c:pt idx="93">
                  <c:v>2024-05-09</c:v>
                </c:pt>
                <c:pt idx="94">
                  <c:v>2024-05-10</c:v>
                </c:pt>
                <c:pt idx="95">
                  <c:v>2024-05-13</c:v>
                </c:pt>
                <c:pt idx="96">
                  <c:v>2024-05-14</c:v>
                </c:pt>
                <c:pt idx="97">
                  <c:v>2024-05-15</c:v>
                </c:pt>
                <c:pt idx="98">
                  <c:v>2024-05-16</c:v>
                </c:pt>
                <c:pt idx="99">
                  <c:v>2024-05-17</c:v>
                </c:pt>
                <c:pt idx="100">
                  <c:v>2024-05-20</c:v>
                </c:pt>
                <c:pt idx="101">
                  <c:v>2024-05-21</c:v>
                </c:pt>
                <c:pt idx="102">
                  <c:v>2024-05-22</c:v>
                </c:pt>
                <c:pt idx="103">
                  <c:v>2024-05-23</c:v>
                </c:pt>
                <c:pt idx="104">
                  <c:v>2024-05-24</c:v>
                </c:pt>
                <c:pt idx="105">
                  <c:v>2024-05-27</c:v>
                </c:pt>
                <c:pt idx="106">
                  <c:v>2024-05-28</c:v>
                </c:pt>
                <c:pt idx="107">
                  <c:v>2024-05-29</c:v>
                </c:pt>
                <c:pt idx="108">
                  <c:v>2024-05-30</c:v>
                </c:pt>
                <c:pt idx="109">
                  <c:v>2024-05-31</c:v>
                </c:pt>
                <c:pt idx="110">
                  <c:v>2024-06-03</c:v>
                </c:pt>
                <c:pt idx="111">
                  <c:v>2024-06-04</c:v>
                </c:pt>
                <c:pt idx="112">
                  <c:v>2024-06-05</c:v>
                </c:pt>
                <c:pt idx="113">
                  <c:v>2024-06-06</c:v>
                </c:pt>
                <c:pt idx="114">
                  <c:v>2024-06-07</c:v>
                </c:pt>
                <c:pt idx="115">
                  <c:v>2024-06-10</c:v>
                </c:pt>
                <c:pt idx="116">
                  <c:v>2024-06-11</c:v>
                </c:pt>
                <c:pt idx="117">
                  <c:v>2024-06-12</c:v>
                </c:pt>
                <c:pt idx="118">
                  <c:v>2024-06-13</c:v>
                </c:pt>
                <c:pt idx="119">
                  <c:v>2024-06-14</c:v>
                </c:pt>
                <c:pt idx="120">
                  <c:v>2024-06-17</c:v>
                </c:pt>
                <c:pt idx="121">
                  <c:v>2024-06-18</c:v>
                </c:pt>
                <c:pt idx="122">
                  <c:v>2024-06-19</c:v>
                </c:pt>
                <c:pt idx="123">
                  <c:v>2024-06-20</c:v>
                </c:pt>
                <c:pt idx="124">
                  <c:v>2024-06-21</c:v>
                </c:pt>
                <c:pt idx="125">
                  <c:v>2024-06-24</c:v>
                </c:pt>
                <c:pt idx="126">
                  <c:v>2024-06-25</c:v>
                </c:pt>
                <c:pt idx="127">
                  <c:v>2024-06-26</c:v>
                </c:pt>
                <c:pt idx="128">
                  <c:v>2024-06-27</c:v>
                </c:pt>
                <c:pt idx="129">
                  <c:v>2024-06-28</c:v>
                </c:pt>
                <c:pt idx="130">
                  <c:v>2024-07-01</c:v>
                </c:pt>
                <c:pt idx="131">
                  <c:v>2024-07-02</c:v>
                </c:pt>
                <c:pt idx="132">
                  <c:v>2024-07-03</c:v>
                </c:pt>
                <c:pt idx="133">
                  <c:v>2024-07-04</c:v>
                </c:pt>
                <c:pt idx="134">
                  <c:v>2024-07-05</c:v>
                </c:pt>
                <c:pt idx="135">
                  <c:v>2024-07-08</c:v>
                </c:pt>
                <c:pt idx="136">
                  <c:v>2024-07-09</c:v>
                </c:pt>
                <c:pt idx="137">
                  <c:v>2024-07-10</c:v>
                </c:pt>
                <c:pt idx="138">
                  <c:v>2024-07-11</c:v>
                </c:pt>
                <c:pt idx="139">
                  <c:v>2024-07-12</c:v>
                </c:pt>
                <c:pt idx="140">
                  <c:v>2024-07-15</c:v>
                </c:pt>
                <c:pt idx="141">
                  <c:v>2024-07-16</c:v>
                </c:pt>
                <c:pt idx="142">
                  <c:v>2024-07-17</c:v>
                </c:pt>
                <c:pt idx="143">
                  <c:v>2024-07-18</c:v>
                </c:pt>
                <c:pt idx="144">
                  <c:v>2024-07-19</c:v>
                </c:pt>
                <c:pt idx="145">
                  <c:v>2024-07-22</c:v>
                </c:pt>
                <c:pt idx="146">
                  <c:v>2024-07-23</c:v>
                </c:pt>
                <c:pt idx="147">
                  <c:v>2024-07-24</c:v>
                </c:pt>
                <c:pt idx="148">
                  <c:v>2024-07-25</c:v>
                </c:pt>
                <c:pt idx="149">
                  <c:v>2024-07-26</c:v>
                </c:pt>
                <c:pt idx="150">
                  <c:v>2024-07-29</c:v>
                </c:pt>
                <c:pt idx="151">
                  <c:v>2024-07-30</c:v>
                </c:pt>
                <c:pt idx="152">
                  <c:v>2024-07-31</c:v>
                </c:pt>
                <c:pt idx="153">
                  <c:v>2024-08-01</c:v>
                </c:pt>
                <c:pt idx="154">
                  <c:v>2024-08-02</c:v>
                </c:pt>
                <c:pt idx="155">
                  <c:v>2024-08-05</c:v>
                </c:pt>
                <c:pt idx="156">
                  <c:v>2024-08-06</c:v>
                </c:pt>
                <c:pt idx="157">
                  <c:v>2024-08-07</c:v>
                </c:pt>
                <c:pt idx="158">
                  <c:v>2024-08-08</c:v>
                </c:pt>
                <c:pt idx="159">
                  <c:v>2024-08-09</c:v>
                </c:pt>
                <c:pt idx="160">
                  <c:v>2024-08-12</c:v>
                </c:pt>
                <c:pt idx="161">
                  <c:v>2024-08-13</c:v>
                </c:pt>
                <c:pt idx="162">
                  <c:v>2024-08-14</c:v>
                </c:pt>
                <c:pt idx="163">
                  <c:v>2024-08-15</c:v>
                </c:pt>
                <c:pt idx="164">
                  <c:v>2024-08-16</c:v>
                </c:pt>
                <c:pt idx="165">
                  <c:v>2024-08-19</c:v>
                </c:pt>
                <c:pt idx="166">
                  <c:v>2024-08-20</c:v>
                </c:pt>
                <c:pt idx="167">
                  <c:v>2024-08-21</c:v>
                </c:pt>
                <c:pt idx="168">
                  <c:v>2024-08-22</c:v>
                </c:pt>
                <c:pt idx="169">
                  <c:v>2024-08-23</c:v>
                </c:pt>
                <c:pt idx="170">
                  <c:v>2024-08-26</c:v>
                </c:pt>
                <c:pt idx="171">
                  <c:v>2024-08-27</c:v>
                </c:pt>
                <c:pt idx="172">
                  <c:v>2024-08-28</c:v>
                </c:pt>
                <c:pt idx="173">
                  <c:v>2024-08-29</c:v>
                </c:pt>
                <c:pt idx="174">
                  <c:v>2024-08-30</c:v>
                </c:pt>
                <c:pt idx="175">
                  <c:v>2024-09-02</c:v>
                </c:pt>
                <c:pt idx="176">
                  <c:v>2024-09-03</c:v>
                </c:pt>
                <c:pt idx="177">
                  <c:v>2024-09-04</c:v>
                </c:pt>
                <c:pt idx="178">
                  <c:v>2024-09-05</c:v>
                </c:pt>
                <c:pt idx="179">
                  <c:v>2024-09-06</c:v>
                </c:pt>
                <c:pt idx="180">
                  <c:v>2024-09-09</c:v>
                </c:pt>
                <c:pt idx="181">
                  <c:v>2024-09-10</c:v>
                </c:pt>
                <c:pt idx="182">
                  <c:v>2024-09-11</c:v>
                </c:pt>
                <c:pt idx="183">
                  <c:v>2024-09-12</c:v>
                </c:pt>
                <c:pt idx="184">
                  <c:v>2024-09-13</c:v>
                </c:pt>
                <c:pt idx="185">
                  <c:v>2024-09-16</c:v>
                </c:pt>
                <c:pt idx="186">
                  <c:v>2024-09-17</c:v>
                </c:pt>
                <c:pt idx="187">
                  <c:v>2024-09-18</c:v>
                </c:pt>
                <c:pt idx="188">
                  <c:v>2024-09-19</c:v>
                </c:pt>
                <c:pt idx="189">
                  <c:v>2024-09-20</c:v>
                </c:pt>
                <c:pt idx="190">
                  <c:v>2024-09-23</c:v>
                </c:pt>
                <c:pt idx="191">
                  <c:v>2024-09-24</c:v>
                </c:pt>
                <c:pt idx="192">
                  <c:v>2024-09-25</c:v>
                </c:pt>
                <c:pt idx="193">
                  <c:v>2024-09-26</c:v>
                </c:pt>
                <c:pt idx="194">
                  <c:v>2024-09-27</c:v>
                </c:pt>
                <c:pt idx="195">
                  <c:v>2024-09-30</c:v>
                </c:pt>
                <c:pt idx="196">
                  <c:v>2024-10-01</c:v>
                </c:pt>
                <c:pt idx="197">
                  <c:v>2024-10-02</c:v>
                </c:pt>
                <c:pt idx="198">
                  <c:v>2024-10-03</c:v>
                </c:pt>
                <c:pt idx="199">
                  <c:v>2024-10-04</c:v>
                </c:pt>
                <c:pt idx="200">
                  <c:v>2024-10-07</c:v>
                </c:pt>
                <c:pt idx="201">
                  <c:v>2024-10-08</c:v>
                </c:pt>
                <c:pt idx="202">
                  <c:v>2024-10-09</c:v>
                </c:pt>
                <c:pt idx="203">
                  <c:v>2024-10-10</c:v>
                </c:pt>
                <c:pt idx="204">
                  <c:v>2024-10-11</c:v>
                </c:pt>
                <c:pt idx="205">
                  <c:v>2024-10-14</c:v>
                </c:pt>
                <c:pt idx="206">
                  <c:v>2024-10-15</c:v>
                </c:pt>
                <c:pt idx="207">
                  <c:v>2024-10-16</c:v>
                </c:pt>
                <c:pt idx="208">
                  <c:v>2024-10-17</c:v>
                </c:pt>
                <c:pt idx="209">
                  <c:v>2024-10-18</c:v>
                </c:pt>
                <c:pt idx="210">
                  <c:v>2024-10-21</c:v>
                </c:pt>
                <c:pt idx="211">
                  <c:v>2024-10-22</c:v>
                </c:pt>
                <c:pt idx="212">
                  <c:v>2024-10-23</c:v>
                </c:pt>
                <c:pt idx="213">
                  <c:v>2024-10-24</c:v>
                </c:pt>
                <c:pt idx="214">
                  <c:v>2024-10-25</c:v>
                </c:pt>
                <c:pt idx="215">
                  <c:v>2024-10-28</c:v>
                </c:pt>
                <c:pt idx="216">
                  <c:v>2024-10-29</c:v>
                </c:pt>
                <c:pt idx="217">
                  <c:v>2024-10-30</c:v>
                </c:pt>
                <c:pt idx="218">
                  <c:v>2024-10-31</c:v>
                </c:pt>
                <c:pt idx="219">
                  <c:v>2024-11-01</c:v>
                </c:pt>
                <c:pt idx="220">
                  <c:v>2024-11-04</c:v>
                </c:pt>
                <c:pt idx="221">
                  <c:v>2024-11-05</c:v>
                </c:pt>
                <c:pt idx="222">
                  <c:v>2024-11-06</c:v>
                </c:pt>
                <c:pt idx="223">
                  <c:v>2024-11-07</c:v>
                </c:pt>
                <c:pt idx="224">
                  <c:v>2024-11-08</c:v>
                </c:pt>
                <c:pt idx="225">
                  <c:v>2024-11-11</c:v>
                </c:pt>
                <c:pt idx="226">
                  <c:v>2024-11-12</c:v>
                </c:pt>
                <c:pt idx="227">
                  <c:v>2024-11-13</c:v>
                </c:pt>
                <c:pt idx="228">
                  <c:v>2024-11-14</c:v>
                </c:pt>
                <c:pt idx="229">
                  <c:v>2024-11-15</c:v>
                </c:pt>
                <c:pt idx="230">
                  <c:v>2024-11-18</c:v>
                </c:pt>
                <c:pt idx="231">
                  <c:v>2024-11-19</c:v>
                </c:pt>
                <c:pt idx="232">
                  <c:v>2024-11-20</c:v>
                </c:pt>
                <c:pt idx="233">
                  <c:v>2024-11-21</c:v>
                </c:pt>
                <c:pt idx="234">
                  <c:v>2024-11-22</c:v>
                </c:pt>
                <c:pt idx="235">
                  <c:v>2024-11-25</c:v>
                </c:pt>
                <c:pt idx="236">
                  <c:v>2024-11-26</c:v>
                </c:pt>
                <c:pt idx="237">
                  <c:v>2024-11-27</c:v>
                </c:pt>
                <c:pt idx="238">
                  <c:v>2024-11-28</c:v>
                </c:pt>
                <c:pt idx="239">
                  <c:v>2024-11-29</c:v>
                </c:pt>
                <c:pt idx="240">
                  <c:v>2024-12-02</c:v>
                </c:pt>
                <c:pt idx="241">
                  <c:v>2024-12-03</c:v>
                </c:pt>
                <c:pt idx="242">
                  <c:v>2024-12-04</c:v>
                </c:pt>
                <c:pt idx="243">
                  <c:v>2024-12-05</c:v>
                </c:pt>
                <c:pt idx="244">
                  <c:v>2024-12-06</c:v>
                </c:pt>
                <c:pt idx="245">
                  <c:v>2024-12-09</c:v>
                </c:pt>
                <c:pt idx="246">
                  <c:v>2024-12-10</c:v>
                </c:pt>
                <c:pt idx="247">
                  <c:v>2024-12-11</c:v>
                </c:pt>
                <c:pt idx="248">
                  <c:v>2024-12-12</c:v>
                </c:pt>
                <c:pt idx="249">
                  <c:v>2024-12-13</c:v>
                </c:pt>
                <c:pt idx="250">
                  <c:v>2024-12-16</c:v>
                </c:pt>
                <c:pt idx="251">
                  <c:v>2024-12-17</c:v>
                </c:pt>
                <c:pt idx="252">
                  <c:v>2024-12-18</c:v>
                </c:pt>
                <c:pt idx="253">
                  <c:v>2024-12-19</c:v>
                </c:pt>
                <c:pt idx="254">
                  <c:v>2024-12-20</c:v>
                </c:pt>
                <c:pt idx="255">
                  <c:v>2024-12-23</c:v>
                </c:pt>
                <c:pt idx="256">
                  <c:v>2024-12-24</c:v>
                </c:pt>
                <c:pt idx="257">
                  <c:v>2024-12-25</c:v>
                </c:pt>
                <c:pt idx="258">
                  <c:v>2024-12-26</c:v>
                </c:pt>
                <c:pt idx="259">
                  <c:v>2024-12-27</c:v>
                </c:pt>
                <c:pt idx="260">
                  <c:v>2024-12-30</c:v>
                </c:pt>
                <c:pt idx="261">
                  <c:v>2024-12-31</c:v>
                </c:pt>
              </c:strCache>
            </c:strRef>
          </c:cat>
          <c:val>
            <c:numRef>
              <c:f>Raw_Data!$G$1312:$G$1573</c:f>
              <c:numCache>
                <c:formatCode>0.00</c:formatCode>
                <c:ptCount val="262"/>
                <c:pt idx="0">
                  <c:v>465.04</c:v>
                </c:pt>
                <c:pt idx="1">
                  <c:v>458.16</c:v>
                </c:pt>
                <c:pt idx="2">
                  <c:v>448.17</c:v>
                </c:pt>
                <c:pt idx="3">
                  <c:v>425.71</c:v>
                </c:pt>
                <c:pt idx="4">
                  <c:v>430.01</c:v>
                </c:pt>
                <c:pt idx="5">
                  <c:v>429.08</c:v>
                </c:pt>
                <c:pt idx="6">
                  <c:v>425.81</c:v>
                </c:pt>
                <c:pt idx="7">
                  <c:v>408.7</c:v>
                </c:pt>
                <c:pt idx="8">
                  <c:v>413.62</c:v>
                </c:pt>
                <c:pt idx="9">
                  <c:v>401.56</c:v>
                </c:pt>
                <c:pt idx="10">
                  <c:v>408.86</c:v>
                </c:pt>
                <c:pt idx="11">
                  <c:v>411.07</c:v>
                </c:pt>
                <c:pt idx="12">
                  <c:v>421.22</c:v>
                </c:pt>
                <c:pt idx="13">
                  <c:v>411.78</c:v>
                </c:pt>
                <c:pt idx="14">
                  <c:v>434.46</c:v>
                </c:pt>
                <c:pt idx="15">
                  <c:v>419.43</c:v>
                </c:pt>
                <c:pt idx="16">
                  <c:v>425.8</c:v>
                </c:pt>
                <c:pt idx="17">
                  <c:v>434.86</c:v>
                </c:pt>
                <c:pt idx="18">
                  <c:v>406.29</c:v>
                </c:pt>
                <c:pt idx="19">
                  <c:v>399.35</c:v>
                </c:pt>
                <c:pt idx="20">
                  <c:v>404.08</c:v>
                </c:pt>
                <c:pt idx="21">
                  <c:v>408.23</c:v>
                </c:pt>
                <c:pt idx="22">
                  <c:v>421.17</c:v>
                </c:pt>
                <c:pt idx="23">
                  <c:v>445.5</c:v>
                </c:pt>
                <c:pt idx="24">
                  <c:v>443.83</c:v>
                </c:pt>
                <c:pt idx="25">
                  <c:v>435.74</c:v>
                </c:pt>
                <c:pt idx="26">
                  <c:v>421.25</c:v>
                </c:pt>
                <c:pt idx="27">
                  <c:v>431.35</c:v>
                </c:pt>
                <c:pt idx="28">
                  <c:v>413.42</c:v>
                </c:pt>
                <c:pt idx="29">
                  <c:v>430.37</c:v>
                </c:pt>
                <c:pt idx="30">
                  <c:v>418.41</c:v>
                </c:pt>
                <c:pt idx="31">
                  <c:v>434.94</c:v>
                </c:pt>
                <c:pt idx="32">
                  <c:v>449.32</c:v>
                </c:pt>
                <c:pt idx="33">
                  <c:v>441.09</c:v>
                </c:pt>
                <c:pt idx="34">
                  <c:v>427.25</c:v>
                </c:pt>
                <c:pt idx="35">
                  <c:v>420.91</c:v>
                </c:pt>
                <c:pt idx="36">
                  <c:v>410.31</c:v>
                </c:pt>
                <c:pt idx="37">
                  <c:v>412.2</c:v>
                </c:pt>
                <c:pt idx="38">
                  <c:v>408.02</c:v>
                </c:pt>
                <c:pt idx="39">
                  <c:v>399.72</c:v>
                </c:pt>
                <c:pt idx="40">
                  <c:v>388.47</c:v>
                </c:pt>
                <c:pt idx="41">
                  <c:v>373.16</c:v>
                </c:pt>
                <c:pt idx="42">
                  <c:v>351.16</c:v>
                </c:pt>
                <c:pt idx="43">
                  <c:v>360.54</c:v>
                </c:pt>
                <c:pt idx="44">
                  <c:v>364.69</c:v>
                </c:pt>
                <c:pt idx="45">
                  <c:v>353.84</c:v>
                </c:pt>
                <c:pt idx="46">
                  <c:v>365.4</c:v>
                </c:pt>
                <c:pt idx="47">
                  <c:v>366.76</c:v>
                </c:pt>
                <c:pt idx="48">
                  <c:v>367.06</c:v>
                </c:pt>
                <c:pt idx="49">
                  <c:v>379.8</c:v>
                </c:pt>
                <c:pt idx="50">
                  <c:v>377.92</c:v>
                </c:pt>
                <c:pt idx="51">
                  <c:v>385.12</c:v>
                </c:pt>
                <c:pt idx="52">
                  <c:v>402.96</c:v>
                </c:pt>
                <c:pt idx="53">
                  <c:v>409.62</c:v>
                </c:pt>
                <c:pt idx="54">
                  <c:v>394.39</c:v>
                </c:pt>
                <c:pt idx="55">
                  <c:v>384.65</c:v>
                </c:pt>
                <c:pt idx="56">
                  <c:v>379.24</c:v>
                </c:pt>
                <c:pt idx="57">
                  <c:v>389.31</c:v>
                </c:pt>
                <c:pt idx="58">
                  <c:v>381.41</c:v>
                </c:pt>
                <c:pt idx="59">
                  <c:v>371.92</c:v>
                </c:pt>
                <c:pt idx="60">
                  <c:v>373.6</c:v>
                </c:pt>
                <c:pt idx="61">
                  <c:v>369.67</c:v>
                </c:pt>
                <c:pt idx="62">
                  <c:v>387.57</c:v>
                </c:pt>
                <c:pt idx="63">
                  <c:v>367.76</c:v>
                </c:pt>
                <c:pt idx="64">
                  <c:v>367.35</c:v>
                </c:pt>
                <c:pt idx="65">
                  <c:v>359.65</c:v>
                </c:pt>
                <c:pt idx="66">
                  <c:v>355.65</c:v>
                </c:pt>
                <c:pt idx="67">
                  <c:v>362.49</c:v>
                </c:pt>
                <c:pt idx="68">
                  <c:v>356.64</c:v>
                </c:pt>
                <c:pt idx="69">
                  <c:v>375.3</c:v>
                </c:pt>
                <c:pt idx="70">
                  <c:v>354.76</c:v>
                </c:pt>
                <c:pt idx="71">
                  <c:v>360.15</c:v>
                </c:pt>
                <c:pt idx="72">
                  <c:v>359.8</c:v>
                </c:pt>
                <c:pt idx="73">
                  <c:v>352.53</c:v>
                </c:pt>
                <c:pt idx="74">
                  <c:v>351.07</c:v>
                </c:pt>
                <c:pt idx="75">
                  <c:v>363.77</c:v>
                </c:pt>
                <c:pt idx="76">
                  <c:v>350.11</c:v>
                </c:pt>
                <c:pt idx="77">
                  <c:v>357.6</c:v>
                </c:pt>
                <c:pt idx="78">
                  <c:v>353.8</c:v>
                </c:pt>
                <c:pt idx="79">
                  <c:v>362.2</c:v>
                </c:pt>
                <c:pt idx="80">
                  <c:v>363.23</c:v>
                </c:pt>
                <c:pt idx="81">
                  <c:v>349.01</c:v>
                </c:pt>
                <c:pt idx="82">
                  <c:v>340.72</c:v>
                </c:pt>
                <c:pt idx="83">
                  <c:v>325.31</c:v>
                </c:pt>
                <c:pt idx="84">
                  <c:v>319.37</c:v>
                </c:pt>
                <c:pt idx="85">
                  <c:v>302.98</c:v>
                </c:pt>
                <c:pt idx="86">
                  <c:v>309.25</c:v>
                </c:pt>
                <c:pt idx="87">
                  <c:v>314.43</c:v>
                </c:pt>
                <c:pt idx="88">
                  <c:v>321.64</c:v>
                </c:pt>
                <c:pt idx="89">
                  <c:v>322.3</c:v>
                </c:pt>
                <c:pt idx="90">
                  <c:v>314.69</c:v>
                </c:pt>
                <c:pt idx="91">
                  <c:v>315.26</c:v>
                </c:pt>
                <c:pt idx="92">
                  <c:v>308.54000000000002</c:v>
                </c:pt>
                <c:pt idx="93">
                  <c:v>311.47000000000003</c:v>
                </c:pt>
                <c:pt idx="94">
                  <c:v>323.25</c:v>
                </c:pt>
                <c:pt idx="95">
                  <c:v>339.87</c:v>
                </c:pt>
                <c:pt idx="96">
                  <c:v>348.07</c:v>
                </c:pt>
                <c:pt idx="97">
                  <c:v>359.55</c:v>
                </c:pt>
                <c:pt idx="98">
                  <c:v>380.1</c:v>
                </c:pt>
                <c:pt idx="99">
                  <c:v>370.11</c:v>
                </c:pt>
                <c:pt idx="100">
                  <c:v>376.67</c:v>
                </c:pt>
                <c:pt idx="101">
                  <c:v>374.31</c:v>
                </c:pt>
                <c:pt idx="102">
                  <c:v>378.73</c:v>
                </c:pt>
                <c:pt idx="103">
                  <c:v>365.49</c:v>
                </c:pt>
                <c:pt idx="104">
                  <c:v>362.13</c:v>
                </c:pt>
                <c:pt idx="105">
                  <c:v>357.61</c:v>
                </c:pt>
                <c:pt idx="106">
                  <c:v>370.71</c:v>
                </c:pt>
                <c:pt idx="107">
                  <c:v>371.35</c:v>
                </c:pt>
                <c:pt idx="108">
                  <c:v>367.37</c:v>
                </c:pt>
                <c:pt idx="109">
                  <c:v>360.6</c:v>
                </c:pt>
                <c:pt idx="110">
                  <c:v>383.25</c:v>
                </c:pt>
                <c:pt idx="111">
                  <c:v>390.23</c:v>
                </c:pt>
                <c:pt idx="112">
                  <c:v>390.67</c:v>
                </c:pt>
                <c:pt idx="113">
                  <c:v>395.05</c:v>
                </c:pt>
                <c:pt idx="114">
                  <c:v>408.51</c:v>
                </c:pt>
                <c:pt idx="115">
                  <c:v>392.18</c:v>
                </c:pt>
                <c:pt idx="116">
                  <c:v>385.96</c:v>
                </c:pt>
                <c:pt idx="117">
                  <c:v>396.02</c:v>
                </c:pt>
                <c:pt idx="118">
                  <c:v>391.56</c:v>
                </c:pt>
                <c:pt idx="119">
                  <c:v>387.52</c:v>
                </c:pt>
                <c:pt idx="120">
                  <c:v>409.49</c:v>
                </c:pt>
                <c:pt idx="121">
                  <c:v>413.81</c:v>
                </c:pt>
                <c:pt idx="122">
                  <c:v>417.2</c:v>
                </c:pt>
                <c:pt idx="123">
                  <c:v>413.93</c:v>
                </c:pt>
                <c:pt idx="124">
                  <c:v>412.29</c:v>
                </c:pt>
                <c:pt idx="125">
                  <c:v>399.96</c:v>
                </c:pt>
                <c:pt idx="126">
                  <c:v>407.08</c:v>
                </c:pt>
                <c:pt idx="127">
                  <c:v>405.31</c:v>
                </c:pt>
                <c:pt idx="128">
                  <c:v>407.88</c:v>
                </c:pt>
                <c:pt idx="129">
                  <c:v>413.35</c:v>
                </c:pt>
                <c:pt idx="130">
                  <c:v>408.49</c:v>
                </c:pt>
                <c:pt idx="131">
                  <c:v>400.02</c:v>
                </c:pt>
                <c:pt idx="132">
                  <c:v>400.82</c:v>
                </c:pt>
                <c:pt idx="133">
                  <c:v>402.85</c:v>
                </c:pt>
                <c:pt idx="134">
                  <c:v>410.06</c:v>
                </c:pt>
                <c:pt idx="135">
                  <c:v>404.25</c:v>
                </c:pt>
                <c:pt idx="136">
                  <c:v>419.96</c:v>
                </c:pt>
                <c:pt idx="137">
                  <c:v>416.86</c:v>
                </c:pt>
                <c:pt idx="138">
                  <c:v>422.26</c:v>
                </c:pt>
                <c:pt idx="139">
                  <c:v>417.31</c:v>
                </c:pt>
                <c:pt idx="140">
                  <c:v>416.4</c:v>
                </c:pt>
                <c:pt idx="141">
                  <c:v>441.52</c:v>
                </c:pt>
                <c:pt idx="142">
                  <c:v>455.52</c:v>
                </c:pt>
                <c:pt idx="143">
                  <c:v>461.18</c:v>
                </c:pt>
                <c:pt idx="144">
                  <c:v>473.68</c:v>
                </c:pt>
                <c:pt idx="145">
                  <c:v>481.09</c:v>
                </c:pt>
                <c:pt idx="146">
                  <c:v>486.73</c:v>
                </c:pt>
                <c:pt idx="147">
                  <c:v>496.42</c:v>
                </c:pt>
                <c:pt idx="148">
                  <c:v>502.75</c:v>
                </c:pt>
                <c:pt idx="149">
                  <c:v>540.04</c:v>
                </c:pt>
                <c:pt idx="150">
                  <c:v>561.79</c:v>
                </c:pt>
                <c:pt idx="151">
                  <c:v>544.73</c:v>
                </c:pt>
                <c:pt idx="152">
                  <c:v>537.65</c:v>
                </c:pt>
                <c:pt idx="153">
                  <c:v>510.59</c:v>
                </c:pt>
                <c:pt idx="154">
                  <c:v>535.16999999999996</c:v>
                </c:pt>
                <c:pt idx="155">
                  <c:v>553.04</c:v>
                </c:pt>
                <c:pt idx="156">
                  <c:v>569.22</c:v>
                </c:pt>
                <c:pt idx="157">
                  <c:v>563.44000000000005</c:v>
                </c:pt>
                <c:pt idx="158">
                  <c:v>524.49</c:v>
                </c:pt>
                <c:pt idx="159">
                  <c:v>478.1</c:v>
                </c:pt>
                <c:pt idx="160">
                  <c:v>471.78</c:v>
                </c:pt>
                <c:pt idx="161">
                  <c:v>466.59</c:v>
                </c:pt>
                <c:pt idx="162">
                  <c:v>448.83</c:v>
                </c:pt>
                <c:pt idx="163">
                  <c:v>442.9</c:v>
                </c:pt>
                <c:pt idx="164">
                  <c:v>442.47</c:v>
                </c:pt>
                <c:pt idx="165">
                  <c:v>444.41</c:v>
                </c:pt>
                <c:pt idx="166">
                  <c:v>441.86</c:v>
                </c:pt>
                <c:pt idx="167">
                  <c:v>440.1</c:v>
                </c:pt>
                <c:pt idx="168">
                  <c:v>443.34</c:v>
                </c:pt>
                <c:pt idx="169">
                  <c:v>463.03</c:v>
                </c:pt>
                <c:pt idx="170">
                  <c:v>458.47</c:v>
                </c:pt>
                <c:pt idx="171">
                  <c:v>477.88</c:v>
                </c:pt>
                <c:pt idx="172">
                  <c:v>462.75</c:v>
                </c:pt>
                <c:pt idx="173">
                  <c:v>459.34</c:v>
                </c:pt>
                <c:pt idx="174">
                  <c:v>474.41</c:v>
                </c:pt>
                <c:pt idx="175">
                  <c:v>474.48</c:v>
                </c:pt>
                <c:pt idx="176">
                  <c:v>482.41</c:v>
                </c:pt>
                <c:pt idx="177">
                  <c:v>491.68</c:v>
                </c:pt>
                <c:pt idx="178">
                  <c:v>488.4</c:v>
                </c:pt>
                <c:pt idx="179">
                  <c:v>471.58</c:v>
                </c:pt>
                <c:pt idx="180">
                  <c:v>412.32</c:v>
                </c:pt>
                <c:pt idx="181">
                  <c:v>426.1</c:v>
                </c:pt>
                <c:pt idx="182">
                  <c:v>449.36</c:v>
                </c:pt>
                <c:pt idx="183">
                  <c:v>452.69</c:v>
                </c:pt>
                <c:pt idx="184">
                  <c:v>453.17</c:v>
                </c:pt>
                <c:pt idx="185">
                  <c:v>475.44</c:v>
                </c:pt>
                <c:pt idx="186">
                  <c:v>475.93</c:v>
                </c:pt>
                <c:pt idx="187">
                  <c:v>458.07</c:v>
                </c:pt>
                <c:pt idx="188">
                  <c:v>455.18</c:v>
                </c:pt>
                <c:pt idx="189">
                  <c:v>456.96</c:v>
                </c:pt>
                <c:pt idx="190">
                  <c:v>462.63</c:v>
                </c:pt>
                <c:pt idx="191">
                  <c:v>467.15</c:v>
                </c:pt>
                <c:pt idx="192">
                  <c:v>447.41</c:v>
                </c:pt>
                <c:pt idx="193">
                  <c:v>424.28</c:v>
                </c:pt>
                <c:pt idx="194">
                  <c:v>430.95</c:v>
                </c:pt>
                <c:pt idx="195">
                  <c:v>434.06</c:v>
                </c:pt>
                <c:pt idx="196">
                  <c:v>446.68</c:v>
                </c:pt>
                <c:pt idx="197">
                  <c:v>445.53</c:v>
                </c:pt>
                <c:pt idx="198">
                  <c:v>448.76</c:v>
                </c:pt>
                <c:pt idx="199">
                  <c:v>431.92</c:v>
                </c:pt>
                <c:pt idx="200">
                  <c:v>416.59</c:v>
                </c:pt>
                <c:pt idx="201">
                  <c:v>420.95</c:v>
                </c:pt>
                <c:pt idx="202">
                  <c:v>437.72</c:v>
                </c:pt>
                <c:pt idx="203">
                  <c:v>454.32</c:v>
                </c:pt>
                <c:pt idx="204">
                  <c:v>460.93</c:v>
                </c:pt>
                <c:pt idx="205">
                  <c:v>460.46</c:v>
                </c:pt>
                <c:pt idx="206">
                  <c:v>460.58</c:v>
                </c:pt>
                <c:pt idx="207">
                  <c:v>465.26</c:v>
                </c:pt>
                <c:pt idx="208">
                  <c:v>469.28</c:v>
                </c:pt>
                <c:pt idx="209">
                  <c:v>470.58</c:v>
                </c:pt>
                <c:pt idx="210">
                  <c:v>489.73</c:v>
                </c:pt>
                <c:pt idx="211">
                  <c:v>486.19</c:v>
                </c:pt>
                <c:pt idx="212">
                  <c:v>471.94</c:v>
                </c:pt>
                <c:pt idx="213">
                  <c:v>467.82</c:v>
                </c:pt>
                <c:pt idx="214">
                  <c:v>457.36</c:v>
                </c:pt>
                <c:pt idx="215">
                  <c:v>433.81</c:v>
                </c:pt>
                <c:pt idx="216">
                  <c:v>438.78</c:v>
                </c:pt>
                <c:pt idx="217">
                  <c:v>457.92</c:v>
                </c:pt>
                <c:pt idx="218">
                  <c:v>450.3</c:v>
                </c:pt>
                <c:pt idx="219">
                  <c:v>470.88</c:v>
                </c:pt>
                <c:pt idx="220">
                  <c:v>497.51</c:v>
                </c:pt>
                <c:pt idx="221">
                  <c:v>507.66</c:v>
                </c:pt>
                <c:pt idx="222">
                  <c:v>501.63</c:v>
                </c:pt>
                <c:pt idx="223">
                  <c:v>519.47</c:v>
                </c:pt>
                <c:pt idx="224">
                  <c:v>526.02</c:v>
                </c:pt>
                <c:pt idx="225">
                  <c:v>513.5</c:v>
                </c:pt>
                <c:pt idx="226">
                  <c:v>539.29</c:v>
                </c:pt>
                <c:pt idx="227">
                  <c:v>523.55999999999995</c:v>
                </c:pt>
                <c:pt idx="228">
                  <c:v>519.17999999999995</c:v>
                </c:pt>
                <c:pt idx="229">
                  <c:v>520.04999999999995</c:v>
                </c:pt>
                <c:pt idx="230">
                  <c:v>535.15</c:v>
                </c:pt>
                <c:pt idx="231">
                  <c:v>578.11</c:v>
                </c:pt>
                <c:pt idx="232">
                  <c:v>569.57000000000005</c:v>
                </c:pt>
                <c:pt idx="233">
                  <c:v>588.37</c:v>
                </c:pt>
                <c:pt idx="234">
                  <c:v>585.87</c:v>
                </c:pt>
                <c:pt idx="235">
                  <c:v>555.61</c:v>
                </c:pt>
                <c:pt idx="236">
                  <c:v>569.69000000000005</c:v>
                </c:pt>
                <c:pt idx="237">
                  <c:v>542.83000000000004</c:v>
                </c:pt>
                <c:pt idx="238">
                  <c:v>550.21</c:v>
                </c:pt>
                <c:pt idx="239">
                  <c:v>547.9</c:v>
                </c:pt>
                <c:pt idx="240">
                  <c:v>554.88</c:v>
                </c:pt>
                <c:pt idx="241">
                  <c:v>587.65</c:v>
                </c:pt>
                <c:pt idx="242">
                  <c:v>606.94000000000005</c:v>
                </c:pt>
                <c:pt idx="243">
                  <c:v>604.47</c:v>
                </c:pt>
                <c:pt idx="244">
                  <c:v>625.86</c:v>
                </c:pt>
                <c:pt idx="245">
                  <c:v>634.03</c:v>
                </c:pt>
                <c:pt idx="246">
                  <c:v>628.87</c:v>
                </c:pt>
                <c:pt idx="247">
                  <c:v>666.87</c:v>
                </c:pt>
                <c:pt idx="248">
                  <c:v>700.21</c:v>
                </c:pt>
                <c:pt idx="249">
                  <c:v>694.75</c:v>
                </c:pt>
                <c:pt idx="250">
                  <c:v>705.66</c:v>
                </c:pt>
                <c:pt idx="251">
                  <c:v>733.78</c:v>
                </c:pt>
                <c:pt idx="252">
                  <c:v>743.88</c:v>
                </c:pt>
                <c:pt idx="253">
                  <c:v>753.25</c:v>
                </c:pt>
                <c:pt idx="254">
                  <c:v>727.95</c:v>
                </c:pt>
                <c:pt idx="255">
                  <c:v>718.55</c:v>
                </c:pt>
                <c:pt idx="256">
                  <c:v>744.93</c:v>
                </c:pt>
                <c:pt idx="257">
                  <c:v>740.6</c:v>
                </c:pt>
                <c:pt idx="258">
                  <c:v>705.92</c:v>
                </c:pt>
                <c:pt idx="259">
                  <c:v>725.78</c:v>
                </c:pt>
                <c:pt idx="260">
                  <c:v>725.07</c:v>
                </c:pt>
                <c:pt idx="261">
                  <c:v>730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9D-431A-80B5-4B37256E96AC}"/>
            </c:ext>
          </c:extLst>
        </c:ser>
        <c:ser>
          <c:idx val="1"/>
          <c:order val="1"/>
          <c:tx>
            <c:strRef>
              <c:f>Raw_Data!$K$1311</c:f>
              <c:strCache>
                <c:ptCount val="1"/>
                <c:pt idx="0">
                  <c:v>477,12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Raw_Data!$C$1312:$C$1573</c:f>
              <c:strCache>
                <c:ptCount val="262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2024-01-08</c:v>
                </c:pt>
                <c:pt idx="6">
                  <c:v>2024-01-09</c:v>
                </c:pt>
                <c:pt idx="7">
                  <c:v>2024-01-10</c:v>
                </c:pt>
                <c:pt idx="8">
                  <c:v>2024-01-11</c:v>
                </c:pt>
                <c:pt idx="9">
                  <c:v>2024-01-12</c:v>
                </c:pt>
                <c:pt idx="10">
                  <c:v>2024-01-15</c:v>
                </c:pt>
                <c:pt idx="11">
                  <c:v>2024-01-16</c:v>
                </c:pt>
                <c:pt idx="12">
                  <c:v>2024-01-17</c:v>
                </c:pt>
                <c:pt idx="13">
                  <c:v>2024-01-18</c:v>
                </c:pt>
                <c:pt idx="14">
                  <c:v>2024-01-19</c:v>
                </c:pt>
                <c:pt idx="15">
                  <c:v>2024-01-22</c:v>
                </c:pt>
                <c:pt idx="16">
                  <c:v>2024-01-23</c:v>
                </c:pt>
                <c:pt idx="17">
                  <c:v>2024-01-24</c:v>
                </c:pt>
                <c:pt idx="18">
                  <c:v>2024-01-25</c:v>
                </c:pt>
                <c:pt idx="19">
                  <c:v>2024-01-26</c:v>
                </c:pt>
                <c:pt idx="20">
                  <c:v>2024-01-29</c:v>
                </c:pt>
                <c:pt idx="21">
                  <c:v>2024-01-30</c:v>
                </c:pt>
                <c:pt idx="22">
                  <c:v>2024-01-31</c:v>
                </c:pt>
                <c:pt idx="23">
                  <c:v>2024-02-01</c:v>
                </c:pt>
                <c:pt idx="24">
                  <c:v>2024-02-02</c:v>
                </c:pt>
                <c:pt idx="25">
                  <c:v>2024-02-05</c:v>
                </c:pt>
                <c:pt idx="26">
                  <c:v>2024-02-06</c:v>
                </c:pt>
                <c:pt idx="27">
                  <c:v>2024-02-07</c:v>
                </c:pt>
                <c:pt idx="28">
                  <c:v>2024-02-08</c:v>
                </c:pt>
                <c:pt idx="29">
                  <c:v>2024-02-09</c:v>
                </c:pt>
                <c:pt idx="30">
                  <c:v>2024-02-12</c:v>
                </c:pt>
                <c:pt idx="31">
                  <c:v>2024-02-13</c:v>
                </c:pt>
                <c:pt idx="32">
                  <c:v>2024-02-14</c:v>
                </c:pt>
                <c:pt idx="33">
                  <c:v>2024-02-15</c:v>
                </c:pt>
                <c:pt idx="34">
                  <c:v>2024-02-16</c:v>
                </c:pt>
                <c:pt idx="35">
                  <c:v>2024-02-19</c:v>
                </c:pt>
                <c:pt idx="36">
                  <c:v>2024-02-20</c:v>
                </c:pt>
                <c:pt idx="37">
                  <c:v>2024-02-21</c:v>
                </c:pt>
                <c:pt idx="38">
                  <c:v>2024-02-22</c:v>
                </c:pt>
                <c:pt idx="39">
                  <c:v>2024-02-23</c:v>
                </c:pt>
                <c:pt idx="40">
                  <c:v>2024-02-26</c:v>
                </c:pt>
                <c:pt idx="41">
                  <c:v>2024-02-27</c:v>
                </c:pt>
                <c:pt idx="42">
                  <c:v>2024-02-28</c:v>
                </c:pt>
                <c:pt idx="43">
                  <c:v>2024-02-29</c:v>
                </c:pt>
                <c:pt idx="44">
                  <c:v>2024-03-01</c:v>
                </c:pt>
                <c:pt idx="45">
                  <c:v>2024-03-04</c:v>
                </c:pt>
                <c:pt idx="46">
                  <c:v>2024-03-05</c:v>
                </c:pt>
                <c:pt idx="47">
                  <c:v>2024-03-06</c:v>
                </c:pt>
                <c:pt idx="48">
                  <c:v>2024-03-07</c:v>
                </c:pt>
                <c:pt idx="49">
                  <c:v>2024-03-08</c:v>
                </c:pt>
                <c:pt idx="50">
                  <c:v>2024-03-11</c:v>
                </c:pt>
                <c:pt idx="51">
                  <c:v>2024-03-12</c:v>
                </c:pt>
                <c:pt idx="52">
                  <c:v>2024-03-13</c:v>
                </c:pt>
                <c:pt idx="53">
                  <c:v>2024-03-14</c:v>
                </c:pt>
                <c:pt idx="54">
                  <c:v>2024-03-15</c:v>
                </c:pt>
                <c:pt idx="55">
                  <c:v>2024-03-18</c:v>
                </c:pt>
                <c:pt idx="56">
                  <c:v>2024-03-19</c:v>
                </c:pt>
                <c:pt idx="57">
                  <c:v>2024-03-20</c:v>
                </c:pt>
                <c:pt idx="58">
                  <c:v>2024-03-21</c:v>
                </c:pt>
                <c:pt idx="59">
                  <c:v>2024-03-22</c:v>
                </c:pt>
                <c:pt idx="60">
                  <c:v>2024-03-25</c:v>
                </c:pt>
                <c:pt idx="61">
                  <c:v>2024-03-26</c:v>
                </c:pt>
                <c:pt idx="62">
                  <c:v>2024-03-27</c:v>
                </c:pt>
                <c:pt idx="63">
                  <c:v>2024-03-28</c:v>
                </c:pt>
                <c:pt idx="64">
                  <c:v>2024-03-29</c:v>
                </c:pt>
                <c:pt idx="65">
                  <c:v>2024-04-01</c:v>
                </c:pt>
                <c:pt idx="66">
                  <c:v>2024-04-02</c:v>
                </c:pt>
                <c:pt idx="67">
                  <c:v>2024-04-03</c:v>
                </c:pt>
                <c:pt idx="68">
                  <c:v>2024-04-04</c:v>
                </c:pt>
                <c:pt idx="69">
                  <c:v>2024-04-05</c:v>
                </c:pt>
                <c:pt idx="70">
                  <c:v>2024-04-08</c:v>
                </c:pt>
                <c:pt idx="71">
                  <c:v>2024-04-09</c:v>
                </c:pt>
                <c:pt idx="72">
                  <c:v>2024-04-10</c:v>
                </c:pt>
                <c:pt idx="73">
                  <c:v>2024-04-11</c:v>
                </c:pt>
                <c:pt idx="74">
                  <c:v>2024-04-12</c:v>
                </c:pt>
                <c:pt idx="75">
                  <c:v>2024-04-15</c:v>
                </c:pt>
                <c:pt idx="76">
                  <c:v>2024-04-16</c:v>
                </c:pt>
                <c:pt idx="77">
                  <c:v>2024-04-17</c:v>
                </c:pt>
                <c:pt idx="78">
                  <c:v>2024-04-18</c:v>
                </c:pt>
                <c:pt idx="79">
                  <c:v>2024-04-19</c:v>
                </c:pt>
                <c:pt idx="80">
                  <c:v>2024-04-22</c:v>
                </c:pt>
                <c:pt idx="81">
                  <c:v>2024-04-23</c:v>
                </c:pt>
                <c:pt idx="82">
                  <c:v>2024-04-24</c:v>
                </c:pt>
                <c:pt idx="83">
                  <c:v>2024-04-25</c:v>
                </c:pt>
                <c:pt idx="84">
                  <c:v>2024-04-26</c:v>
                </c:pt>
                <c:pt idx="85">
                  <c:v>2024-04-29</c:v>
                </c:pt>
                <c:pt idx="86">
                  <c:v>2024-04-30</c:v>
                </c:pt>
                <c:pt idx="87">
                  <c:v>2024-05-01</c:v>
                </c:pt>
                <c:pt idx="88">
                  <c:v>2024-05-02</c:v>
                </c:pt>
                <c:pt idx="89">
                  <c:v>2024-05-03</c:v>
                </c:pt>
                <c:pt idx="90">
                  <c:v>2024-05-06</c:v>
                </c:pt>
                <c:pt idx="91">
                  <c:v>2024-05-07</c:v>
                </c:pt>
                <c:pt idx="92">
                  <c:v>2024-05-08</c:v>
                </c:pt>
                <c:pt idx="93">
                  <c:v>2024-05-09</c:v>
                </c:pt>
                <c:pt idx="94">
                  <c:v>2024-05-10</c:v>
                </c:pt>
                <c:pt idx="95">
                  <c:v>2024-05-13</c:v>
                </c:pt>
                <c:pt idx="96">
                  <c:v>2024-05-14</c:v>
                </c:pt>
                <c:pt idx="97">
                  <c:v>2024-05-15</c:v>
                </c:pt>
                <c:pt idx="98">
                  <c:v>2024-05-16</c:v>
                </c:pt>
                <c:pt idx="99">
                  <c:v>2024-05-17</c:v>
                </c:pt>
                <c:pt idx="100">
                  <c:v>2024-05-20</c:v>
                </c:pt>
                <c:pt idx="101">
                  <c:v>2024-05-21</c:v>
                </c:pt>
                <c:pt idx="102">
                  <c:v>2024-05-22</c:v>
                </c:pt>
                <c:pt idx="103">
                  <c:v>2024-05-23</c:v>
                </c:pt>
                <c:pt idx="104">
                  <c:v>2024-05-24</c:v>
                </c:pt>
                <c:pt idx="105">
                  <c:v>2024-05-27</c:v>
                </c:pt>
                <c:pt idx="106">
                  <c:v>2024-05-28</c:v>
                </c:pt>
                <c:pt idx="107">
                  <c:v>2024-05-29</c:v>
                </c:pt>
                <c:pt idx="108">
                  <c:v>2024-05-30</c:v>
                </c:pt>
                <c:pt idx="109">
                  <c:v>2024-05-31</c:v>
                </c:pt>
                <c:pt idx="110">
                  <c:v>2024-06-03</c:v>
                </c:pt>
                <c:pt idx="111">
                  <c:v>2024-06-04</c:v>
                </c:pt>
                <c:pt idx="112">
                  <c:v>2024-06-05</c:v>
                </c:pt>
                <c:pt idx="113">
                  <c:v>2024-06-06</c:v>
                </c:pt>
                <c:pt idx="114">
                  <c:v>2024-06-07</c:v>
                </c:pt>
                <c:pt idx="115">
                  <c:v>2024-06-10</c:v>
                </c:pt>
                <c:pt idx="116">
                  <c:v>2024-06-11</c:v>
                </c:pt>
                <c:pt idx="117">
                  <c:v>2024-06-12</c:v>
                </c:pt>
                <c:pt idx="118">
                  <c:v>2024-06-13</c:v>
                </c:pt>
                <c:pt idx="119">
                  <c:v>2024-06-14</c:v>
                </c:pt>
                <c:pt idx="120">
                  <c:v>2024-06-17</c:v>
                </c:pt>
                <c:pt idx="121">
                  <c:v>2024-06-18</c:v>
                </c:pt>
                <c:pt idx="122">
                  <c:v>2024-06-19</c:v>
                </c:pt>
                <c:pt idx="123">
                  <c:v>2024-06-20</c:v>
                </c:pt>
                <c:pt idx="124">
                  <c:v>2024-06-21</c:v>
                </c:pt>
                <c:pt idx="125">
                  <c:v>2024-06-24</c:v>
                </c:pt>
                <c:pt idx="126">
                  <c:v>2024-06-25</c:v>
                </c:pt>
                <c:pt idx="127">
                  <c:v>2024-06-26</c:v>
                </c:pt>
                <c:pt idx="128">
                  <c:v>2024-06-27</c:v>
                </c:pt>
                <c:pt idx="129">
                  <c:v>2024-06-28</c:v>
                </c:pt>
                <c:pt idx="130">
                  <c:v>2024-07-01</c:v>
                </c:pt>
                <c:pt idx="131">
                  <c:v>2024-07-02</c:v>
                </c:pt>
                <c:pt idx="132">
                  <c:v>2024-07-03</c:v>
                </c:pt>
                <c:pt idx="133">
                  <c:v>2024-07-04</c:v>
                </c:pt>
                <c:pt idx="134">
                  <c:v>2024-07-05</c:v>
                </c:pt>
                <c:pt idx="135">
                  <c:v>2024-07-08</c:v>
                </c:pt>
                <c:pt idx="136">
                  <c:v>2024-07-09</c:v>
                </c:pt>
                <c:pt idx="137">
                  <c:v>2024-07-10</c:v>
                </c:pt>
                <c:pt idx="138">
                  <c:v>2024-07-11</c:v>
                </c:pt>
                <c:pt idx="139">
                  <c:v>2024-07-12</c:v>
                </c:pt>
                <c:pt idx="140">
                  <c:v>2024-07-15</c:v>
                </c:pt>
                <c:pt idx="141">
                  <c:v>2024-07-16</c:v>
                </c:pt>
                <c:pt idx="142">
                  <c:v>2024-07-17</c:v>
                </c:pt>
                <c:pt idx="143">
                  <c:v>2024-07-18</c:v>
                </c:pt>
                <c:pt idx="144">
                  <c:v>2024-07-19</c:v>
                </c:pt>
                <c:pt idx="145">
                  <c:v>2024-07-22</c:v>
                </c:pt>
                <c:pt idx="146">
                  <c:v>2024-07-23</c:v>
                </c:pt>
                <c:pt idx="147">
                  <c:v>2024-07-24</c:v>
                </c:pt>
                <c:pt idx="148">
                  <c:v>2024-07-25</c:v>
                </c:pt>
                <c:pt idx="149">
                  <c:v>2024-07-26</c:v>
                </c:pt>
                <c:pt idx="150">
                  <c:v>2024-07-29</c:v>
                </c:pt>
                <c:pt idx="151">
                  <c:v>2024-07-30</c:v>
                </c:pt>
                <c:pt idx="152">
                  <c:v>2024-07-31</c:v>
                </c:pt>
                <c:pt idx="153">
                  <c:v>2024-08-01</c:v>
                </c:pt>
                <c:pt idx="154">
                  <c:v>2024-08-02</c:v>
                </c:pt>
                <c:pt idx="155">
                  <c:v>2024-08-05</c:v>
                </c:pt>
                <c:pt idx="156">
                  <c:v>2024-08-06</c:v>
                </c:pt>
                <c:pt idx="157">
                  <c:v>2024-08-07</c:v>
                </c:pt>
                <c:pt idx="158">
                  <c:v>2024-08-08</c:v>
                </c:pt>
                <c:pt idx="159">
                  <c:v>2024-08-09</c:v>
                </c:pt>
                <c:pt idx="160">
                  <c:v>2024-08-12</c:v>
                </c:pt>
                <c:pt idx="161">
                  <c:v>2024-08-13</c:v>
                </c:pt>
                <c:pt idx="162">
                  <c:v>2024-08-14</c:v>
                </c:pt>
                <c:pt idx="163">
                  <c:v>2024-08-15</c:v>
                </c:pt>
                <c:pt idx="164">
                  <c:v>2024-08-16</c:v>
                </c:pt>
                <c:pt idx="165">
                  <c:v>2024-08-19</c:v>
                </c:pt>
                <c:pt idx="166">
                  <c:v>2024-08-20</c:v>
                </c:pt>
                <c:pt idx="167">
                  <c:v>2024-08-21</c:v>
                </c:pt>
                <c:pt idx="168">
                  <c:v>2024-08-22</c:v>
                </c:pt>
                <c:pt idx="169">
                  <c:v>2024-08-23</c:v>
                </c:pt>
                <c:pt idx="170">
                  <c:v>2024-08-26</c:v>
                </c:pt>
                <c:pt idx="171">
                  <c:v>2024-08-27</c:v>
                </c:pt>
                <c:pt idx="172">
                  <c:v>2024-08-28</c:v>
                </c:pt>
                <c:pt idx="173">
                  <c:v>2024-08-29</c:v>
                </c:pt>
                <c:pt idx="174">
                  <c:v>2024-08-30</c:v>
                </c:pt>
                <c:pt idx="175">
                  <c:v>2024-09-02</c:v>
                </c:pt>
                <c:pt idx="176">
                  <c:v>2024-09-03</c:v>
                </c:pt>
                <c:pt idx="177">
                  <c:v>2024-09-04</c:v>
                </c:pt>
                <c:pt idx="178">
                  <c:v>2024-09-05</c:v>
                </c:pt>
                <c:pt idx="179">
                  <c:v>2024-09-06</c:v>
                </c:pt>
                <c:pt idx="180">
                  <c:v>2024-09-09</c:v>
                </c:pt>
                <c:pt idx="181">
                  <c:v>2024-09-10</c:v>
                </c:pt>
                <c:pt idx="182">
                  <c:v>2024-09-11</c:v>
                </c:pt>
                <c:pt idx="183">
                  <c:v>2024-09-12</c:v>
                </c:pt>
                <c:pt idx="184">
                  <c:v>2024-09-13</c:v>
                </c:pt>
                <c:pt idx="185">
                  <c:v>2024-09-16</c:v>
                </c:pt>
                <c:pt idx="186">
                  <c:v>2024-09-17</c:v>
                </c:pt>
                <c:pt idx="187">
                  <c:v>2024-09-18</c:v>
                </c:pt>
                <c:pt idx="188">
                  <c:v>2024-09-19</c:v>
                </c:pt>
                <c:pt idx="189">
                  <c:v>2024-09-20</c:v>
                </c:pt>
                <c:pt idx="190">
                  <c:v>2024-09-23</c:v>
                </c:pt>
                <c:pt idx="191">
                  <c:v>2024-09-24</c:v>
                </c:pt>
                <c:pt idx="192">
                  <c:v>2024-09-25</c:v>
                </c:pt>
                <c:pt idx="193">
                  <c:v>2024-09-26</c:v>
                </c:pt>
                <c:pt idx="194">
                  <c:v>2024-09-27</c:v>
                </c:pt>
                <c:pt idx="195">
                  <c:v>2024-09-30</c:v>
                </c:pt>
                <c:pt idx="196">
                  <c:v>2024-10-01</c:v>
                </c:pt>
                <c:pt idx="197">
                  <c:v>2024-10-02</c:v>
                </c:pt>
                <c:pt idx="198">
                  <c:v>2024-10-03</c:v>
                </c:pt>
                <c:pt idx="199">
                  <c:v>2024-10-04</c:v>
                </c:pt>
                <c:pt idx="200">
                  <c:v>2024-10-07</c:v>
                </c:pt>
                <c:pt idx="201">
                  <c:v>2024-10-08</c:v>
                </c:pt>
                <c:pt idx="202">
                  <c:v>2024-10-09</c:v>
                </c:pt>
                <c:pt idx="203">
                  <c:v>2024-10-10</c:v>
                </c:pt>
                <c:pt idx="204">
                  <c:v>2024-10-11</c:v>
                </c:pt>
                <c:pt idx="205">
                  <c:v>2024-10-14</c:v>
                </c:pt>
                <c:pt idx="206">
                  <c:v>2024-10-15</c:v>
                </c:pt>
                <c:pt idx="207">
                  <c:v>2024-10-16</c:v>
                </c:pt>
                <c:pt idx="208">
                  <c:v>2024-10-17</c:v>
                </c:pt>
                <c:pt idx="209">
                  <c:v>2024-10-18</c:v>
                </c:pt>
                <c:pt idx="210">
                  <c:v>2024-10-21</c:v>
                </c:pt>
                <c:pt idx="211">
                  <c:v>2024-10-22</c:v>
                </c:pt>
                <c:pt idx="212">
                  <c:v>2024-10-23</c:v>
                </c:pt>
                <c:pt idx="213">
                  <c:v>2024-10-24</c:v>
                </c:pt>
                <c:pt idx="214">
                  <c:v>2024-10-25</c:v>
                </c:pt>
                <c:pt idx="215">
                  <c:v>2024-10-28</c:v>
                </c:pt>
                <c:pt idx="216">
                  <c:v>2024-10-29</c:v>
                </c:pt>
                <c:pt idx="217">
                  <c:v>2024-10-30</c:v>
                </c:pt>
                <c:pt idx="218">
                  <c:v>2024-10-31</c:v>
                </c:pt>
                <c:pt idx="219">
                  <c:v>2024-11-01</c:v>
                </c:pt>
                <c:pt idx="220">
                  <c:v>2024-11-04</c:v>
                </c:pt>
                <c:pt idx="221">
                  <c:v>2024-11-05</c:v>
                </c:pt>
                <c:pt idx="222">
                  <c:v>2024-11-06</c:v>
                </c:pt>
                <c:pt idx="223">
                  <c:v>2024-11-07</c:v>
                </c:pt>
                <c:pt idx="224">
                  <c:v>2024-11-08</c:v>
                </c:pt>
                <c:pt idx="225">
                  <c:v>2024-11-11</c:v>
                </c:pt>
                <c:pt idx="226">
                  <c:v>2024-11-12</c:v>
                </c:pt>
                <c:pt idx="227">
                  <c:v>2024-11-13</c:v>
                </c:pt>
                <c:pt idx="228">
                  <c:v>2024-11-14</c:v>
                </c:pt>
                <c:pt idx="229">
                  <c:v>2024-11-15</c:v>
                </c:pt>
                <c:pt idx="230">
                  <c:v>2024-11-18</c:v>
                </c:pt>
                <c:pt idx="231">
                  <c:v>2024-11-19</c:v>
                </c:pt>
                <c:pt idx="232">
                  <c:v>2024-11-20</c:v>
                </c:pt>
                <c:pt idx="233">
                  <c:v>2024-11-21</c:v>
                </c:pt>
                <c:pt idx="234">
                  <c:v>2024-11-22</c:v>
                </c:pt>
                <c:pt idx="235">
                  <c:v>2024-11-25</c:v>
                </c:pt>
                <c:pt idx="236">
                  <c:v>2024-11-26</c:v>
                </c:pt>
                <c:pt idx="237">
                  <c:v>2024-11-27</c:v>
                </c:pt>
                <c:pt idx="238">
                  <c:v>2024-11-28</c:v>
                </c:pt>
                <c:pt idx="239">
                  <c:v>2024-11-29</c:v>
                </c:pt>
                <c:pt idx="240">
                  <c:v>2024-12-02</c:v>
                </c:pt>
                <c:pt idx="241">
                  <c:v>2024-12-03</c:v>
                </c:pt>
                <c:pt idx="242">
                  <c:v>2024-12-04</c:v>
                </c:pt>
                <c:pt idx="243">
                  <c:v>2024-12-05</c:v>
                </c:pt>
                <c:pt idx="244">
                  <c:v>2024-12-06</c:v>
                </c:pt>
                <c:pt idx="245">
                  <c:v>2024-12-09</c:v>
                </c:pt>
                <c:pt idx="246">
                  <c:v>2024-12-10</c:v>
                </c:pt>
                <c:pt idx="247">
                  <c:v>2024-12-11</c:v>
                </c:pt>
                <c:pt idx="248">
                  <c:v>2024-12-12</c:v>
                </c:pt>
                <c:pt idx="249">
                  <c:v>2024-12-13</c:v>
                </c:pt>
                <c:pt idx="250">
                  <c:v>2024-12-16</c:v>
                </c:pt>
                <c:pt idx="251">
                  <c:v>2024-12-17</c:v>
                </c:pt>
                <c:pt idx="252">
                  <c:v>2024-12-18</c:v>
                </c:pt>
                <c:pt idx="253">
                  <c:v>2024-12-19</c:v>
                </c:pt>
                <c:pt idx="254">
                  <c:v>2024-12-20</c:v>
                </c:pt>
                <c:pt idx="255">
                  <c:v>2024-12-23</c:v>
                </c:pt>
                <c:pt idx="256">
                  <c:v>2024-12-24</c:v>
                </c:pt>
                <c:pt idx="257">
                  <c:v>2024-12-25</c:v>
                </c:pt>
                <c:pt idx="258">
                  <c:v>2024-12-26</c:v>
                </c:pt>
                <c:pt idx="259">
                  <c:v>2024-12-27</c:v>
                </c:pt>
                <c:pt idx="260">
                  <c:v>2024-12-30</c:v>
                </c:pt>
                <c:pt idx="261">
                  <c:v>2024-12-31</c:v>
                </c:pt>
              </c:strCache>
            </c:strRef>
          </c:cat>
          <c:val>
            <c:numRef>
              <c:f>Raw_Data!$K$1312:$K$1573</c:f>
              <c:numCache>
                <c:formatCode>0.00</c:formatCode>
                <c:ptCount val="262"/>
                <c:pt idx="19">
                  <c:v>423.94899999999996</c:v>
                </c:pt>
                <c:pt idx="20">
                  <c:v>420.90100000000001</c:v>
                </c:pt>
                <c:pt idx="21">
                  <c:v>418.40449999999998</c:v>
                </c:pt>
                <c:pt idx="22">
                  <c:v>417.05450000000002</c:v>
                </c:pt>
                <c:pt idx="23">
                  <c:v>418.04400000000004</c:v>
                </c:pt>
                <c:pt idx="24">
                  <c:v>418.73500000000001</c:v>
                </c:pt>
                <c:pt idx="25">
                  <c:v>419.06800000000004</c:v>
                </c:pt>
                <c:pt idx="26">
                  <c:v>418.84</c:v>
                </c:pt>
                <c:pt idx="27">
                  <c:v>419.97250000000003</c:v>
                </c:pt>
                <c:pt idx="28">
                  <c:v>419.96249999999998</c:v>
                </c:pt>
                <c:pt idx="29">
                  <c:v>421.40300000000008</c:v>
                </c:pt>
                <c:pt idx="30">
                  <c:v>421.88050000000004</c:v>
                </c:pt>
                <c:pt idx="31">
                  <c:v>423.07399999999996</c:v>
                </c:pt>
                <c:pt idx="32">
                  <c:v>424.47899999999998</c:v>
                </c:pt>
                <c:pt idx="33">
                  <c:v>425.94449999999995</c:v>
                </c:pt>
                <c:pt idx="34">
                  <c:v>425.584</c:v>
                </c:pt>
                <c:pt idx="35">
                  <c:v>425.65800000000002</c:v>
                </c:pt>
                <c:pt idx="36">
                  <c:v>424.88350000000003</c:v>
                </c:pt>
                <c:pt idx="37">
                  <c:v>423.75049999999999</c:v>
                </c:pt>
                <c:pt idx="38">
                  <c:v>423.83699999999988</c:v>
                </c:pt>
                <c:pt idx="39">
                  <c:v>423.85549999999995</c:v>
                </c:pt>
                <c:pt idx="40">
                  <c:v>423.07499999999999</c:v>
                </c:pt>
                <c:pt idx="41">
                  <c:v>421.32150000000001</c:v>
                </c:pt>
                <c:pt idx="42">
                  <c:v>417.82100000000003</c:v>
                </c:pt>
                <c:pt idx="43">
                  <c:v>413.57300000000004</c:v>
                </c:pt>
                <c:pt idx="44">
                  <c:v>409.61599999999999</c:v>
                </c:pt>
                <c:pt idx="45">
                  <c:v>405.52100000000002</c:v>
                </c:pt>
                <c:pt idx="46">
                  <c:v>402.7285</c:v>
                </c:pt>
                <c:pt idx="47">
                  <c:v>399.49899999999997</c:v>
                </c:pt>
                <c:pt idx="48">
                  <c:v>397.18099999999998</c:v>
                </c:pt>
                <c:pt idx="49">
                  <c:v>394.65250000000003</c:v>
                </c:pt>
                <c:pt idx="50">
                  <c:v>392.62799999999999</c:v>
                </c:pt>
                <c:pt idx="51">
                  <c:v>390.137</c:v>
                </c:pt>
                <c:pt idx="52">
                  <c:v>387.81900000000002</c:v>
                </c:pt>
                <c:pt idx="53">
                  <c:v>386.24549999999999</c:v>
                </c:pt>
                <c:pt idx="54">
                  <c:v>384.60250000000002</c:v>
                </c:pt>
                <c:pt idx="55">
                  <c:v>382.78950000000003</c:v>
                </c:pt>
                <c:pt idx="56">
                  <c:v>381.23599999999999</c:v>
                </c:pt>
                <c:pt idx="57">
                  <c:v>380.09150000000005</c:v>
                </c:pt>
                <c:pt idx="58">
                  <c:v>378.76100000000002</c:v>
                </c:pt>
                <c:pt idx="59">
                  <c:v>377.37100000000004</c:v>
                </c:pt>
                <c:pt idx="60">
                  <c:v>376.6275</c:v>
                </c:pt>
                <c:pt idx="61">
                  <c:v>376.45300000000009</c:v>
                </c:pt>
                <c:pt idx="62">
                  <c:v>378.27350000000001</c:v>
                </c:pt>
                <c:pt idx="63">
                  <c:v>378.6345</c:v>
                </c:pt>
                <c:pt idx="64">
                  <c:v>378.76750000000004</c:v>
                </c:pt>
                <c:pt idx="65">
                  <c:v>379.05800000000005</c:v>
                </c:pt>
                <c:pt idx="66">
                  <c:v>378.57049999999998</c:v>
                </c:pt>
                <c:pt idx="67">
                  <c:v>378.35700000000003</c:v>
                </c:pt>
                <c:pt idx="68">
                  <c:v>377.83599999999996</c:v>
                </c:pt>
                <c:pt idx="69">
                  <c:v>377.61099999999999</c:v>
                </c:pt>
                <c:pt idx="70">
                  <c:v>376.45299999999997</c:v>
                </c:pt>
                <c:pt idx="71">
                  <c:v>375.2045</c:v>
                </c:pt>
                <c:pt idx="72">
                  <c:v>373.04650000000004</c:v>
                </c:pt>
                <c:pt idx="73">
                  <c:v>370.19200000000001</c:v>
                </c:pt>
                <c:pt idx="74">
                  <c:v>368.02599999999995</c:v>
                </c:pt>
                <c:pt idx="75">
                  <c:v>366.98199999999997</c:v>
                </c:pt>
                <c:pt idx="76">
                  <c:v>365.52550000000008</c:v>
                </c:pt>
                <c:pt idx="77">
                  <c:v>363.94</c:v>
                </c:pt>
                <c:pt idx="78">
                  <c:v>362.55949999999996</c:v>
                </c:pt>
                <c:pt idx="79">
                  <c:v>362.07349999999991</c:v>
                </c:pt>
                <c:pt idx="80">
                  <c:v>361.55500000000001</c:v>
                </c:pt>
                <c:pt idx="81">
                  <c:v>360.52200000000005</c:v>
                </c:pt>
                <c:pt idx="82">
                  <c:v>358.17950000000008</c:v>
                </c:pt>
                <c:pt idx="83">
                  <c:v>356.05700000000007</c:v>
                </c:pt>
                <c:pt idx="84">
                  <c:v>353.65800000000002</c:v>
                </c:pt>
                <c:pt idx="85">
                  <c:v>350.82450000000006</c:v>
                </c:pt>
                <c:pt idx="86">
                  <c:v>348.50450000000012</c:v>
                </c:pt>
                <c:pt idx="87">
                  <c:v>346.1015000000001</c:v>
                </c:pt>
                <c:pt idx="88">
                  <c:v>344.3515000000001</c:v>
                </c:pt>
                <c:pt idx="89">
                  <c:v>341.70150000000001</c:v>
                </c:pt>
                <c:pt idx="90">
                  <c:v>339.69799999999998</c:v>
                </c:pt>
                <c:pt idx="91">
                  <c:v>337.45350000000002</c:v>
                </c:pt>
                <c:pt idx="92">
                  <c:v>334.89050000000009</c:v>
                </c:pt>
                <c:pt idx="93">
                  <c:v>332.83750000000003</c:v>
                </c:pt>
                <c:pt idx="94">
                  <c:v>331.44650000000007</c:v>
                </c:pt>
                <c:pt idx="95">
                  <c:v>330.25149999999996</c:v>
                </c:pt>
                <c:pt idx="96">
                  <c:v>330.14949999999999</c:v>
                </c:pt>
                <c:pt idx="97">
                  <c:v>330.24699999999996</c:v>
                </c:pt>
                <c:pt idx="98">
                  <c:v>331.56200000000001</c:v>
                </c:pt>
                <c:pt idx="99">
                  <c:v>331.95749999999998</c:v>
                </c:pt>
                <c:pt idx="100">
                  <c:v>332.62950000000001</c:v>
                </c:pt>
                <c:pt idx="101">
                  <c:v>333.89450000000005</c:v>
                </c:pt>
                <c:pt idx="102">
                  <c:v>335.79500000000007</c:v>
                </c:pt>
                <c:pt idx="103">
                  <c:v>337.80399999999997</c:v>
                </c:pt>
                <c:pt idx="104">
                  <c:v>339.94200000000006</c:v>
                </c:pt>
                <c:pt idx="105">
                  <c:v>342.67349999999999</c:v>
                </c:pt>
                <c:pt idx="106">
                  <c:v>345.74649999999997</c:v>
                </c:pt>
                <c:pt idx="107">
                  <c:v>348.59250000000009</c:v>
                </c:pt>
                <c:pt idx="108">
                  <c:v>350.87900000000002</c:v>
                </c:pt>
                <c:pt idx="109">
                  <c:v>352.79400000000004</c:v>
                </c:pt>
                <c:pt idx="110">
                  <c:v>356.22200000000004</c:v>
                </c:pt>
                <c:pt idx="111">
                  <c:v>359.97050000000002</c:v>
                </c:pt>
                <c:pt idx="112">
                  <c:v>364.07700000000006</c:v>
                </c:pt>
                <c:pt idx="113">
                  <c:v>368.25600000000009</c:v>
                </c:pt>
                <c:pt idx="114">
                  <c:v>372.51900000000012</c:v>
                </c:pt>
                <c:pt idx="115">
                  <c:v>375.13450000000006</c:v>
                </c:pt>
                <c:pt idx="116">
                  <c:v>377.02900000000011</c:v>
                </c:pt>
                <c:pt idx="117">
                  <c:v>378.85250000000008</c:v>
                </c:pt>
                <c:pt idx="118">
                  <c:v>379.42550000000006</c:v>
                </c:pt>
                <c:pt idx="119">
                  <c:v>380.29599999999999</c:v>
                </c:pt>
                <c:pt idx="120">
                  <c:v>381.93700000000001</c:v>
                </c:pt>
                <c:pt idx="121">
                  <c:v>383.91200000000003</c:v>
                </c:pt>
                <c:pt idx="122">
                  <c:v>385.83550000000002</c:v>
                </c:pt>
                <c:pt idx="123">
                  <c:v>388.25750000000005</c:v>
                </c:pt>
                <c:pt idx="124">
                  <c:v>390.76550000000003</c:v>
                </c:pt>
                <c:pt idx="125">
                  <c:v>392.88299999999998</c:v>
                </c:pt>
                <c:pt idx="126">
                  <c:v>394.70150000000001</c:v>
                </c:pt>
                <c:pt idx="127">
                  <c:v>396.39950000000005</c:v>
                </c:pt>
                <c:pt idx="128">
                  <c:v>398.42500000000001</c:v>
                </c:pt>
                <c:pt idx="129">
                  <c:v>401.06250000000006</c:v>
                </c:pt>
                <c:pt idx="130">
                  <c:v>402.32450000000006</c:v>
                </c:pt>
                <c:pt idx="131">
                  <c:v>402.81400000000002</c:v>
                </c:pt>
                <c:pt idx="132">
                  <c:v>403.32150000000001</c:v>
                </c:pt>
                <c:pt idx="133">
                  <c:v>403.7115</c:v>
                </c:pt>
                <c:pt idx="134">
                  <c:v>403.78899999999999</c:v>
                </c:pt>
                <c:pt idx="135">
                  <c:v>404.39250000000004</c:v>
                </c:pt>
                <c:pt idx="136">
                  <c:v>406.09250000000003</c:v>
                </c:pt>
                <c:pt idx="137">
                  <c:v>407.1345</c:v>
                </c:pt>
                <c:pt idx="138">
                  <c:v>408.66950000000003</c:v>
                </c:pt>
                <c:pt idx="139">
                  <c:v>410.15899999999999</c:v>
                </c:pt>
                <c:pt idx="140">
                  <c:v>410.50450000000001</c:v>
                </c:pt>
                <c:pt idx="141">
                  <c:v>411.89000000000004</c:v>
                </c:pt>
                <c:pt idx="142">
                  <c:v>413.80600000000004</c:v>
                </c:pt>
                <c:pt idx="143">
                  <c:v>416.16850000000005</c:v>
                </c:pt>
                <c:pt idx="144">
                  <c:v>419.238</c:v>
                </c:pt>
                <c:pt idx="145">
                  <c:v>423.29450000000008</c:v>
                </c:pt>
                <c:pt idx="146">
                  <c:v>427.27700000000004</c:v>
                </c:pt>
                <c:pt idx="147">
                  <c:v>431.8325000000001</c:v>
                </c:pt>
                <c:pt idx="148">
                  <c:v>436.57600000000002</c:v>
                </c:pt>
                <c:pt idx="149">
                  <c:v>442.91049999999996</c:v>
                </c:pt>
                <c:pt idx="150">
                  <c:v>450.57550000000009</c:v>
                </c:pt>
                <c:pt idx="151">
                  <c:v>457.81100000000004</c:v>
                </c:pt>
                <c:pt idx="152">
                  <c:v>464.65249999999997</c:v>
                </c:pt>
                <c:pt idx="153">
                  <c:v>470.03950000000003</c:v>
                </c:pt>
                <c:pt idx="154">
                  <c:v>476.29499999999996</c:v>
                </c:pt>
                <c:pt idx="155">
                  <c:v>483.73449999999991</c:v>
                </c:pt>
                <c:pt idx="156">
                  <c:v>491.19749999999993</c:v>
                </c:pt>
                <c:pt idx="157">
                  <c:v>498.52649999999994</c:v>
                </c:pt>
                <c:pt idx="158">
                  <c:v>503.63800000000003</c:v>
                </c:pt>
                <c:pt idx="159">
                  <c:v>506.67750000000007</c:v>
                </c:pt>
                <c:pt idx="160">
                  <c:v>509.44650000000013</c:v>
                </c:pt>
                <c:pt idx="161">
                  <c:v>510.7000000000001</c:v>
                </c:pt>
                <c:pt idx="162">
                  <c:v>510.36550000000005</c:v>
                </c:pt>
                <c:pt idx="163">
                  <c:v>509.45150000000001</c:v>
                </c:pt>
                <c:pt idx="164">
                  <c:v>507.89099999999996</c:v>
                </c:pt>
                <c:pt idx="165">
                  <c:v>506.0569999999999</c:v>
                </c:pt>
                <c:pt idx="166">
                  <c:v>503.81350000000003</c:v>
                </c:pt>
                <c:pt idx="167">
                  <c:v>500.99750000000006</c:v>
                </c:pt>
                <c:pt idx="168">
                  <c:v>498.02700000000004</c:v>
                </c:pt>
                <c:pt idx="169">
                  <c:v>494.17650000000015</c:v>
                </c:pt>
                <c:pt idx="170">
                  <c:v>489.01049999999998</c:v>
                </c:pt>
                <c:pt idx="171">
                  <c:v>485.66799999999995</c:v>
                </c:pt>
                <c:pt idx="172">
                  <c:v>481.92299999999994</c:v>
                </c:pt>
                <c:pt idx="173">
                  <c:v>479.36049999999994</c:v>
                </c:pt>
                <c:pt idx="174">
                  <c:v>476.32250000000005</c:v>
                </c:pt>
                <c:pt idx="175">
                  <c:v>472.39449999999999</c:v>
                </c:pt>
                <c:pt idx="176">
                  <c:v>468.05399999999997</c:v>
                </c:pt>
                <c:pt idx="177">
                  <c:v>464.46600000000001</c:v>
                </c:pt>
                <c:pt idx="178">
                  <c:v>462.66149999999999</c:v>
                </c:pt>
                <c:pt idx="179">
                  <c:v>462.33549999999997</c:v>
                </c:pt>
                <c:pt idx="180">
                  <c:v>459.36250000000001</c:v>
                </c:pt>
                <c:pt idx="181">
                  <c:v>457.33800000000002</c:v>
                </c:pt>
                <c:pt idx="182">
                  <c:v>457.36450000000002</c:v>
                </c:pt>
                <c:pt idx="183">
                  <c:v>457.8540000000001</c:v>
                </c:pt>
                <c:pt idx="184">
                  <c:v>458.38900000000001</c:v>
                </c:pt>
                <c:pt idx="185">
                  <c:v>459.94049999999999</c:v>
                </c:pt>
                <c:pt idx="186">
                  <c:v>461.64399999999995</c:v>
                </c:pt>
                <c:pt idx="187">
                  <c:v>462.5424999999999</c:v>
                </c:pt>
                <c:pt idx="188">
                  <c:v>463.13449999999995</c:v>
                </c:pt>
                <c:pt idx="189">
                  <c:v>462.83099999999996</c:v>
                </c:pt>
                <c:pt idx="190">
                  <c:v>463.03899999999987</c:v>
                </c:pt>
                <c:pt idx="191">
                  <c:v>462.50249999999988</c:v>
                </c:pt>
                <c:pt idx="192">
                  <c:v>461.73549999999994</c:v>
                </c:pt>
                <c:pt idx="193">
                  <c:v>459.98249999999996</c:v>
                </c:pt>
                <c:pt idx="194">
                  <c:v>457.80950000000013</c:v>
                </c:pt>
                <c:pt idx="195">
                  <c:v>455.7885</c:v>
                </c:pt>
                <c:pt idx="196">
                  <c:v>454.00199999999995</c:v>
                </c:pt>
                <c:pt idx="197">
                  <c:v>451.69450000000006</c:v>
                </c:pt>
                <c:pt idx="198">
                  <c:v>449.71249999999998</c:v>
                </c:pt>
                <c:pt idx="199">
                  <c:v>447.72950000000003</c:v>
                </c:pt>
                <c:pt idx="200">
                  <c:v>447.94299999999993</c:v>
                </c:pt>
                <c:pt idx="201">
                  <c:v>447.68550000000005</c:v>
                </c:pt>
                <c:pt idx="202">
                  <c:v>447.1035</c:v>
                </c:pt>
                <c:pt idx="203">
                  <c:v>447.18500000000006</c:v>
                </c:pt>
                <c:pt idx="204">
                  <c:v>447.57300000000004</c:v>
                </c:pt>
                <c:pt idx="205">
                  <c:v>446.82399999999996</c:v>
                </c:pt>
                <c:pt idx="206">
                  <c:v>446.05649999999997</c:v>
                </c:pt>
                <c:pt idx="207">
                  <c:v>446.416</c:v>
                </c:pt>
                <c:pt idx="208">
                  <c:v>447.12099999999998</c:v>
                </c:pt>
                <c:pt idx="209">
                  <c:v>447.80200000000002</c:v>
                </c:pt>
                <c:pt idx="210">
                  <c:v>449.15699999999998</c:v>
                </c:pt>
                <c:pt idx="211">
                  <c:v>450.10900000000004</c:v>
                </c:pt>
                <c:pt idx="212">
                  <c:v>451.33550000000002</c:v>
                </c:pt>
                <c:pt idx="213">
                  <c:v>453.51249999999993</c:v>
                </c:pt>
                <c:pt idx="214">
                  <c:v>454.83299999999997</c:v>
                </c:pt>
                <c:pt idx="215">
                  <c:v>454.82049999999992</c:v>
                </c:pt>
                <c:pt idx="216">
                  <c:v>454.4255</c:v>
                </c:pt>
                <c:pt idx="217">
                  <c:v>455.04499999999996</c:v>
                </c:pt>
                <c:pt idx="218">
                  <c:v>455.12199999999996</c:v>
                </c:pt>
                <c:pt idx="219">
                  <c:v>457.06999999999982</c:v>
                </c:pt>
                <c:pt idx="220">
                  <c:v>461.11599999999987</c:v>
                </c:pt>
                <c:pt idx="221">
                  <c:v>465.45149999999995</c:v>
                </c:pt>
                <c:pt idx="222">
                  <c:v>468.64699999999993</c:v>
                </c:pt>
                <c:pt idx="223">
                  <c:v>471.90449999999993</c:v>
                </c:pt>
                <c:pt idx="224">
                  <c:v>475.15899999999999</c:v>
                </c:pt>
                <c:pt idx="225">
                  <c:v>477.81100000000004</c:v>
                </c:pt>
                <c:pt idx="226">
                  <c:v>481.74650000000003</c:v>
                </c:pt>
                <c:pt idx="227">
                  <c:v>484.66150000000005</c:v>
                </c:pt>
                <c:pt idx="228">
                  <c:v>487.15649999999994</c:v>
                </c:pt>
                <c:pt idx="229">
                  <c:v>489.63</c:v>
                </c:pt>
                <c:pt idx="230">
                  <c:v>491.90100000000001</c:v>
                </c:pt>
                <c:pt idx="231">
                  <c:v>496.49700000000001</c:v>
                </c:pt>
                <c:pt idx="232">
                  <c:v>501.37849999999997</c:v>
                </c:pt>
                <c:pt idx="233">
                  <c:v>507.40600000000012</c:v>
                </c:pt>
                <c:pt idx="234">
                  <c:v>513.83150000000001</c:v>
                </c:pt>
                <c:pt idx="235">
                  <c:v>519.92150000000015</c:v>
                </c:pt>
                <c:pt idx="236">
                  <c:v>526.4670000000001</c:v>
                </c:pt>
                <c:pt idx="237">
                  <c:v>530.71250000000009</c:v>
                </c:pt>
                <c:pt idx="238">
                  <c:v>535.70799999999997</c:v>
                </c:pt>
                <c:pt idx="239">
                  <c:v>539.55899999999997</c:v>
                </c:pt>
                <c:pt idx="240">
                  <c:v>542.42749999999978</c:v>
                </c:pt>
                <c:pt idx="241">
                  <c:v>546.42699999999979</c:v>
                </c:pt>
                <c:pt idx="242">
                  <c:v>551.69249999999988</c:v>
                </c:pt>
                <c:pt idx="243">
                  <c:v>555.94249999999988</c:v>
                </c:pt>
                <c:pt idx="244">
                  <c:v>560.93449999999996</c:v>
                </c:pt>
                <c:pt idx="245">
                  <c:v>566.96100000000001</c:v>
                </c:pt>
                <c:pt idx="246">
                  <c:v>571.44000000000005</c:v>
                </c:pt>
                <c:pt idx="247">
                  <c:v>578.60550000000012</c:v>
                </c:pt>
                <c:pt idx="248">
                  <c:v>587.65700000000015</c:v>
                </c:pt>
                <c:pt idx="249">
                  <c:v>596.39200000000005</c:v>
                </c:pt>
                <c:pt idx="250">
                  <c:v>604.91750000000013</c:v>
                </c:pt>
                <c:pt idx="251">
                  <c:v>612.70100000000014</c:v>
                </c:pt>
                <c:pt idx="252">
                  <c:v>621.41649999999993</c:v>
                </c:pt>
                <c:pt idx="253">
                  <c:v>629.66049999999996</c:v>
                </c:pt>
                <c:pt idx="254">
                  <c:v>636.7645</c:v>
                </c:pt>
                <c:pt idx="255">
                  <c:v>644.91149999999993</c:v>
                </c:pt>
                <c:pt idx="256">
                  <c:v>653.67349999999999</c:v>
                </c:pt>
                <c:pt idx="257">
                  <c:v>663.56200000000001</c:v>
                </c:pt>
                <c:pt idx="258">
                  <c:v>671.34750000000008</c:v>
                </c:pt>
                <c:pt idx="259">
                  <c:v>680.24149999999997</c:v>
                </c:pt>
                <c:pt idx="260">
                  <c:v>688.75099999999998</c:v>
                </c:pt>
                <c:pt idx="261">
                  <c:v>695.86850000000004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9D-431A-80B5-4B37256E96AC}"/>
            </c:ext>
          </c:extLst>
        </c:ser>
        <c:ser>
          <c:idx val="2"/>
          <c:order val="2"/>
          <c:tx>
            <c:strRef>
              <c:f>Raw_Data!$L$1311</c:f>
              <c:strCache>
                <c:ptCount val="1"/>
                <c:pt idx="0">
                  <c:v>446,19</c:v>
                </c:pt>
              </c:strCache>
            </c:strRef>
          </c:tx>
          <c:spPr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Raw_Data!$C$1312:$C$1573</c:f>
              <c:strCache>
                <c:ptCount val="262"/>
                <c:pt idx="0">
                  <c:v>2024-01-01</c:v>
                </c:pt>
                <c:pt idx="1">
                  <c:v>2024-01-02</c:v>
                </c:pt>
                <c:pt idx="2">
                  <c:v>2024-01-03</c:v>
                </c:pt>
                <c:pt idx="3">
                  <c:v>2024-01-04</c:v>
                </c:pt>
                <c:pt idx="4">
                  <c:v>2024-01-05</c:v>
                </c:pt>
                <c:pt idx="5">
                  <c:v>2024-01-08</c:v>
                </c:pt>
                <c:pt idx="6">
                  <c:v>2024-01-09</c:v>
                </c:pt>
                <c:pt idx="7">
                  <c:v>2024-01-10</c:v>
                </c:pt>
                <c:pt idx="8">
                  <c:v>2024-01-11</c:v>
                </c:pt>
                <c:pt idx="9">
                  <c:v>2024-01-12</c:v>
                </c:pt>
                <c:pt idx="10">
                  <c:v>2024-01-15</c:v>
                </c:pt>
                <c:pt idx="11">
                  <c:v>2024-01-16</c:v>
                </c:pt>
                <c:pt idx="12">
                  <c:v>2024-01-17</c:v>
                </c:pt>
                <c:pt idx="13">
                  <c:v>2024-01-18</c:v>
                </c:pt>
                <c:pt idx="14">
                  <c:v>2024-01-19</c:v>
                </c:pt>
                <c:pt idx="15">
                  <c:v>2024-01-22</c:v>
                </c:pt>
                <c:pt idx="16">
                  <c:v>2024-01-23</c:v>
                </c:pt>
                <c:pt idx="17">
                  <c:v>2024-01-24</c:v>
                </c:pt>
                <c:pt idx="18">
                  <c:v>2024-01-25</c:v>
                </c:pt>
                <c:pt idx="19">
                  <c:v>2024-01-26</c:v>
                </c:pt>
                <c:pt idx="20">
                  <c:v>2024-01-29</c:v>
                </c:pt>
                <c:pt idx="21">
                  <c:v>2024-01-30</c:v>
                </c:pt>
                <c:pt idx="22">
                  <c:v>2024-01-31</c:v>
                </c:pt>
                <c:pt idx="23">
                  <c:v>2024-02-01</c:v>
                </c:pt>
                <c:pt idx="24">
                  <c:v>2024-02-02</c:v>
                </c:pt>
                <c:pt idx="25">
                  <c:v>2024-02-05</c:v>
                </c:pt>
                <c:pt idx="26">
                  <c:v>2024-02-06</c:v>
                </c:pt>
                <c:pt idx="27">
                  <c:v>2024-02-07</c:v>
                </c:pt>
                <c:pt idx="28">
                  <c:v>2024-02-08</c:v>
                </c:pt>
                <c:pt idx="29">
                  <c:v>2024-02-09</c:v>
                </c:pt>
                <c:pt idx="30">
                  <c:v>2024-02-12</c:v>
                </c:pt>
                <c:pt idx="31">
                  <c:v>2024-02-13</c:v>
                </c:pt>
                <c:pt idx="32">
                  <c:v>2024-02-14</c:v>
                </c:pt>
                <c:pt idx="33">
                  <c:v>2024-02-15</c:v>
                </c:pt>
                <c:pt idx="34">
                  <c:v>2024-02-16</c:v>
                </c:pt>
                <c:pt idx="35">
                  <c:v>2024-02-19</c:v>
                </c:pt>
                <c:pt idx="36">
                  <c:v>2024-02-20</c:v>
                </c:pt>
                <c:pt idx="37">
                  <c:v>2024-02-21</c:v>
                </c:pt>
                <c:pt idx="38">
                  <c:v>2024-02-22</c:v>
                </c:pt>
                <c:pt idx="39">
                  <c:v>2024-02-23</c:v>
                </c:pt>
                <c:pt idx="40">
                  <c:v>2024-02-26</c:v>
                </c:pt>
                <c:pt idx="41">
                  <c:v>2024-02-27</c:v>
                </c:pt>
                <c:pt idx="42">
                  <c:v>2024-02-28</c:v>
                </c:pt>
                <c:pt idx="43">
                  <c:v>2024-02-29</c:v>
                </c:pt>
                <c:pt idx="44">
                  <c:v>2024-03-01</c:v>
                </c:pt>
                <c:pt idx="45">
                  <c:v>2024-03-04</c:v>
                </c:pt>
                <c:pt idx="46">
                  <c:v>2024-03-05</c:v>
                </c:pt>
                <c:pt idx="47">
                  <c:v>2024-03-06</c:v>
                </c:pt>
                <c:pt idx="48">
                  <c:v>2024-03-07</c:v>
                </c:pt>
                <c:pt idx="49">
                  <c:v>2024-03-08</c:v>
                </c:pt>
                <c:pt idx="50">
                  <c:v>2024-03-11</c:v>
                </c:pt>
                <c:pt idx="51">
                  <c:v>2024-03-12</c:v>
                </c:pt>
                <c:pt idx="52">
                  <c:v>2024-03-13</c:v>
                </c:pt>
                <c:pt idx="53">
                  <c:v>2024-03-14</c:v>
                </c:pt>
                <c:pt idx="54">
                  <c:v>2024-03-15</c:v>
                </c:pt>
                <c:pt idx="55">
                  <c:v>2024-03-18</c:v>
                </c:pt>
                <c:pt idx="56">
                  <c:v>2024-03-19</c:v>
                </c:pt>
                <c:pt idx="57">
                  <c:v>2024-03-20</c:v>
                </c:pt>
                <c:pt idx="58">
                  <c:v>2024-03-21</c:v>
                </c:pt>
                <c:pt idx="59">
                  <c:v>2024-03-22</c:v>
                </c:pt>
                <c:pt idx="60">
                  <c:v>2024-03-25</c:v>
                </c:pt>
                <c:pt idx="61">
                  <c:v>2024-03-26</c:v>
                </c:pt>
                <c:pt idx="62">
                  <c:v>2024-03-27</c:v>
                </c:pt>
                <c:pt idx="63">
                  <c:v>2024-03-28</c:v>
                </c:pt>
                <c:pt idx="64">
                  <c:v>2024-03-29</c:v>
                </c:pt>
                <c:pt idx="65">
                  <c:v>2024-04-01</c:v>
                </c:pt>
                <c:pt idx="66">
                  <c:v>2024-04-02</c:v>
                </c:pt>
                <c:pt idx="67">
                  <c:v>2024-04-03</c:v>
                </c:pt>
                <c:pt idx="68">
                  <c:v>2024-04-04</c:v>
                </c:pt>
                <c:pt idx="69">
                  <c:v>2024-04-05</c:v>
                </c:pt>
                <c:pt idx="70">
                  <c:v>2024-04-08</c:v>
                </c:pt>
                <c:pt idx="71">
                  <c:v>2024-04-09</c:v>
                </c:pt>
                <c:pt idx="72">
                  <c:v>2024-04-10</c:v>
                </c:pt>
                <c:pt idx="73">
                  <c:v>2024-04-11</c:v>
                </c:pt>
                <c:pt idx="74">
                  <c:v>2024-04-12</c:v>
                </c:pt>
                <c:pt idx="75">
                  <c:v>2024-04-15</c:v>
                </c:pt>
                <c:pt idx="76">
                  <c:v>2024-04-16</c:v>
                </c:pt>
                <c:pt idx="77">
                  <c:v>2024-04-17</c:v>
                </c:pt>
                <c:pt idx="78">
                  <c:v>2024-04-18</c:v>
                </c:pt>
                <c:pt idx="79">
                  <c:v>2024-04-19</c:v>
                </c:pt>
                <c:pt idx="80">
                  <c:v>2024-04-22</c:v>
                </c:pt>
                <c:pt idx="81">
                  <c:v>2024-04-23</c:v>
                </c:pt>
                <c:pt idx="82">
                  <c:v>2024-04-24</c:v>
                </c:pt>
                <c:pt idx="83">
                  <c:v>2024-04-25</c:v>
                </c:pt>
                <c:pt idx="84">
                  <c:v>2024-04-26</c:v>
                </c:pt>
                <c:pt idx="85">
                  <c:v>2024-04-29</c:v>
                </c:pt>
                <c:pt idx="86">
                  <c:v>2024-04-30</c:v>
                </c:pt>
                <c:pt idx="87">
                  <c:v>2024-05-01</c:v>
                </c:pt>
                <c:pt idx="88">
                  <c:v>2024-05-02</c:v>
                </c:pt>
                <c:pt idx="89">
                  <c:v>2024-05-03</c:v>
                </c:pt>
                <c:pt idx="90">
                  <c:v>2024-05-06</c:v>
                </c:pt>
                <c:pt idx="91">
                  <c:v>2024-05-07</c:v>
                </c:pt>
                <c:pt idx="92">
                  <c:v>2024-05-08</c:v>
                </c:pt>
                <c:pt idx="93">
                  <c:v>2024-05-09</c:v>
                </c:pt>
                <c:pt idx="94">
                  <c:v>2024-05-10</c:v>
                </c:pt>
                <c:pt idx="95">
                  <c:v>2024-05-13</c:v>
                </c:pt>
                <c:pt idx="96">
                  <c:v>2024-05-14</c:v>
                </c:pt>
                <c:pt idx="97">
                  <c:v>2024-05-15</c:v>
                </c:pt>
                <c:pt idx="98">
                  <c:v>2024-05-16</c:v>
                </c:pt>
                <c:pt idx="99">
                  <c:v>2024-05-17</c:v>
                </c:pt>
                <c:pt idx="100">
                  <c:v>2024-05-20</c:v>
                </c:pt>
                <c:pt idx="101">
                  <c:v>2024-05-21</c:v>
                </c:pt>
                <c:pt idx="102">
                  <c:v>2024-05-22</c:v>
                </c:pt>
                <c:pt idx="103">
                  <c:v>2024-05-23</c:v>
                </c:pt>
                <c:pt idx="104">
                  <c:v>2024-05-24</c:v>
                </c:pt>
                <c:pt idx="105">
                  <c:v>2024-05-27</c:v>
                </c:pt>
                <c:pt idx="106">
                  <c:v>2024-05-28</c:v>
                </c:pt>
                <c:pt idx="107">
                  <c:v>2024-05-29</c:v>
                </c:pt>
                <c:pt idx="108">
                  <c:v>2024-05-30</c:v>
                </c:pt>
                <c:pt idx="109">
                  <c:v>2024-05-31</c:v>
                </c:pt>
                <c:pt idx="110">
                  <c:v>2024-06-03</c:v>
                </c:pt>
                <c:pt idx="111">
                  <c:v>2024-06-04</c:v>
                </c:pt>
                <c:pt idx="112">
                  <c:v>2024-06-05</c:v>
                </c:pt>
                <c:pt idx="113">
                  <c:v>2024-06-06</c:v>
                </c:pt>
                <c:pt idx="114">
                  <c:v>2024-06-07</c:v>
                </c:pt>
                <c:pt idx="115">
                  <c:v>2024-06-10</c:v>
                </c:pt>
                <c:pt idx="116">
                  <c:v>2024-06-11</c:v>
                </c:pt>
                <c:pt idx="117">
                  <c:v>2024-06-12</c:v>
                </c:pt>
                <c:pt idx="118">
                  <c:v>2024-06-13</c:v>
                </c:pt>
                <c:pt idx="119">
                  <c:v>2024-06-14</c:v>
                </c:pt>
                <c:pt idx="120">
                  <c:v>2024-06-17</c:v>
                </c:pt>
                <c:pt idx="121">
                  <c:v>2024-06-18</c:v>
                </c:pt>
                <c:pt idx="122">
                  <c:v>2024-06-19</c:v>
                </c:pt>
                <c:pt idx="123">
                  <c:v>2024-06-20</c:v>
                </c:pt>
                <c:pt idx="124">
                  <c:v>2024-06-21</c:v>
                </c:pt>
                <c:pt idx="125">
                  <c:v>2024-06-24</c:v>
                </c:pt>
                <c:pt idx="126">
                  <c:v>2024-06-25</c:v>
                </c:pt>
                <c:pt idx="127">
                  <c:v>2024-06-26</c:v>
                </c:pt>
                <c:pt idx="128">
                  <c:v>2024-06-27</c:v>
                </c:pt>
                <c:pt idx="129">
                  <c:v>2024-06-28</c:v>
                </c:pt>
                <c:pt idx="130">
                  <c:v>2024-07-01</c:v>
                </c:pt>
                <c:pt idx="131">
                  <c:v>2024-07-02</c:v>
                </c:pt>
                <c:pt idx="132">
                  <c:v>2024-07-03</c:v>
                </c:pt>
                <c:pt idx="133">
                  <c:v>2024-07-04</c:v>
                </c:pt>
                <c:pt idx="134">
                  <c:v>2024-07-05</c:v>
                </c:pt>
                <c:pt idx="135">
                  <c:v>2024-07-08</c:v>
                </c:pt>
                <c:pt idx="136">
                  <c:v>2024-07-09</c:v>
                </c:pt>
                <c:pt idx="137">
                  <c:v>2024-07-10</c:v>
                </c:pt>
                <c:pt idx="138">
                  <c:v>2024-07-11</c:v>
                </c:pt>
                <c:pt idx="139">
                  <c:v>2024-07-12</c:v>
                </c:pt>
                <c:pt idx="140">
                  <c:v>2024-07-15</c:v>
                </c:pt>
                <c:pt idx="141">
                  <c:v>2024-07-16</c:v>
                </c:pt>
                <c:pt idx="142">
                  <c:v>2024-07-17</c:v>
                </c:pt>
                <c:pt idx="143">
                  <c:v>2024-07-18</c:v>
                </c:pt>
                <c:pt idx="144">
                  <c:v>2024-07-19</c:v>
                </c:pt>
                <c:pt idx="145">
                  <c:v>2024-07-22</c:v>
                </c:pt>
                <c:pt idx="146">
                  <c:v>2024-07-23</c:v>
                </c:pt>
                <c:pt idx="147">
                  <c:v>2024-07-24</c:v>
                </c:pt>
                <c:pt idx="148">
                  <c:v>2024-07-25</c:v>
                </c:pt>
                <c:pt idx="149">
                  <c:v>2024-07-26</c:v>
                </c:pt>
                <c:pt idx="150">
                  <c:v>2024-07-29</c:v>
                </c:pt>
                <c:pt idx="151">
                  <c:v>2024-07-30</c:v>
                </c:pt>
                <c:pt idx="152">
                  <c:v>2024-07-31</c:v>
                </c:pt>
                <c:pt idx="153">
                  <c:v>2024-08-01</c:v>
                </c:pt>
                <c:pt idx="154">
                  <c:v>2024-08-02</c:v>
                </c:pt>
                <c:pt idx="155">
                  <c:v>2024-08-05</c:v>
                </c:pt>
                <c:pt idx="156">
                  <c:v>2024-08-06</c:v>
                </c:pt>
                <c:pt idx="157">
                  <c:v>2024-08-07</c:v>
                </c:pt>
                <c:pt idx="158">
                  <c:v>2024-08-08</c:v>
                </c:pt>
                <c:pt idx="159">
                  <c:v>2024-08-09</c:v>
                </c:pt>
                <c:pt idx="160">
                  <c:v>2024-08-12</c:v>
                </c:pt>
                <c:pt idx="161">
                  <c:v>2024-08-13</c:v>
                </c:pt>
                <c:pt idx="162">
                  <c:v>2024-08-14</c:v>
                </c:pt>
                <c:pt idx="163">
                  <c:v>2024-08-15</c:v>
                </c:pt>
                <c:pt idx="164">
                  <c:v>2024-08-16</c:v>
                </c:pt>
                <c:pt idx="165">
                  <c:v>2024-08-19</c:v>
                </c:pt>
                <c:pt idx="166">
                  <c:v>2024-08-20</c:v>
                </c:pt>
                <c:pt idx="167">
                  <c:v>2024-08-21</c:v>
                </c:pt>
                <c:pt idx="168">
                  <c:v>2024-08-22</c:v>
                </c:pt>
                <c:pt idx="169">
                  <c:v>2024-08-23</c:v>
                </c:pt>
                <c:pt idx="170">
                  <c:v>2024-08-26</c:v>
                </c:pt>
                <c:pt idx="171">
                  <c:v>2024-08-27</c:v>
                </c:pt>
                <c:pt idx="172">
                  <c:v>2024-08-28</c:v>
                </c:pt>
                <c:pt idx="173">
                  <c:v>2024-08-29</c:v>
                </c:pt>
                <c:pt idx="174">
                  <c:v>2024-08-30</c:v>
                </c:pt>
                <c:pt idx="175">
                  <c:v>2024-09-02</c:v>
                </c:pt>
                <c:pt idx="176">
                  <c:v>2024-09-03</c:v>
                </c:pt>
                <c:pt idx="177">
                  <c:v>2024-09-04</c:v>
                </c:pt>
                <c:pt idx="178">
                  <c:v>2024-09-05</c:v>
                </c:pt>
                <c:pt idx="179">
                  <c:v>2024-09-06</c:v>
                </c:pt>
                <c:pt idx="180">
                  <c:v>2024-09-09</c:v>
                </c:pt>
                <c:pt idx="181">
                  <c:v>2024-09-10</c:v>
                </c:pt>
                <c:pt idx="182">
                  <c:v>2024-09-11</c:v>
                </c:pt>
                <c:pt idx="183">
                  <c:v>2024-09-12</c:v>
                </c:pt>
                <c:pt idx="184">
                  <c:v>2024-09-13</c:v>
                </c:pt>
                <c:pt idx="185">
                  <c:v>2024-09-16</c:v>
                </c:pt>
                <c:pt idx="186">
                  <c:v>2024-09-17</c:v>
                </c:pt>
                <c:pt idx="187">
                  <c:v>2024-09-18</c:v>
                </c:pt>
                <c:pt idx="188">
                  <c:v>2024-09-19</c:v>
                </c:pt>
                <c:pt idx="189">
                  <c:v>2024-09-20</c:v>
                </c:pt>
                <c:pt idx="190">
                  <c:v>2024-09-23</c:v>
                </c:pt>
                <c:pt idx="191">
                  <c:v>2024-09-24</c:v>
                </c:pt>
                <c:pt idx="192">
                  <c:v>2024-09-25</c:v>
                </c:pt>
                <c:pt idx="193">
                  <c:v>2024-09-26</c:v>
                </c:pt>
                <c:pt idx="194">
                  <c:v>2024-09-27</c:v>
                </c:pt>
                <c:pt idx="195">
                  <c:v>2024-09-30</c:v>
                </c:pt>
                <c:pt idx="196">
                  <c:v>2024-10-01</c:v>
                </c:pt>
                <c:pt idx="197">
                  <c:v>2024-10-02</c:v>
                </c:pt>
                <c:pt idx="198">
                  <c:v>2024-10-03</c:v>
                </c:pt>
                <c:pt idx="199">
                  <c:v>2024-10-04</c:v>
                </c:pt>
                <c:pt idx="200">
                  <c:v>2024-10-07</c:v>
                </c:pt>
                <c:pt idx="201">
                  <c:v>2024-10-08</c:v>
                </c:pt>
                <c:pt idx="202">
                  <c:v>2024-10-09</c:v>
                </c:pt>
                <c:pt idx="203">
                  <c:v>2024-10-10</c:v>
                </c:pt>
                <c:pt idx="204">
                  <c:v>2024-10-11</c:v>
                </c:pt>
                <c:pt idx="205">
                  <c:v>2024-10-14</c:v>
                </c:pt>
                <c:pt idx="206">
                  <c:v>2024-10-15</c:v>
                </c:pt>
                <c:pt idx="207">
                  <c:v>2024-10-16</c:v>
                </c:pt>
                <c:pt idx="208">
                  <c:v>2024-10-17</c:v>
                </c:pt>
                <c:pt idx="209">
                  <c:v>2024-10-18</c:v>
                </c:pt>
                <c:pt idx="210">
                  <c:v>2024-10-21</c:v>
                </c:pt>
                <c:pt idx="211">
                  <c:v>2024-10-22</c:v>
                </c:pt>
                <c:pt idx="212">
                  <c:v>2024-10-23</c:v>
                </c:pt>
                <c:pt idx="213">
                  <c:v>2024-10-24</c:v>
                </c:pt>
                <c:pt idx="214">
                  <c:v>2024-10-25</c:v>
                </c:pt>
                <c:pt idx="215">
                  <c:v>2024-10-28</c:v>
                </c:pt>
                <c:pt idx="216">
                  <c:v>2024-10-29</c:v>
                </c:pt>
                <c:pt idx="217">
                  <c:v>2024-10-30</c:v>
                </c:pt>
                <c:pt idx="218">
                  <c:v>2024-10-31</c:v>
                </c:pt>
                <c:pt idx="219">
                  <c:v>2024-11-01</c:v>
                </c:pt>
                <c:pt idx="220">
                  <c:v>2024-11-04</c:v>
                </c:pt>
                <c:pt idx="221">
                  <c:v>2024-11-05</c:v>
                </c:pt>
                <c:pt idx="222">
                  <c:v>2024-11-06</c:v>
                </c:pt>
                <c:pt idx="223">
                  <c:v>2024-11-07</c:v>
                </c:pt>
                <c:pt idx="224">
                  <c:v>2024-11-08</c:v>
                </c:pt>
                <c:pt idx="225">
                  <c:v>2024-11-11</c:v>
                </c:pt>
                <c:pt idx="226">
                  <c:v>2024-11-12</c:v>
                </c:pt>
                <c:pt idx="227">
                  <c:v>2024-11-13</c:v>
                </c:pt>
                <c:pt idx="228">
                  <c:v>2024-11-14</c:v>
                </c:pt>
                <c:pt idx="229">
                  <c:v>2024-11-15</c:v>
                </c:pt>
                <c:pt idx="230">
                  <c:v>2024-11-18</c:v>
                </c:pt>
                <c:pt idx="231">
                  <c:v>2024-11-19</c:v>
                </c:pt>
                <c:pt idx="232">
                  <c:v>2024-11-20</c:v>
                </c:pt>
                <c:pt idx="233">
                  <c:v>2024-11-21</c:v>
                </c:pt>
                <c:pt idx="234">
                  <c:v>2024-11-22</c:v>
                </c:pt>
                <c:pt idx="235">
                  <c:v>2024-11-25</c:v>
                </c:pt>
                <c:pt idx="236">
                  <c:v>2024-11-26</c:v>
                </c:pt>
                <c:pt idx="237">
                  <c:v>2024-11-27</c:v>
                </c:pt>
                <c:pt idx="238">
                  <c:v>2024-11-28</c:v>
                </c:pt>
                <c:pt idx="239">
                  <c:v>2024-11-29</c:v>
                </c:pt>
                <c:pt idx="240">
                  <c:v>2024-12-02</c:v>
                </c:pt>
                <c:pt idx="241">
                  <c:v>2024-12-03</c:v>
                </c:pt>
                <c:pt idx="242">
                  <c:v>2024-12-04</c:v>
                </c:pt>
                <c:pt idx="243">
                  <c:v>2024-12-05</c:v>
                </c:pt>
                <c:pt idx="244">
                  <c:v>2024-12-06</c:v>
                </c:pt>
                <c:pt idx="245">
                  <c:v>2024-12-09</c:v>
                </c:pt>
                <c:pt idx="246">
                  <c:v>2024-12-10</c:v>
                </c:pt>
                <c:pt idx="247">
                  <c:v>2024-12-11</c:v>
                </c:pt>
                <c:pt idx="248">
                  <c:v>2024-12-12</c:v>
                </c:pt>
                <c:pt idx="249">
                  <c:v>2024-12-13</c:v>
                </c:pt>
                <c:pt idx="250">
                  <c:v>2024-12-16</c:v>
                </c:pt>
                <c:pt idx="251">
                  <c:v>2024-12-17</c:v>
                </c:pt>
                <c:pt idx="252">
                  <c:v>2024-12-18</c:v>
                </c:pt>
                <c:pt idx="253">
                  <c:v>2024-12-19</c:v>
                </c:pt>
                <c:pt idx="254">
                  <c:v>2024-12-20</c:v>
                </c:pt>
                <c:pt idx="255">
                  <c:v>2024-12-23</c:v>
                </c:pt>
                <c:pt idx="256">
                  <c:v>2024-12-24</c:v>
                </c:pt>
                <c:pt idx="257">
                  <c:v>2024-12-25</c:v>
                </c:pt>
                <c:pt idx="258">
                  <c:v>2024-12-26</c:v>
                </c:pt>
                <c:pt idx="259">
                  <c:v>2024-12-27</c:v>
                </c:pt>
                <c:pt idx="260">
                  <c:v>2024-12-30</c:v>
                </c:pt>
                <c:pt idx="261">
                  <c:v>2024-12-31</c:v>
                </c:pt>
              </c:strCache>
            </c:strRef>
          </c:cat>
          <c:val>
            <c:numRef>
              <c:f>Raw_Data!$L$1312:$L$1573</c:f>
              <c:numCache>
                <c:formatCode>0.00</c:formatCode>
                <c:ptCount val="262"/>
                <c:pt idx="49">
                  <c:v>412.5394</c:v>
                </c:pt>
                <c:pt idx="50">
                  <c:v>410.79700000000003</c:v>
                </c:pt>
                <c:pt idx="51">
                  <c:v>409.33619999999996</c:v>
                </c:pt>
                <c:pt idx="52">
                  <c:v>408.43199999999996</c:v>
                </c:pt>
                <c:pt idx="53">
                  <c:v>408.11019999999991</c:v>
                </c:pt>
                <c:pt idx="54">
                  <c:v>407.3977999999999</c:v>
                </c:pt>
                <c:pt idx="55">
                  <c:v>406.50919999999996</c:v>
                </c:pt>
                <c:pt idx="56">
                  <c:v>405.57779999999997</c:v>
                </c:pt>
                <c:pt idx="57">
                  <c:v>405.19</c:v>
                </c:pt>
                <c:pt idx="58">
                  <c:v>404.54580000000004</c:v>
                </c:pt>
                <c:pt idx="59">
                  <c:v>403.95299999999997</c:v>
                </c:pt>
                <c:pt idx="60">
                  <c:v>403.24779999999998</c:v>
                </c:pt>
                <c:pt idx="61">
                  <c:v>402.41979999999995</c:v>
                </c:pt>
                <c:pt idx="62">
                  <c:v>401.74679999999995</c:v>
                </c:pt>
                <c:pt idx="63">
                  <c:v>400.86639999999994</c:v>
                </c:pt>
                <c:pt idx="64">
                  <c:v>399.52419999999989</c:v>
                </c:pt>
                <c:pt idx="65">
                  <c:v>398.32859999999988</c:v>
                </c:pt>
                <c:pt idx="66">
                  <c:v>396.92559999999992</c:v>
                </c:pt>
                <c:pt idx="67">
                  <c:v>395.4781999999999</c:v>
                </c:pt>
                <c:pt idx="68">
                  <c:v>394.48519999999985</c:v>
                </c:pt>
                <c:pt idx="69">
                  <c:v>394.00419999999991</c:v>
                </c:pt>
                <c:pt idx="70">
                  <c:v>393.01779999999997</c:v>
                </c:pt>
                <c:pt idx="71">
                  <c:v>392.05620000000005</c:v>
                </c:pt>
                <c:pt idx="72">
                  <c:v>390.82880000000006</c:v>
                </c:pt>
                <c:pt idx="73">
                  <c:v>388.96940000000001</c:v>
                </c:pt>
                <c:pt idx="74">
                  <c:v>387.11419999999993</c:v>
                </c:pt>
                <c:pt idx="75">
                  <c:v>385.67479999999989</c:v>
                </c:pt>
                <c:pt idx="76">
                  <c:v>384.2519999999999</c:v>
                </c:pt>
                <c:pt idx="77">
                  <c:v>382.77699999999987</c:v>
                </c:pt>
                <c:pt idx="78">
                  <c:v>381.58459999999991</c:v>
                </c:pt>
                <c:pt idx="79">
                  <c:v>380.2211999999999</c:v>
                </c:pt>
                <c:pt idx="80">
                  <c:v>379.11759999999987</c:v>
                </c:pt>
                <c:pt idx="81">
                  <c:v>377.39899999999989</c:v>
                </c:pt>
                <c:pt idx="82">
                  <c:v>375.22699999999992</c:v>
                </c:pt>
                <c:pt idx="83">
                  <c:v>372.91140000000001</c:v>
                </c:pt>
                <c:pt idx="84">
                  <c:v>370.75379999999996</c:v>
                </c:pt>
                <c:pt idx="85">
                  <c:v>368.39519999999999</c:v>
                </c:pt>
                <c:pt idx="86">
                  <c:v>366.37400000000002</c:v>
                </c:pt>
                <c:pt idx="87">
                  <c:v>364.41860000000003</c:v>
                </c:pt>
                <c:pt idx="88">
                  <c:v>362.69099999999992</c:v>
                </c:pt>
                <c:pt idx="89">
                  <c:v>361.14259999999996</c:v>
                </c:pt>
                <c:pt idx="90">
                  <c:v>359.66699999999997</c:v>
                </c:pt>
                <c:pt idx="91">
                  <c:v>358.50899999999984</c:v>
                </c:pt>
                <c:pt idx="92">
                  <c:v>357.65659999999991</c:v>
                </c:pt>
                <c:pt idx="93">
                  <c:v>356.67519999999996</c:v>
                </c:pt>
                <c:pt idx="94">
                  <c:v>355.8463999999999</c:v>
                </c:pt>
                <c:pt idx="95">
                  <c:v>355.56699999999995</c:v>
                </c:pt>
                <c:pt idx="96">
                  <c:v>355.22039999999993</c:v>
                </c:pt>
                <c:pt idx="97">
                  <c:v>355.07619999999997</c:v>
                </c:pt>
                <c:pt idx="98">
                  <c:v>355.33699999999988</c:v>
                </c:pt>
                <c:pt idx="99">
                  <c:v>355.14319999999998</c:v>
                </c:pt>
                <c:pt idx="100">
                  <c:v>355.11819999999994</c:v>
                </c:pt>
                <c:pt idx="101">
                  <c:v>354.90199999999999</c:v>
                </c:pt>
                <c:pt idx="102">
                  <c:v>354.41739999999999</c:v>
                </c:pt>
                <c:pt idx="103">
                  <c:v>353.53480000000002</c:v>
                </c:pt>
                <c:pt idx="104">
                  <c:v>352.88959999999997</c:v>
                </c:pt>
                <c:pt idx="105">
                  <c:v>352.34880000000004</c:v>
                </c:pt>
                <c:pt idx="106">
                  <c:v>352.17820000000006</c:v>
                </c:pt>
                <c:pt idx="107">
                  <c:v>351.81899999999996</c:v>
                </c:pt>
                <c:pt idx="108">
                  <c:v>351.53819999999985</c:v>
                </c:pt>
                <c:pt idx="109">
                  <c:v>351.31179999999983</c:v>
                </c:pt>
                <c:pt idx="110">
                  <c:v>351.50479999999993</c:v>
                </c:pt>
                <c:pt idx="111">
                  <c:v>351.916</c:v>
                </c:pt>
                <c:pt idx="112">
                  <c:v>351.97799999999995</c:v>
                </c:pt>
                <c:pt idx="113">
                  <c:v>352.52379999999999</c:v>
                </c:pt>
                <c:pt idx="114">
                  <c:v>353.34699999999998</c:v>
                </c:pt>
                <c:pt idx="115">
                  <c:v>353.99760000000003</c:v>
                </c:pt>
                <c:pt idx="116">
                  <c:v>354.60380000000004</c:v>
                </c:pt>
                <c:pt idx="117">
                  <c:v>355.27440000000001</c:v>
                </c:pt>
                <c:pt idx="118">
                  <c:v>355.97280000000001</c:v>
                </c:pt>
                <c:pt idx="119">
                  <c:v>356.2172000000001</c:v>
                </c:pt>
                <c:pt idx="120">
                  <c:v>357.31180000000001</c:v>
                </c:pt>
                <c:pt idx="121">
                  <c:v>358.38500000000005</c:v>
                </c:pt>
                <c:pt idx="122">
                  <c:v>359.53300000000002</c:v>
                </c:pt>
                <c:pt idx="123">
                  <c:v>360.76100000000008</c:v>
                </c:pt>
                <c:pt idx="124">
                  <c:v>361.98540000000008</c:v>
                </c:pt>
                <c:pt idx="125">
                  <c:v>362.70920000000001</c:v>
                </c:pt>
                <c:pt idx="126">
                  <c:v>363.84860000000003</c:v>
                </c:pt>
                <c:pt idx="127">
                  <c:v>364.80280000000005</c:v>
                </c:pt>
                <c:pt idx="128">
                  <c:v>365.88440000000008</c:v>
                </c:pt>
                <c:pt idx="129">
                  <c:v>366.90740000000005</c:v>
                </c:pt>
                <c:pt idx="130">
                  <c:v>367.81260000000009</c:v>
                </c:pt>
                <c:pt idx="131">
                  <c:v>368.83280000000008</c:v>
                </c:pt>
                <c:pt idx="132">
                  <c:v>370.03480000000002</c:v>
                </c:pt>
                <c:pt idx="133">
                  <c:v>371.5856</c:v>
                </c:pt>
                <c:pt idx="134">
                  <c:v>373.39940000000001</c:v>
                </c:pt>
                <c:pt idx="135">
                  <c:v>375.42479999999995</c:v>
                </c:pt>
                <c:pt idx="136">
                  <c:v>377.63899999999995</c:v>
                </c:pt>
                <c:pt idx="137">
                  <c:v>379.68759999999997</c:v>
                </c:pt>
                <c:pt idx="138">
                  <c:v>381.69999999999993</c:v>
                </c:pt>
                <c:pt idx="139">
                  <c:v>383.60019999999997</c:v>
                </c:pt>
                <c:pt idx="140">
                  <c:v>385.63440000000003</c:v>
                </c:pt>
                <c:pt idx="141">
                  <c:v>388.15960000000001</c:v>
                </c:pt>
                <c:pt idx="142">
                  <c:v>391.0992</c:v>
                </c:pt>
                <c:pt idx="143">
                  <c:v>394.09340000000009</c:v>
                </c:pt>
                <c:pt idx="144">
                  <c:v>397.10200000000003</c:v>
                </c:pt>
                <c:pt idx="145">
                  <c:v>399.92640000000006</c:v>
                </c:pt>
                <c:pt idx="146">
                  <c:v>402.69960000000009</c:v>
                </c:pt>
                <c:pt idx="147">
                  <c:v>405.43700000000007</c:v>
                </c:pt>
                <c:pt idx="148">
                  <c:v>407.89</c:v>
                </c:pt>
                <c:pt idx="149">
                  <c:v>411.28859999999992</c:v>
                </c:pt>
                <c:pt idx="150">
                  <c:v>414.99099999999999</c:v>
                </c:pt>
                <c:pt idx="151">
                  <c:v>418.39939999999996</c:v>
                </c:pt>
                <c:pt idx="152">
                  <c:v>421.57779999999997</c:v>
                </c:pt>
                <c:pt idx="153">
                  <c:v>424.47980000000001</c:v>
                </c:pt>
                <c:pt idx="154">
                  <c:v>427.94059999999996</c:v>
                </c:pt>
                <c:pt idx="155">
                  <c:v>431.8492</c:v>
                </c:pt>
                <c:pt idx="156">
                  <c:v>435.81940000000003</c:v>
                </c:pt>
                <c:pt idx="157">
                  <c:v>439.66120000000001</c:v>
                </c:pt>
                <c:pt idx="158">
                  <c:v>442.80360000000007</c:v>
                </c:pt>
                <c:pt idx="159">
                  <c:v>445.1536000000001</c:v>
                </c:pt>
                <c:pt idx="160">
                  <c:v>446.92419999999998</c:v>
                </c:pt>
                <c:pt idx="161">
                  <c:v>448.45139999999998</c:v>
                </c:pt>
                <c:pt idx="162">
                  <c:v>449.61460000000005</c:v>
                </c:pt>
                <c:pt idx="163">
                  <c:v>450.57160000000005</c:v>
                </c:pt>
                <c:pt idx="164">
                  <c:v>451.25080000000008</c:v>
                </c:pt>
                <c:pt idx="165">
                  <c:v>452.29540000000009</c:v>
                </c:pt>
                <c:pt idx="166">
                  <c:v>453.41340000000014</c:v>
                </c:pt>
                <c:pt idx="167">
                  <c:v>454.29500000000007</c:v>
                </c:pt>
                <c:pt idx="168">
                  <c:v>455.33060000000012</c:v>
                </c:pt>
                <c:pt idx="169">
                  <c:v>456.84080000000012</c:v>
                </c:pt>
                <c:pt idx="170">
                  <c:v>457.82040000000006</c:v>
                </c:pt>
                <c:pt idx="171">
                  <c:v>459.10180000000014</c:v>
                </c:pt>
                <c:pt idx="172">
                  <c:v>460.01280000000014</c:v>
                </c:pt>
                <c:pt idx="173">
                  <c:v>460.92100000000011</c:v>
                </c:pt>
                <c:pt idx="174">
                  <c:v>462.16340000000014</c:v>
                </c:pt>
                <c:pt idx="175">
                  <c:v>463.6538000000001</c:v>
                </c:pt>
                <c:pt idx="176">
                  <c:v>465.1604000000001</c:v>
                </c:pt>
                <c:pt idx="177">
                  <c:v>466.88780000000014</c:v>
                </c:pt>
                <c:pt idx="178">
                  <c:v>468.49820000000017</c:v>
                </c:pt>
                <c:pt idx="179">
                  <c:v>469.66280000000006</c:v>
                </c:pt>
                <c:pt idx="180">
                  <c:v>469.7394000000001</c:v>
                </c:pt>
                <c:pt idx="181">
                  <c:v>470.26100000000008</c:v>
                </c:pt>
                <c:pt idx="182">
                  <c:v>471.23180000000002</c:v>
                </c:pt>
                <c:pt idx="183">
                  <c:v>472.22860000000003</c:v>
                </c:pt>
                <c:pt idx="184">
                  <c:v>473.0908</c:v>
                </c:pt>
                <c:pt idx="185">
                  <c:v>474.51459999999997</c:v>
                </c:pt>
                <c:pt idx="186">
                  <c:v>475.63399999999996</c:v>
                </c:pt>
                <c:pt idx="187">
                  <c:v>476.45819999999992</c:v>
                </c:pt>
                <c:pt idx="188">
                  <c:v>477.11659999999995</c:v>
                </c:pt>
                <c:pt idx="189">
                  <c:v>477.9095999999999</c:v>
                </c:pt>
                <c:pt idx="190">
                  <c:v>478.83420000000001</c:v>
                </c:pt>
                <c:pt idx="191">
                  <c:v>479.34680000000003</c:v>
                </c:pt>
                <c:pt idx="192">
                  <c:v>479.18459999999999</c:v>
                </c:pt>
                <c:pt idx="193">
                  <c:v>478.44659999999999</c:v>
                </c:pt>
                <c:pt idx="194">
                  <c:v>477.59199999999998</c:v>
                </c:pt>
                <c:pt idx="195">
                  <c:v>476.65139999999991</c:v>
                </c:pt>
                <c:pt idx="196">
                  <c:v>475.85039999999992</c:v>
                </c:pt>
                <c:pt idx="197">
                  <c:v>474.83259999999996</c:v>
                </c:pt>
                <c:pt idx="198">
                  <c:v>473.75279999999992</c:v>
                </c:pt>
                <c:pt idx="199">
                  <c:v>471.59039999999993</c:v>
                </c:pt>
                <c:pt idx="200">
                  <c:v>468.68639999999994</c:v>
                </c:pt>
                <c:pt idx="201">
                  <c:v>466.21079999999995</c:v>
                </c:pt>
                <c:pt idx="202">
                  <c:v>464.2122</c:v>
                </c:pt>
                <c:pt idx="203">
                  <c:v>463.08679999999998</c:v>
                </c:pt>
                <c:pt idx="204">
                  <c:v>461.60200000000003</c:v>
                </c:pt>
                <c:pt idx="205">
                  <c:v>459.75039999999996</c:v>
                </c:pt>
                <c:pt idx="206">
                  <c:v>457.57760000000002</c:v>
                </c:pt>
                <c:pt idx="207">
                  <c:v>455.61399999999992</c:v>
                </c:pt>
                <c:pt idx="208">
                  <c:v>454.50979999999998</c:v>
                </c:pt>
                <c:pt idx="209">
                  <c:v>454.35939999999994</c:v>
                </c:pt>
                <c:pt idx="210">
                  <c:v>454.71839999999997</c:v>
                </c:pt>
                <c:pt idx="211">
                  <c:v>455.11040000000003</c:v>
                </c:pt>
                <c:pt idx="212">
                  <c:v>455.57260000000002</c:v>
                </c:pt>
                <c:pt idx="213">
                  <c:v>456.07099999999997</c:v>
                </c:pt>
                <c:pt idx="214">
                  <c:v>456.36879999999996</c:v>
                </c:pt>
                <c:pt idx="215">
                  <c:v>456.15679999999998</c:v>
                </c:pt>
                <c:pt idx="216">
                  <c:v>456.09519999999998</c:v>
                </c:pt>
                <c:pt idx="217">
                  <c:v>456.45159999999987</c:v>
                </c:pt>
                <c:pt idx="218">
                  <c:v>456.59079999999989</c:v>
                </c:pt>
                <c:pt idx="219">
                  <c:v>456.74779999999993</c:v>
                </c:pt>
                <c:pt idx="220">
                  <c:v>457.52859999999987</c:v>
                </c:pt>
                <c:pt idx="221">
                  <c:v>458.12419999999992</c:v>
                </c:pt>
                <c:pt idx="222">
                  <c:v>458.90179999999992</c:v>
                </c:pt>
                <c:pt idx="223">
                  <c:v>460.10439999999994</c:v>
                </c:pt>
                <c:pt idx="224">
                  <c:v>461.13660000000004</c:v>
                </c:pt>
                <c:pt idx="225">
                  <c:v>461.91700000000003</c:v>
                </c:pt>
                <c:pt idx="226">
                  <c:v>463.05460000000005</c:v>
                </c:pt>
                <c:pt idx="227">
                  <c:v>463.69220000000007</c:v>
                </c:pt>
                <c:pt idx="228">
                  <c:v>464.30780000000004</c:v>
                </c:pt>
                <c:pt idx="229">
                  <c:v>465.27719999999999</c:v>
                </c:pt>
                <c:pt idx="230">
                  <c:v>467.73380000000003</c:v>
                </c:pt>
                <c:pt idx="231">
                  <c:v>470.77400000000017</c:v>
                </c:pt>
                <c:pt idx="232">
                  <c:v>473.17820000000006</c:v>
                </c:pt>
                <c:pt idx="233">
                  <c:v>475.8918000000001</c:v>
                </c:pt>
                <c:pt idx="234">
                  <c:v>478.5458000000001</c:v>
                </c:pt>
                <c:pt idx="235">
                  <c:v>480.14920000000012</c:v>
                </c:pt>
                <c:pt idx="236">
                  <c:v>482.02440000000001</c:v>
                </c:pt>
                <c:pt idx="237">
                  <c:v>483.71960000000007</c:v>
                </c:pt>
                <c:pt idx="238">
                  <c:v>485.62019999999995</c:v>
                </c:pt>
                <c:pt idx="239">
                  <c:v>487.43900000000002</c:v>
                </c:pt>
                <c:pt idx="240">
                  <c:v>489.28399999999999</c:v>
                </c:pt>
                <c:pt idx="241">
                  <c:v>491.69400000000007</c:v>
                </c:pt>
                <c:pt idx="242">
                  <c:v>494.88459999999998</c:v>
                </c:pt>
                <c:pt idx="243">
                  <c:v>498.48839999999996</c:v>
                </c:pt>
                <c:pt idx="244">
                  <c:v>502.38660000000004</c:v>
                </c:pt>
                <c:pt idx="245">
                  <c:v>506.38599999999991</c:v>
                </c:pt>
                <c:pt idx="246">
                  <c:v>510.02979999999997</c:v>
                </c:pt>
                <c:pt idx="247">
                  <c:v>514.45659999999987</c:v>
                </c:pt>
                <c:pt idx="248">
                  <c:v>519.48559999999986</c:v>
                </c:pt>
                <c:pt idx="249">
                  <c:v>524.74219999999991</c:v>
                </c:pt>
                <c:pt idx="250">
                  <c:v>530.52359999999999</c:v>
                </c:pt>
                <c:pt idx="251">
                  <c:v>536.78019999999992</c:v>
                </c:pt>
                <c:pt idx="252">
                  <c:v>542.90339999999992</c:v>
                </c:pt>
                <c:pt idx="253">
                  <c:v>548.88199999999995</c:v>
                </c:pt>
                <c:pt idx="254">
                  <c:v>554.22240000000011</c:v>
                </c:pt>
                <c:pt idx="255">
                  <c:v>559.38420000000008</c:v>
                </c:pt>
                <c:pt idx="256">
                  <c:v>565.07119999999998</c:v>
                </c:pt>
                <c:pt idx="257">
                  <c:v>570.57799999999997</c:v>
                </c:pt>
                <c:pt idx="258">
                  <c:v>575.31079999999986</c:v>
                </c:pt>
                <c:pt idx="259">
                  <c:v>580.4147999999999</c:v>
                </c:pt>
                <c:pt idx="260">
                  <c:v>585.12159999999994</c:v>
                </c:pt>
                <c:pt idx="261">
                  <c:v>589.99779999999987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9D-431A-80B5-4B37256E9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5741866"/>
        <c:axId val="90215721"/>
      </c:lineChart>
      <c:catAx>
        <c:axId val="8574186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D" sz="1000" b="1" strike="noStrike" spc="-1">
                    <a:solidFill>
                      <a:srgbClr val="000000"/>
                    </a:solidFill>
                    <a:latin typeface="Calibri"/>
                  </a:rPr>
                  <a:t>Tanggal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0215721"/>
        <c:crosses val="autoZero"/>
        <c:auto val="1"/>
        <c:lblAlgn val="ctr"/>
        <c:lblOffset val="100"/>
        <c:noMultiLvlLbl val="0"/>
      </c:catAx>
      <c:valAx>
        <c:axId val="902157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D" sz="1000" b="1" strike="noStrike" spc="-1">
                    <a:solidFill>
                      <a:srgbClr val="000000"/>
                    </a:solidFill>
                    <a:latin typeface="Calibri"/>
                  </a:rPr>
                  <a:t>Harga (USD)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574186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Ranking Volatilitas per Ticker (Std Dev Return Harian 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Ticker_Summary!$D$1</c:f>
              <c:strCache>
                <c:ptCount val="1"/>
                <c:pt idx="0">
                  <c:v>Volatility_%(StdevPop)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Ticker_Summary!$A$2:$A$9</c:f>
              <c:strCache>
                <c:ptCount val="8"/>
                <c:pt idx="0">
                  <c:v>AAPL</c:v>
                </c:pt>
                <c:pt idx="1">
                  <c:v>JNJ</c:v>
                </c:pt>
                <c:pt idx="2">
                  <c:v>JPM</c:v>
                </c:pt>
                <c:pt idx="3">
                  <c:v>KO</c:v>
                </c:pt>
                <c:pt idx="4">
                  <c:v>MSFT</c:v>
                </c:pt>
                <c:pt idx="5">
                  <c:v>NVDA</c:v>
                </c:pt>
                <c:pt idx="6">
                  <c:v>TSLA</c:v>
                </c:pt>
                <c:pt idx="7">
                  <c:v>XOM</c:v>
                </c:pt>
              </c:strCache>
            </c:strRef>
          </c:cat>
          <c:val>
            <c:numRef>
              <c:f>Ticker_Summary!$D$2:$D$9</c:f>
              <c:numCache>
                <c:formatCode>0.00</c:formatCode>
                <c:ptCount val="8"/>
                <c:pt idx="0">
                  <c:v>1.7240150611517215</c:v>
                </c:pt>
                <c:pt idx="1">
                  <c:v>1.4815939085745955</c:v>
                </c:pt>
                <c:pt idx="2">
                  <c:v>1.8949963310924938</c:v>
                </c:pt>
                <c:pt idx="3">
                  <c:v>1.2892032906876574</c:v>
                </c:pt>
                <c:pt idx="4">
                  <c:v>1.6482588627288677</c:v>
                </c:pt>
                <c:pt idx="5">
                  <c:v>3.027313636292071</c:v>
                </c:pt>
                <c:pt idx="6">
                  <c:v>3.5427906494346808</c:v>
                </c:pt>
                <c:pt idx="7">
                  <c:v>1.9778023467376848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35-4610-B189-F7AC0AE975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045511"/>
        <c:axId val="68293165"/>
      </c:barChart>
      <c:catAx>
        <c:axId val="21045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8293165"/>
        <c:crosses val="autoZero"/>
        <c:auto val="1"/>
        <c:lblAlgn val="ctr"/>
        <c:lblOffset val="100"/>
        <c:noMultiLvlLbl val="0"/>
      </c:catAx>
      <c:valAx>
        <c:axId val="682931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Volatilitas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04551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Max Drawdown per Ticker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Ticker_Summary!$E$1</c:f>
              <c:strCache>
                <c:ptCount val="1"/>
                <c:pt idx="0">
                  <c:v>Max_Drawdown_%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Ticker_Summary!$A$2:$A$9</c:f>
              <c:strCache>
                <c:ptCount val="8"/>
                <c:pt idx="0">
                  <c:v>AAPL</c:v>
                </c:pt>
                <c:pt idx="1">
                  <c:v>JNJ</c:v>
                </c:pt>
                <c:pt idx="2">
                  <c:v>JPM</c:v>
                </c:pt>
                <c:pt idx="3">
                  <c:v>KO</c:v>
                </c:pt>
                <c:pt idx="4">
                  <c:v>MSFT</c:v>
                </c:pt>
                <c:pt idx="5">
                  <c:v>NVDA</c:v>
                </c:pt>
                <c:pt idx="6">
                  <c:v>TSLA</c:v>
                </c:pt>
                <c:pt idx="7">
                  <c:v>XOM</c:v>
                </c:pt>
              </c:strCache>
            </c:strRef>
          </c:cat>
          <c:val>
            <c:numRef>
              <c:f>Ticker_Summary!$E$2:$E$9</c:f>
              <c:numCache>
                <c:formatCode>0.00</c:formatCode>
                <c:ptCount val="8"/>
                <c:pt idx="0">
                  <c:v>-14.771322620519159</c:v>
                </c:pt>
                <c:pt idx="1">
                  <c:v>-37.389748966878429</c:v>
                </c:pt>
                <c:pt idx="2">
                  <c:v>-24.363284143353649</c:v>
                </c:pt>
                <c:pt idx="3">
                  <c:v>-20.335852225020989</c:v>
                </c:pt>
                <c:pt idx="4">
                  <c:v>-14.70343462516025</c:v>
                </c:pt>
                <c:pt idx="5">
                  <c:v>-34.848615172888351</c:v>
                </c:pt>
                <c:pt idx="6">
                  <c:v>-59.185294000873469</c:v>
                </c:pt>
                <c:pt idx="7">
                  <c:v>-27.029673143545711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1C-4725-874B-7C90633A67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191405"/>
        <c:axId val="34012998"/>
      </c:barChart>
      <c:catAx>
        <c:axId val="7819140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4012998"/>
        <c:crosses val="autoZero"/>
        <c:auto val="1"/>
        <c:lblAlgn val="ctr"/>
        <c:lblOffset val="100"/>
        <c:noMultiLvlLbl val="0"/>
      </c:catAx>
      <c:valAx>
        <c:axId val="340129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Drawdown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819140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D" sz="1800" b="1" strike="noStrike" spc="-1">
                <a:solidFill>
                  <a:srgbClr val="000000"/>
                </a:solidFill>
                <a:latin typeface="Calibri"/>
              </a:rPr>
              <a:t>Return per Kuartal - Semua Ticker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Quarterly_Return!$B$37</c:f>
              <c:strCache>
                <c:ptCount val="1"/>
                <c:pt idx="0">
                  <c:v>AAPL</c:v>
                </c:pt>
              </c:strCache>
            </c:strRef>
          </c:tx>
          <c:spPr>
            <a:solidFill>
              <a:srgbClr val="88383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Quarterly_Return!$A$38:$A$41</c:f>
              <c:strCache>
                <c:ptCount val="4"/>
                <c:pt idx="0">
                  <c:v>2024-Q1</c:v>
                </c:pt>
                <c:pt idx="1">
                  <c:v>2024-Q2</c:v>
                </c:pt>
                <c:pt idx="2">
                  <c:v>2024-Q3</c:v>
                </c:pt>
                <c:pt idx="3">
                  <c:v>2024-Q4</c:v>
                </c:pt>
              </c:strCache>
            </c:strRef>
          </c:cat>
          <c:val>
            <c:numRef>
              <c:f>Quarterly_Return!$B$38:$B$41</c:f>
              <c:numCache>
                <c:formatCode>0.00</c:formatCode>
                <c:ptCount val="4"/>
                <c:pt idx="0">
                  <c:v>39.318433798214386</c:v>
                </c:pt>
                <c:pt idx="1">
                  <c:v>5.7499796532920957</c:v>
                </c:pt>
                <c:pt idx="2">
                  <c:v>2.3742580443611532</c:v>
                </c:pt>
                <c:pt idx="3">
                  <c:v>15.751263826067127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60-4BF5-8500-2E6FE493B94C}"/>
            </c:ext>
          </c:extLst>
        </c:ser>
        <c:ser>
          <c:idx val="1"/>
          <c:order val="1"/>
          <c:tx>
            <c:strRef>
              <c:f>Quarterly_Return!$C$37</c:f>
              <c:strCache>
                <c:ptCount val="1"/>
                <c:pt idx="0">
                  <c:v>JNJ</c:v>
                </c:pt>
              </c:strCache>
            </c:strRef>
          </c:tx>
          <c:spPr>
            <a:solidFill>
              <a:srgbClr val="9A403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Quarterly_Return!$A$38:$A$41</c:f>
              <c:strCache>
                <c:ptCount val="4"/>
                <c:pt idx="0">
                  <c:v>2024-Q1</c:v>
                </c:pt>
                <c:pt idx="1">
                  <c:v>2024-Q2</c:v>
                </c:pt>
                <c:pt idx="2">
                  <c:v>2024-Q3</c:v>
                </c:pt>
                <c:pt idx="3">
                  <c:v>2024-Q4</c:v>
                </c:pt>
              </c:strCache>
            </c:strRef>
          </c:cat>
          <c:val>
            <c:numRef>
              <c:f>Quarterly_Return!$C$38:$C$41</c:f>
              <c:numCache>
                <c:formatCode>0.00</c:formatCode>
                <c:ptCount val="4"/>
                <c:pt idx="0">
                  <c:v>-19.297590136372133</c:v>
                </c:pt>
                <c:pt idx="1">
                  <c:v>-11.502899232095288</c:v>
                </c:pt>
                <c:pt idx="2">
                  <c:v>1.4803516956755838</c:v>
                </c:pt>
                <c:pt idx="3">
                  <c:v>1.0952509201903211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60-4BF5-8500-2E6FE493B94C}"/>
            </c:ext>
          </c:extLst>
        </c:ser>
        <c:ser>
          <c:idx val="2"/>
          <c:order val="2"/>
          <c:tx>
            <c:strRef>
              <c:f>Quarterly_Return!$D$37</c:f>
              <c:strCache>
                <c:ptCount val="1"/>
                <c:pt idx="0">
                  <c:v>JPM</c:v>
                </c:pt>
              </c:strCache>
            </c:strRef>
          </c:tx>
          <c:spPr>
            <a:solidFill>
              <a:srgbClr val="AB474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Quarterly_Return!$A$38:$A$41</c:f>
              <c:strCache>
                <c:ptCount val="4"/>
                <c:pt idx="0">
                  <c:v>2024-Q1</c:v>
                </c:pt>
                <c:pt idx="1">
                  <c:v>2024-Q2</c:v>
                </c:pt>
                <c:pt idx="2">
                  <c:v>2024-Q3</c:v>
                </c:pt>
                <c:pt idx="3">
                  <c:v>2024-Q4</c:v>
                </c:pt>
              </c:strCache>
            </c:strRef>
          </c:cat>
          <c:val>
            <c:numRef>
              <c:f>Quarterly_Return!$D$38:$D$41</c:f>
              <c:numCache>
                <c:formatCode>0.00</c:formatCode>
                <c:ptCount val="4"/>
                <c:pt idx="0">
                  <c:v>-0.34309844286091989</c:v>
                </c:pt>
                <c:pt idx="1">
                  <c:v>-0.86493679308051308</c:v>
                </c:pt>
                <c:pt idx="2">
                  <c:v>-7.426912429951632E-2</c:v>
                </c:pt>
                <c:pt idx="3">
                  <c:v>12.420860257163371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60-4BF5-8500-2E6FE493B94C}"/>
            </c:ext>
          </c:extLst>
        </c:ser>
        <c:ser>
          <c:idx val="3"/>
          <c:order val="3"/>
          <c:tx>
            <c:strRef>
              <c:f>Quarterly_Return!$E$37</c:f>
              <c:strCache>
                <c:ptCount val="1"/>
                <c:pt idx="0">
                  <c:v>KO</c:v>
                </c:pt>
              </c:strCache>
            </c:strRef>
          </c:tx>
          <c:spPr>
            <a:solidFill>
              <a:srgbClr val="B94D4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Quarterly_Return!$A$38:$A$41</c:f>
              <c:strCache>
                <c:ptCount val="4"/>
                <c:pt idx="0">
                  <c:v>2024-Q1</c:v>
                </c:pt>
                <c:pt idx="1">
                  <c:v>2024-Q2</c:v>
                </c:pt>
                <c:pt idx="2">
                  <c:v>2024-Q3</c:v>
                </c:pt>
                <c:pt idx="3">
                  <c:v>2024-Q4</c:v>
                </c:pt>
              </c:strCache>
            </c:strRef>
          </c:cat>
          <c:val>
            <c:numRef>
              <c:f>Quarterly_Return!$E$38:$E$41</c:f>
              <c:numCache>
                <c:formatCode>0.00</c:formatCode>
                <c:ptCount val="4"/>
                <c:pt idx="0">
                  <c:v>-12.814371257485032</c:v>
                </c:pt>
                <c:pt idx="1">
                  <c:v>9.8104358022278593</c:v>
                </c:pt>
                <c:pt idx="2">
                  <c:v>-6.9588080631025395</c:v>
                </c:pt>
                <c:pt idx="3">
                  <c:v>-5.4518297236743871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B60-4BF5-8500-2E6FE493B94C}"/>
            </c:ext>
          </c:extLst>
        </c:ser>
        <c:ser>
          <c:idx val="4"/>
          <c:order val="4"/>
          <c:tx>
            <c:strRef>
              <c:f>Quarterly_Return!$F$37</c:f>
              <c:strCache>
                <c:ptCount val="1"/>
                <c:pt idx="0">
                  <c:v>MSFT</c:v>
                </c:pt>
              </c:strCache>
            </c:strRef>
          </c:tx>
          <c:spPr>
            <a:solidFill>
              <a:srgbClr val="C56D6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Quarterly_Return!$A$38:$A$41</c:f>
              <c:strCache>
                <c:ptCount val="4"/>
                <c:pt idx="0">
                  <c:v>2024-Q1</c:v>
                </c:pt>
                <c:pt idx="1">
                  <c:v>2024-Q2</c:v>
                </c:pt>
                <c:pt idx="2">
                  <c:v>2024-Q3</c:v>
                </c:pt>
                <c:pt idx="3">
                  <c:v>2024-Q4</c:v>
                </c:pt>
              </c:strCache>
            </c:strRef>
          </c:cat>
          <c:val>
            <c:numRef>
              <c:f>Quarterly_Return!$F$38:$F$41</c:f>
              <c:numCache>
                <c:formatCode>0.00</c:formatCode>
                <c:ptCount val="4"/>
                <c:pt idx="0">
                  <c:v>-3.5553434545291736</c:v>
                </c:pt>
                <c:pt idx="1">
                  <c:v>36.278893997606595</c:v>
                </c:pt>
                <c:pt idx="2">
                  <c:v>-2.7596037012804944</c:v>
                </c:pt>
                <c:pt idx="3">
                  <c:v>15.851205622197995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B60-4BF5-8500-2E6FE493B94C}"/>
            </c:ext>
          </c:extLst>
        </c:ser>
        <c:ser>
          <c:idx val="5"/>
          <c:order val="5"/>
          <c:tx>
            <c:strRef>
              <c:f>Quarterly_Return!$G$37</c:f>
              <c:strCache>
                <c:ptCount val="1"/>
                <c:pt idx="0">
                  <c:v>NVDA</c:v>
                </c:pt>
              </c:strCache>
            </c:strRef>
          </c:tx>
          <c:spPr>
            <a:solidFill>
              <a:srgbClr val="D0949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Quarterly_Return!$A$38:$A$41</c:f>
              <c:strCache>
                <c:ptCount val="4"/>
                <c:pt idx="0">
                  <c:v>2024-Q1</c:v>
                </c:pt>
                <c:pt idx="1">
                  <c:v>2024-Q2</c:v>
                </c:pt>
                <c:pt idx="2">
                  <c:v>2024-Q3</c:v>
                </c:pt>
                <c:pt idx="3">
                  <c:v>2024-Q4</c:v>
                </c:pt>
              </c:strCache>
            </c:strRef>
          </c:cat>
          <c:val>
            <c:numRef>
              <c:f>Quarterly_Return!$G$38:$G$41</c:f>
              <c:numCache>
                <c:formatCode>0.00</c:formatCode>
                <c:ptCount val="4"/>
                <c:pt idx="0">
                  <c:v>-21.006795114398759</c:v>
                </c:pt>
                <c:pt idx="1">
                  <c:v>14.931183094675394</c:v>
                </c:pt>
                <c:pt idx="2">
                  <c:v>6.2596391588533358</c:v>
                </c:pt>
                <c:pt idx="3">
                  <c:v>63.427957374406731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B60-4BF5-8500-2E6FE493B94C}"/>
            </c:ext>
          </c:extLst>
        </c:ser>
        <c:ser>
          <c:idx val="6"/>
          <c:order val="6"/>
          <c:tx>
            <c:strRef>
              <c:f>Quarterly_Return!$H$37</c:f>
              <c:strCache>
                <c:ptCount val="1"/>
                <c:pt idx="0">
                  <c:v>TSLA</c:v>
                </c:pt>
              </c:strCache>
            </c:strRef>
          </c:tx>
          <c:spPr>
            <a:solidFill>
              <a:srgbClr val="DBB0B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Quarterly_Return!$A$38:$A$41</c:f>
              <c:strCache>
                <c:ptCount val="4"/>
                <c:pt idx="0">
                  <c:v>2024-Q1</c:v>
                </c:pt>
                <c:pt idx="1">
                  <c:v>2024-Q2</c:v>
                </c:pt>
                <c:pt idx="2">
                  <c:v>2024-Q3</c:v>
                </c:pt>
                <c:pt idx="3">
                  <c:v>2024-Q4</c:v>
                </c:pt>
              </c:strCache>
            </c:strRef>
          </c:cat>
          <c:val>
            <c:numRef>
              <c:f>Quarterly_Return!$H$38:$H$41</c:f>
              <c:numCache>
                <c:formatCode>0.00</c:formatCode>
                <c:ptCount val="4"/>
                <c:pt idx="0">
                  <c:v>-19.581036383682473</c:v>
                </c:pt>
                <c:pt idx="1">
                  <c:v>1.9310867095797009</c:v>
                </c:pt>
                <c:pt idx="2">
                  <c:v>-30.606196174924499</c:v>
                </c:pt>
                <c:pt idx="3">
                  <c:v>2.7142271422714246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B60-4BF5-8500-2E6FE493B94C}"/>
            </c:ext>
          </c:extLst>
        </c:ser>
        <c:ser>
          <c:idx val="7"/>
          <c:order val="7"/>
          <c:tx>
            <c:strRef>
              <c:f>Quarterly_Return!$I$37</c:f>
              <c:strCache>
                <c:ptCount val="1"/>
                <c:pt idx="0">
                  <c:v>XOM</c:v>
                </c:pt>
              </c:strCache>
            </c:strRef>
          </c:tx>
          <c:spPr>
            <a:solidFill>
              <a:srgbClr val="E5C8C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Quarterly_Return!$A$38:$A$41</c:f>
              <c:strCache>
                <c:ptCount val="4"/>
                <c:pt idx="0">
                  <c:v>2024-Q1</c:v>
                </c:pt>
                <c:pt idx="1">
                  <c:v>2024-Q2</c:v>
                </c:pt>
                <c:pt idx="2">
                  <c:v>2024-Q3</c:v>
                </c:pt>
                <c:pt idx="3">
                  <c:v>2024-Q4</c:v>
                </c:pt>
              </c:strCache>
            </c:strRef>
          </c:cat>
          <c:val>
            <c:numRef>
              <c:f>Quarterly_Return!$I$38:$I$41</c:f>
              <c:numCache>
                <c:formatCode>0.00</c:formatCode>
                <c:ptCount val="4"/>
                <c:pt idx="0">
                  <c:v>3.1132262542137625</c:v>
                </c:pt>
                <c:pt idx="1">
                  <c:v>11.693626973299551</c:v>
                </c:pt>
                <c:pt idx="2">
                  <c:v>4.8501408931773602</c:v>
                </c:pt>
                <c:pt idx="3">
                  <c:v>-19.923527497559384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B60-4BF5-8500-2E6FE493B9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679272"/>
        <c:axId val="30367433"/>
      </c:barChart>
      <c:catAx>
        <c:axId val="9679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0367433"/>
        <c:crosses val="autoZero"/>
        <c:auto val="1"/>
        <c:lblAlgn val="ctr"/>
        <c:lblOffset val="100"/>
        <c:noMultiLvlLbl val="0"/>
      </c:catAx>
      <c:valAx>
        <c:axId val="303674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D" sz="1000" b="1" strike="noStrike" spc="-1">
                    <a:solidFill>
                      <a:srgbClr val="000000"/>
                    </a:solidFill>
                    <a:latin typeface="Calibri"/>
                  </a:rPr>
                  <a:t>Return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67927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9</xdr:row>
      <xdr:rowOff>131040</xdr:rowOff>
    </xdr:from>
    <xdr:to>
      <xdr:col>8</xdr:col>
      <xdr:colOff>846810</xdr:colOff>
      <xdr:row>24</xdr:row>
      <xdr:rowOff>153000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19</xdr:col>
      <xdr:colOff>0</xdr:colOff>
      <xdr:row>9</xdr:row>
      <xdr:rowOff>131040</xdr:rowOff>
    </xdr:from>
    <xdr:to>
      <xdr:col>27</xdr:col>
      <xdr:colOff>147600</xdr:colOff>
      <xdr:row>24</xdr:row>
      <xdr:rowOff>153000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19</xdr:col>
      <xdr:colOff>0</xdr:colOff>
      <xdr:row>26</xdr:row>
      <xdr:rowOff>131040</xdr:rowOff>
    </xdr:from>
    <xdr:to>
      <xdr:col>27</xdr:col>
      <xdr:colOff>147600</xdr:colOff>
      <xdr:row>41</xdr:row>
      <xdr:rowOff>153000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180975</xdr:colOff>
      <xdr:row>26</xdr:row>
      <xdr:rowOff>131040</xdr:rowOff>
    </xdr:from>
    <xdr:to>
      <xdr:col>8</xdr:col>
      <xdr:colOff>856335</xdr:colOff>
      <xdr:row>43</xdr:row>
      <xdr:rowOff>132120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31"/>
  <sheetViews>
    <sheetView showGridLines="0" tabSelected="1" topLeftCell="A4" zoomScaleNormal="100" workbookViewId="0">
      <selection activeCell="E16" sqref="E16"/>
    </sheetView>
  </sheetViews>
  <sheetFormatPr defaultColWidth="8.7109375" defaultRowHeight="15" x14ac:dyDescent="0.25"/>
  <cols>
    <col min="1" max="1" width="3" customWidth="1"/>
    <col min="2" max="2" width="100" customWidth="1"/>
  </cols>
  <sheetData>
    <row r="2" spans="1:2" ht="20.25" customHeight="1" x14ac:dyDescent="0.25">
      <c r="A2" s="5"/>
      <c r="B2" s="6" t="s">
        <v>0</v>
      </c>
    </row>
    <row r="3" spans="1:2" ht="15" customHeight="1" x14ac:dyDescent="0.25">
      <c r="A3" s="5"/>
      <c r="B3" s="6"/>
    </row>
    <row r="4" spans="1:2" x14ac:dyDescent="0.25">
      <c r="A4" s="5"/>
      <c r="B4" s="6"/>
    </row>
    <row r="5" spans="1:2" x14ac:dyDescent="0.25">
      <c r="A5" s="5"/>
      <c r="B5" s="6"/>
    </row>
    <row r="6" spans="1:2" x14ac:dyDescent="0.25">
      <c r="A6" s="5"/>
      <c r="B6" s="10" t="s">
        <v>1</v>
      </c>
    </row>
    <row r="7" spans="1:2" x14ac:dyDescent="0.25">
      <c r="A7" s="5"/>
      <c r="B7" s="11" t="s">
        <v>2</v>
      </c>
    </row>
    <row r="8" spans="1:2" x14ac:dyDescent="0.25">
      <c r="A8" s="5"/>
      <c r="B8" s="12" t="s">
        <v>3</v>
      </c>
    </row>
    <row r="9" spans="1:2" x14ac:dyDescent="0.25">
      <c r="A9" s="5"/>
      <c r="B9" s="11" t="s">
        <v>4</v>
      </c>
    </row>
    <row r="10" spans="1:2" x14ac:dyDescent="0.25">
      <c r="A10" s="5"/>
      <c r="B10" s="11" t="s">
        <v>5</v>
      </c>
    </row>
    <row r="11" spans="1:2" x14ac:dyDescent="0.25">
      <c r="A11" s="5"/>
      <c r="B11" s="11" t="s">
        <v>6</v>
      </c>
    </row>
    <row r="12" spans="1:2" x14ac:dyDescent="0.25">
      <c r="A12" s="5"/>
      <c r="B12" s="13" t="s">
        <v>7</v>
      </c>
    </row>
    <row r="13" spans="1:2" x14ac:dyDescent="0.25">
      <c r="A13" s="5"/>
      <c r="B13" s="7"/>
    </row>
    <row r="14" spans="1:2" x14ac:dyDescent="0.25">
      <c r="A14" s="5"/>
      <c r="B14" s="10" t="s">
        <v>8</v>
      </c>
    </row>
    <row r="15" spans="1:2" x14ac:dyDescent="0.25">
      <c r="A15" s="5"/>
      <c r="B15" s="11" t="s">
        <v>9</v>
      </c>
    </row>
    <row r="16" spans="1:2" x14ac:dyDescent="0.25">
      <c r="A16" s="5"/>
      <c r="B16" s="11" t="s">
        <v>10</v>
      </c>
    </row>
    <row r="17" spans="1:2" x14ac:dyDescent="0.25">
      <c r="A17" s="5"/>
      <c r="B17" s="13" t="s">
        <v>11</v>
      </c>
    </row>
    <row r="18" spans="1:2" x14ac:dyDescent="0.25">
      <c r="A18" s="5"/>
      <c r="B18" s="7"/>
    </row>
    <row r="19" spans="1:2" x14ac:dyDescent="0.25">
      <c r="A19" s="5"/>
      <c r="B19" s="10" t="s">
        <v>12</v>
      </c>
    </row>
    <row r="20" spans="1:2" x14ac:dyDescent="0.25">
      <c r="A20" s="5"/>
      <c r="B20" s="11" t="s">
        <v>13</v>
      </c>
    </row>
    <row r="21" spans="1:2" x14ac:dyDescent="0.25">
      <c r="A21" s="5"/>
      <c r="B21" s="11" t="s">
        <v>14</v>
      </c>
    </row>
    <row r="22" spans="1:2" x14ac:dyDescent="0.25">
      <c r="A22" s="5"/>
      <c r="B22" s="11" t="s">
        <v>15</v>
      </c>
    </row>
    <row r="23" spans="1:2" x14ac:dyDescent="0.25">
      <c r="A23" s="5"/>
      <c r="B23" s="11" t="s">
        <v>16</v>
      </c>
    </row>
    <row r="24" spans="1:2" x14ac:dyDescent="0.25">
      <c r="A24" s="5"/>
      <c r="B24" s="13" t="s">
        <v>17</v>
      </c>
    </row>
    <row r="25" spans="1:2" x14ac:dyDescent="0.25">
      <c r="A25" s="5"/>
      <c r="B25" s="7"/>
    </row>
    <row r="26" spans="1:2" x14ac:dyDescent="0.25">
      <c r="A26" s="5"/>
      <c r="B26" s="14" t="s">
        <v>18</v>
      </c>
    </row>
    <row r="27" spans="1:2" x14ac:dyDescent="0.25">
      <c r="A27" s="5"/>
      <c r="B27" s="11" t="s">
        <v>19</v>
      </c>
    </row>
    <row r="28" spans="1:2" x14ac:dyDescent="0.25">
      <c r="A28" s="5"/>
      <c r="B28" s="11" t="s">
        <v>20</v>
      </c>
    </row>
    <row r="29" spans="1:2" x14ac:dyDescent="0.25">
      <c r="A29" s="5"/>
      <c r="B29" s="11" t="s">
        <v>21</v>
      </c>
    </row>
    <row r="30" spans="1:2" x14ac:dyDescent="0.25">
      <c r="A30" s="5"/>
      <c r="B30" s="13" t="s">
        <v>22</v>
      </c>
    </row>
    <row r="31" spans="1:2" x14ac:dyDescent="0.25">
      <c r="A31" s="5"/>
    </row>
  </sheetData>
  <mergeCells count="1">
    <mergeCell ref="B2:B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44"/>
  <sheetViews>
    <sheetView showGridLines="0" zoomScaleNormal="100" workbookViewId="0">
      <selection activeCell="N5" sqref="N5"/>
    </sheetView>
  </sheetViews>
  <sheetFormatPr defaultColWidth="8.7109375" defaultRowHeight="15" x14ac:dyDescent="0.25"/>
  <cols>
    <col min="2" max="3" width="13" customWidth="1"/>
    <col min="5" max="6" width="13" customWidth="1"/>
    <col min="8" max="9" width="13" customWidth="1"/>
    <col min="11" max="12" width="13" customWidth="1"/>
  </cols>
  <sheetData>
    <row r="1" spans="2:12" x14ac:dyDescent="0.25">
      <c r="B1" s="27" t="s">
        <v>23</v>
      </c>
      <c r="C1" s="28"/>
      <c r="D1" s="28"/>
      <c r="E1" s="28"/>
      <c r="F1" s="28"/>
      <c r="G1" s="28"/>
      <c r="H1" s="28"/>
      <c r="I1" s="28"/>
      <c r="J1" s="28"/>
      <c r="K1" s="28"/>
      <c r="L1" s="29"/>
    </row>
    <row r="2" spans="2:12" ht="20.25" customHeight="1" x14ac:dyDescent="0.25">
      <c r="B2" s="30"/>
      <c r="C2" s="6"/>
      <c r="D2" s="6"/>
      <c r="E2" s="6"/>
      <c r="F2" s="6"/>
      <c r="G2" s="6"/>
      <c r="H2" s="6"/>
      <c r="I2" s="6"/>
      <c r="J2" s="6"/>
      <c r="K2" s="6"/>
      <c r="L2" s="31"/>
    </row>
    <row r="3" spans="2:12" x14ac:dyDescent="0.25">
      <c r="B3" s="32" t="s">
        <v>24</v>
      </c>
      <c r="C3" s="33"/>
      <c r="D3" s="33"/>
      <c r="E3" s="33"/>
      <c r="F3" s="33"/>
      <c r="G3" s="33"/>
      <c r="H3" s="33"/>
      <c r="I3" s="33"/>
      <c r="J3" s="33"/>
      <c r="K3" s="33"/>
      <c r="L3" s="34"/>
    </row>
    <row r="4" spans="2:12" x14ac:dyDescent="0.25">
      <c r="B4" s="35"/>
      <c r="C4" s="5"/>
      <c r="D4" s="5"/>
      <c r="E4" s="5"/>
      <c r="F4" s="5"/>
      <c r="G4" s="5"/>
      <c r="H4" s="5"/>
      <c r="I4" s="5"/>
      <c r="J4" s="5"/>
      <c r="K4" s="5"/>
      <c r="L4" s="36"/>
    </row>
    <row r="5" spans="2:12" x14ac:dyDescent="0.25">
      <c r="B5" s="37" t="s">
        <v>25</v>
      </c>
      <c r="C5" s="3"/>
      <c r="D5" s="5"/>
      <c r="E5" s="3" t="s">
        <v>26</v>
      </c>
      <c r="F5" s="3"/>
      <c r="G5" s="5"/>
      <c r="H5" s="3" t="s">
        <v>27</v>
      </c>
      <c r="I5" s="3"/>
      <c r="J5" s="5"/>
      <c r="K5" s="3" t="s">
        <v>28</v>
      </c>
      <c r="L5" s="38"/>
    </row>
    <row r="6" spans="2:12" x14ac:dyDescent="0.25">
      <c r="B6" s="39" t="str">
        <f>INDEX(Ticker_Summary!A:A,MATCH(1,Ticker_Summary!I:I,0))</f>
        <v>TSLA</v>
      </c>
      <c r="C6" s="26"/>
      <c r="D6" s="5"/>
      <c r="E6" s="26" t="str">
        <f>INDEX(Ticker_Summary!A:A,MATCH(8,Ticker_Summary!I:I,0))</f>
        <v>KO</v>
      </c>
      <c r="F6" s="26"/>
      <c r="G6" s="5"/>
      <c r="H6" s="26" t="str">
        <f>INDEX(Ticker_Summary!A:A,MATCH(MIN(Ticker_Summary!E:E),Ticker_Summary!E:E,0))</f>
        <v>TSLA</v>
      </c>
      <c r="I6" s="26"/>
      <c r="J6" s="5"/>
      <c r="K6" s="26" t="str">
        <f>INDEX(Ticker_Summary!A:A,MATCH(MAX(Ticker_Summary!H:H),Ticker_Summary!H:H,0))</f>
        <v>AAPL</v>
      </c>
      <c r="L6" s="40"/>
    </row>
    <row r="7" spans="2:12" x14ac:dyDescent="0.25">
      <c r="B7" s="39"/>
      <c r="C7" s="26"/>
      <c r="D7" s="5"/>
      <c r="E7" s="26"/>
      <c r="F7" s="26"/>
      <c r="G7" s="5"/>
      <c r="H7" s="26"/>
      <c r="I7" s="26"/>
      <c r="J7" s="5"/>
      <c r="K7" s="26"/>
      <c r="L7" s="40"/>
    </row>
    <row r="8" spans="2:12" x14ac:dyDescent="0.25">
      <c r="B8" s="41">
        <f>INDEX(Ticker_Summary!D:D,MATCH(1,Ticker_Summary!I:I,0))</f>
        <v>3.5427906494346808</v>
      </c>
      <c r="C8" s="2"/>
      <c r="D8" s="5"/>
      <c r="E8" s="2">
        <f>INDEX(Ticker_Summary!D:D,MATCH(8,Ticker_Summary!I:I,0))</f>
        <v>1.2892032906876574</v>
      </c>
      <c r="F8" s="2"/>
      <c r="G8" s="5"/>
      <c r="H8" s="2">
        <f>MIN(Ticker_Summary!E:E)</f>
        <v>-59.185294000873469</v>
      </c>
      <c r="I8" s="2"/>
      <c r="J8" s="5"/>
      <c r="K8" s="2">
        <f>MAX(Ticker_Summary!H:H)</f>
        <v>77.70321526521559</v>
      </c>
      <c r="L8" s="42"/>
    </row>
    <row r="9" spans="2:12" x14ac:dyDescent="0.25">
      <c r="B9" s="35"/>
      <c r="C9" s="5"/>
      <c r="D9" s="5"/>
      <c r="E9" s="5"/>
      <c r="F9" s="5"/>
      <c r="G9" s="5"/>
      <c r="H9" s="5"/>
      <c r="I9" s="5"/>
      <c r="J9" s="5"/>
      <c r="K9" s="5"/>
      <c r="L9" s="36"/>
    </row>
    <row r="10" spans="2:12" x14ac:dyDescent="0.25">
      <c r="B10" s="35"/>
      <c r="C10" s="5"/>
      <c r="D10" s="5"/>
      <c r="E10" s="5"/>
      <c r="F10" s="5"/>
      <c r="G10" s="5"/>
      <c r="H10" s="5"/>
      <c r="I10" s="5"/>
      <c r="J10" s="5"/>
      <c r="K10" s="5"/>
      <c r="L10" s="36"/>
    </row>
    <row r="11" spans="2:12" x14ac:dyDescent="0.25">
      <c r="B11" s="35"/>
      <c r="C11" s="5"/>
      <c r="D11" s="5"/>
      <c r="E11" s="5"/>
      <c r="F11" s="5"/>
      <c r="G11" s="5"/>
      <c r="H11" s="5"/>
      <c r="I11" s="5"/>
      <c r="J11" s="5"/>
      <c r="K11" s="5"/>
      <c r="L11" s="36"/>
    </row>
    <row r="12" spans="2:12" x14ac:dyDescent="0.25">
      <c r="B12" s="35"/>
      <c r="C12" s="5"/>
      <c r="D12" s="5"/>
      <c r="E12" s="5"/>
      <c r="F12" s="5"/>
      <c r="G12" s="5"/>
      <c r="H12" s="5"/>
      <c r="I12" s="5"/>
      <c r="J12" s="5"/>
      <c r="K12" s="5"/>
      <c r="L12" s="36"/>
    </row>
    <row r="13" spans="2:12" x14ac:dyDescent="0.25">
      <c r="B13" s="35"/>
      <c r="C13" s="5"/>
      <c r="D13" s="5"/>
      <c r="E13" s="5"/>
      <c r="F13" s="5"/>
      <c r="G13" s="5"/>
      <c r="H13" s="5"/>
      <c r="I13" s="5"/>
      <c r="J13" s="5"/>
      <c r="K13" s="5"/>
      <c r="L13" s="36"/>
    </row>
    <row r="14" spans="2:12" x14ac:dyDescent="0.25">
      <c r="B14" s="35"/>
      <c r="C14" s="5"/>
      <c r="D14" s="5"/>
      <c r="E14" s="5"/>
      <c r="F14" s="5"/>
      <c r="G14" s="5"/>
      <c r="H14" s="5"/>
      <c r="I14" s="5"/>
      <c r="J14" s="5"/>
      <c r="K14" s="5"/>
      <c r="L14" s="36"/>
    </row>
    <row r="15" spans="2:12" x14ac:dyDescent="0.25">
      <c r="B15" s="35"/>
      <c r="C15" s="5"/>
      <c r="D15" s="5"/>
      <c r="E15" s="5"/>
      <c r="F15" s="5"/>
      <c r="G15" s="5"/>
      <c r="H15" s="5"/>
      <c r="I15" s="5"/>
      <c r="J15" s="5"/>
      <c r="K15" s="5"/>
      <c r="L15" s="36"/>
    </row>
    <row r="16" spans="2:12" x14ac:dyDescent="0.25">
      <c r="B16" s="35"/>
      <c r="C16" s="5"/>
      <c r="D16" s="5"/>
      <c r="E16" s="5"/>
      <c r="F16" s="5"/>
      <c r="G16" s="5"/>
      <c r="H16" s="5"/>
      <c r="I16" s="5"/>
      <c r="J16" s="5"/>
      <c r="K16" s="5"/>
      <c r="L16" s="36"/>
    </row>
    <row r="17" spans="2:12" x14ac:dyDescent="0.25">
      <c r="B17" s="35"/>
      <c r="C17" s="5"/>
      <c r="D17" s="5"/>
      <c r="E17" s="5"/>
      <c r="F17" s="5"/>
      <c r="G17" s="5"/>
      <c r="H17" s="5"/>
      <c r="I17" s="5"/>
      <c r="J17" s="5"/>
      <c r="K17" s="5"/>
      <c r="L17" s="36"/>
    </row>
    <row r="18" spans="2:12" x14ac:dyDescent="0.25">
      <c r="B18" s="35"/>
      <c r="C18" s="5"/>
      <c r="D18" s="5"/>
      <c r="E18" s="5"/>
      <c r="F18" s="5"/>
      <c r="G18" s="5"/>
      <c r="H18" s="5"/>
      <c r="I18" s="5"/>
      <c r="J18" s="5"/>
      <c r="K18" s="5"/>
      <c r="L18" s="36"/>
    </row>
    <row r="19" spans="2:12" x14ac:dyDescent="0.25">
      <c r="B19" s="35"/>
      <c r="C19" s="5"/>
      <c r="D19" s="5"/>
      <c r="E19" s="5"/>
      <c r="F19" s="5"/>
      <c r="G19" s="5"/>
      <c r="H19" s="5"/>
      <c r="I19" s="5"/>
      <c r="J19" s="5"/>
      <c r="K19" s="5"/>
      <c r="L19" s="36"/>
    </row>
    <row r="20" spans="2:12" x14ac:dyDescent="0.25">
      <c r="B20" s="35"/>
      <c r="C20" s="5"/>
      <c r="D20" s="5"/>
      <c r="E20" s="5"/>
      <c r="F20" s="5"/>
      <c r="G20" s="5"/>
      <c r="H20" s="5"/>
      <c r="I20" s="5"/>
      <c r="J20" s="5"/>
      <c r="K20" s="5"/>
      <c r="L20" s="36"/>
    </row>
    <row r="21" spans="2:12" x14ac:dyDescent="0.25">
      <c r="B21" s="35"/>
      <c r="C21" s="5"/>
      <c r="D21" s="5"/>
      <c r="E21" s="5"/>
      <c r="F21" s="5"/>
      <c r="G21" s="5"/>
      <c r="H21" s="5"/>
      <c r="I21" s="5"/>
      <c r="J21" s="5"/>
      <c r="K21" s="5"/>
      <c r="L21" s="36"/>
    </row>
    <row r="22" spans="2:12" x14ac:dyDescent="0.25">
      <c r="B22" s="35"/>
      <c r="C22" s="5"/>
      <c r="D22" s="5"/>
      <c r="E22" s="5"/>
      <c r="F22" s="5"/>
      <c r="G22" s="5"/>
      <c r="H22" s="5"/>
      <c r="I22" s="5"/>
      <c r="J22" s="5"/>
      <c r="K22" s="5"/>
      <c r="L22" s="36"/>
    </row>
    <row r="23" spans="2:12" x14ac:dyDescent="0.25">
      <c r="B23" s="35"/>
      <c r="C23" s="5"/>
      <c r="D23" s="5"/>
      <c r="E23" s="5"/>
      <c r="F23" s="5"/>
      <c r="G23" s="5"/>
      <c r="H23" s="5"/>
      <c r="I23" s="5"/>
      <c r="J23" s="5"/>
      <c r="K23" s="5"/>
      <c r="L23" s="36"/>
    </row>
    <row r="24" spans="2:12" x14ac:dyDescent="0.25">
      <c r="B24" s="35"/>
      <c r="C24" s="5"/>
      <c r="D24" s="5"/>
      <c r="E24" s="5"/>
      <c r="F24" s="5"/>
      <c r="G24" s="5"/>
      <c r="H24" s="5"/>
      <c r="I24" s="5"/>
      <c r="J24" s="5"/>
      <c r="K24" s="5"/>
      <c r="L24" s="36"/>
    </row>
    <row r="25" spans="2:12" x14ac:dyDescent="0.25">
      <c r="B25" s="35"/>
      <c r="C25" s="5"/>
      <c r="D25" s="5"/>
      <c r="E25" s="5"/>
      <c r="F25" s="5"/>
      <c r="G25" s="5"/>
      <c r="H25" s="5"/>
      <c r="I25" s="5"/>
      <c r="J25" s="5"/>
      <c r="K25" s="5"/>
      <c r="L25" s="36"/>
    </row>
    <row r="26" spans="2:12" x14ac:dyDescent="0.25">
      <c r="B26" s="35"/>
      <c r="C26" s="5"/>
      <c r="D26" s="5"/>
      <c r="E26" s="5"/>
      <c r="F26" s="5"/>
      <c r="G26" s="5"/>
      <c r="H26" s="5"/>
      <c r="I26" s="5"/>
      <c r="J26" s="5"/>
      <c r="K26" s="5"/>
      <c r="L26" s="36"/>
    </row>
    <row r="27" spans="2:12" x14ac:dyDescent="0.25">
      <c r="B27" s="35"/>
      <c r="C27" s="5"/>
      <c r="D27" s="5"/>
      <c r="E27" s="5"/>
      <c r="F27" s="5"/>
      <c r="G27" s="5"/>
      <c r="H27" s="5"/>
      <c r="I27" s="5"/>
      <c r="J27" s="5"/>
      <c r="K27" s="5"/>
      <c r="L27" s="36"/>
    </row>
    <row r="28" spans="2:12" x14ac:dyDescent="0.25">
      <c r="B28" s="35"/>
      <c r="C28" s="5"/>
      <c r="D28" s="5"/>
      <c r="E28" s="5"/>
      <c r="F28" s="5"/>
      <c r="G28" s="5"/>
      <c r="H28" s="5"/>
      <c r="I28" s="5"/>
      <c r="J28" s="5"/>
      <c r="K28" s="5"/>
      <c r="L28" s="36"/>
    </row>
    <row r="29" spans="2:12" x14ac:dyDescent="0.25">
      <c r="B29" s="35"/>
      <c r="C29" s="5"/>
      <c r="D29" s="5"/>
      <c r="E29" s="5"/>
      <c r="F29" s="5"/>
      <c r="G29" s="5"/>
      <c r="H29" s="5"/>
      <c r="I29" s="5"/>
      <c r="J29" s="5"/>
      <c r="K29" s="5"/>
      <c r="L29" s="36"/>
    </row>
    <row r="30" spans="2:12" x14ac:dyDescent="0.25">
      <c r="B30" s="35"/>
      <c r="C30" s="5"/>
      <c r="D30" s="5"/>
      <c r="E30" s="5"/>
      <c r="F30" s="5"/>
      <c r="G30" s="5"/>
      <c r="H30" s="5"/>
      <c r="I30" s="5"/>
      <c r="J30" s="5"/>
      <c r="K30" s="5"/>
      <c r="L30" s="36"/>
    </row>
    <row r="31" spans="2:12" x14ac:dyDescent="0.25">
      <c r="B31" s="35"/>
      <c r="C31" s="5"/>
      <c r="D31" s="5"/>
      <c r="E31" s="5"/>
      <c r="F31" s="5"/>
      <c r="G31" s="5"/>
      <c r="H31" s="5"/>
      <c r="I31" s="5"/>
      <c r="J31" s="5"/>
      <c r="K31" s="5"/>
      <c r="L31" s="36"/>
    </row>
    <row r="32" spans="2:12" x14ac:dyDescent="0.25">
      <c r="B32" s="35"/>
      <c r="C32" s="5"/>
      <c r="D32" s="5"/>
      <c r="E32" s="5"/>
      <c r="F32" s="5"/>
      <c r="G32" s="5"/>
      <c r="H32" s="5"/>
      <c r="I32" s="5"/>
      <c r="J32" s="5"/>
      <c r="K32" s="5"/>
      <c r="L32" s="36"/>
    </row>
    <row r="33" spans="2:12" x14ac:dyDescent="0.25">
      <c r="B33" s="35"/>
      <c r="C33" s="5"/>
      <c r="D33" s="5"/>
      <c r="E33" s="5"/>
      <c r="F33" s="5"/>
      <c r="G33" s="5"/>
      <c r="H33" s="5"/>
      <c r="I33" s="5"/>
      <c r="J33" s="5"/>
      <c r="K33" s="5"/>
      <c r="L33" s="36"/>
    </row>
    <row r="34" spans="2:12" x14ac:dyDescent="0.25">
      <c r="B34" s="35"/>
      <c r="C34" s="5"/>
      <c r="D34" s="5"/>
      <c r="E34" s="5"/>
      <c r="F34" s="5"/>
      <c r="G34" s="5"/>
      <c r="H34" s="5"/>
      <c r="I34" s="5"/>
      <c r="J34" s="5"/>
      <c r="K34" s="5"/>
      <c r="L34" s="36"/>
    </row>
    <row r="35" spans="2:12" x14ac:dyDescent="0.25">
      <c r="B35" s="35"/>
      <c r="C35" s="5"/>
      <c r="D35" s="5"/>
      <c r="E35" s="5"/>
      <c r="F35" s="5"/>
      <c r="G35" s="5"/>
      <c r="H35" s="5"/>
      <c r="I35" s="5"/>
      <c r="J35" s="5"/>
      <c r="K35" s="5"/>
      <c r="L35" s="36"/>
    </row>
    <row r="36" spans="2:12" x14ac:dyDescent="0.25">
      <c r="B36" s="35"/>
      <c r="C36" s="5"/>
      <c r="D36" s="5"/>
      <c r="E36" s="5"/>
      <c r="F36" s="5"/>
      <c r="G36" s="5"/>
      <c r="H36" s="5"/>
      <c r="I36" s="5"/>
      <c r="J36" s="5"/>
      <c r="K36" s="5"/>
      <c r="L36" s="36"/>
    </row>
    <row r="37" spans="2:12" x14ac:dyDescent="0.25">
      <c r="B37" s="35"/>
      <c r="C37" s="5"/>
      <c r="D37" s="5"/>
      <c r="E37" s="5"/>
      <c r="F37" s="5"/>
      <c r="G37" s="5"/>
      <c r="H37" s="5"/>
      <c r="I37" s="5"/>
      <c r="J37" s="5"/>
      <c r="K37" s="5"/>
      <c r="L37" s="36"/>
    </row>
    <row r="38" spans="2:12" x14ac:dyDescent="0.25">
      <c r="B38" s="35"/>
      <c r="C38" s="5"/>
      <c r="D38" s="5"/>
      <c r="E38" s="5"/>
      <c r="F38" s="5"/>
      <c r="G38" s="5"/>
      <c r="H38" s="5"/>
      <c r="I38" s="5"/>
      <c r="J38" s="5"/>
      <c r="K38" s="5"/>
      <c r="L38" s="36"/>
    </row>
    <row r="39" spans="2:12" x14ac:dyDescent="0.25">
      <c r="B39" s="35"/>
      <c r="C39" s="5"/>
      <c r="D39" s="5"/>
      <c r="E39" s="5"/>
      <c r="F39" s="5"/>
      <c r="G39" s="5"/>
      <c r="H39" s="5"/>
      <c r="I39" s="5"/>
      <c r="J39" s="5"/>
      <c r="K39" s="5"/>
      <c r="L39" s="36"/>
    </row>
    <row r="40" spans="2:12" x14ac:dyDescent="0.25">
      <c r="B40" s="35"/>
      <c r="C40" s="5"/>
      <c r="D40" s="5"/>
      <c r="E40" s="5"/>
      <c r="F40" s="5"/>
      <c r="G40" s="5"/>
      <c r="H40" s="5"/>
      <c r="I40" s="5"/>
      <c r="J40" s="5"/>
      <c r="K40" s="5"/>
      <c r="L40" s="36"/>
    </row>
    <row r="41" spans="2:12" x14ac:dyDescent="0.25">
      <c r="B41" s="35"/>
      <c r="C41" s="5"/>
      <c r="D41" s="5"/>
      <c r="E41" s="5"/>
      <c r="F41" s="5"/>
      <c r="G41" s="5"/>
      <c r="H41" s="5"/>
      <c r="I41" s="5"/>
      <c r="J41" s="5"/>
      <c r="K41" s="5"/>
      <c r="L41" s="36"/>
    </row>
    <row r="42" spans="2:12" x14ac:dyDescent="0.25">
      <c r="B42" s="35"/>
      <c r="C42" s="5"/>
      <c r="D42" s="5"/>
      <c r="E42" s="5"/>
      <c r="F42" s="5"/>
      <c r="G42" s="5"/>
      <c r="H42" s="5"/>
      <c r="I42" s="5"/>
      <c r="J42" s="5"/>
      <c r="K42" s="5"/>
      <c r="L42" s="36"/>
    </row>
    <row r="43" spans="2:12" x14ac:dyDescent="0.25">
      <c r="B43" s="35"/>
      <c r="C43" s="5"/>
      <c r="D43" s="5"/>
      <c r="E43" s="5"/>
      <c r="F43" s="5"/>
      <c r="G43" s="5"/>
      <c r="H43" s="5"/>
      <c r="I43" s="5"/>
      <c r="J43" s="5"/>
      <c r="K43" s="5"/>
      <c r="L43" s="36"/>
    </row>
    <row r="44" spans="2:12" x14ac:dyDescent="0.25">
      <c r="B44" s="43"/>
      <c r="C44" s="8"/>
      <c r="D44" s="8"/>
      <c r="E44" s="8"/>
      <c r="F44" s="8"/>
      <c r="G44" s="8"/>
      <c r="H44" s="8"/>
      <c r="I44" s="8"/>
      <c r="J44" s="8"/>
      <c r="K44" s="8"/>
      <c r="L44" s="44"/>
    </row>
  </sheetData>
  <mergeCells count="14">
    <mergeCell ref="B8:C8"/>
    <mergeCell ref="E8:F8"/>
    <mergeCell ref="H8:I8"/>
    <mergeCell ref="K8:L8"/>
    <mergeCell ref="B1:L2"/>
    <mergeCell ref="B3:L3"/>
    <mergeCell ref="B5:C5"/>
    <mergeCell ref="E5:F5"/>
    <mergeCell ref="H5:I5"/>
    <mergeCell ref="K5:L5"/>
    <mergeCell ref="B6:C7"/>
    <mergeCell ref="E6:F7"/>
    <mergeCell ref="H6:I7"/>
    <mergeCell ref="K6:L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097"/>
  <sheetViews>
    <sheetView zoomScaleNormal="100" workbookViewId="0">
      <pane ySplit="1" topLeftCell="A2" activePane="bottomLeft" state="frozen"/>
      <selection pane="bottomLeft" activeCell="M5" sqref="M5"/>
    </sheetView>
  </sheetViews>
  <sheetFormatPr defaultColWidth="8.7109375" defaultRowHeight="15" x14ac:dyDescent="0.25"/>
  <cols>
    <col min="1" max="1" width="6.5703125" bestFit="1" customWidth="1"/>
    <col min="2" max="2" width="22.5703125" bestFit="1" customWidth="1"/>
    <col min="3" max="3" width="10.42578125" bestFit="1" customWidth="1"/>
    <col min="4" max="7" width="6.5703125" bestFit="1" customWidth="1"/>
    <col min="8" max="8" width="10" customWidth="1"/>
    <col min="9" max="9" width="10.140625" bestFit="1" customWidth="1"/>
    <col min="10" max="10" width="15.140625" bestFit="1" customWidth="1"/>
    <col min="11" max="12" width="6.85546875" bestFit="1" customWidth="1"/>
    <col min="13" max="13" width="14.28515625" bestFit="1" customWidth="1"/>
    <col min="14" max="14" width="13.28515625" bestFit="1" customWidth="1"/>
    <col min="15" max="15" width="7.7109375" bestFit="1" customWidth="1"/>
  </cols>
  <sheetData>
    <row r="1" spans="1:15" x14ac:dyDescent="0.25">
      <c r="A1" s="18" t="s">
        <v>29</v>
      </c>
      <c r="B1" s="18" t="s">
        <v>30</v>
      </c>
      <c r="C1" s="18" t="s">
        <v>31</v>
      </c>
      <c r="D1" s="18" t="s">
        <v>32</v>
      </c>
      <c r="E1" s="18" t="s">
        <v>33</v>
      </c>
      <c r="F1" s="18" t="s">
        <v>34</v>
      </c>
      <c r="G1" s="18" t="s">
        <v>35</v>
      </c>
      <c r="H1" s="18" t="s">
        <v>36</v>
      </c>
      <c r="I1" s="18" t="s">
        <v>37</v>
      </c>
      <c r="J1" s="18" t="s">
        <v>38</v>
      </c>
      <c r="K1" s="18" t="s">
        <v>39</v>
      </c>
      <c r="L1" s="18" t="s">
        <v>40</v>
      </c>
      <c r="M1" s="18" t="s">
        <v>41</v>
      </c>
      <c r="N1" s="18" t="s">
        <v>42</v>
      </c>
      <c r="O1" s="18" t="s">
        <v>43</v>
      </c>
    </row>
    <row r="2" spans="1:15" x14ac:dyDescent="0.25">
      <c r="A2" s="9" t="s">
        <v>44</v>
      </c>
      <c r="B2" s="9" t="s">
        <v>45</v>
      </c>
      <c r="C2" s="25" t="s">
        <v>46</v>
      </c>
      <c r="D2" s="19">
        <v>170</v>
      </c>
      <c r="E2" s="19">
        <v>171.46</v>
      </c>
      <c r="F2" s="19">
        <v>169.24</v>
      </c>
      <c r="G2" s="19">
        <v>171.37</v>
      </c>
      <c r="H2" s="19">
        <v>171.37</v>
      </c>
      <c r="I2" s="15">
        <v>8765365</v>
      </c>
      <c r="J2" s="19"/>
      <c r="K2" s="19"/>
      <c r="L2" s="19"/>
      <c r="M2" s="19">
        <f>MAX(G2:G2)</f>
        <v>171.37</v>
      </c>
      <c r="N2" s="19">
        <f t="shared" ref="N2:N65" si="0">(G2-M2)/M2*100</f>
        <v>0</v>
      </c>
      <c r="O2" s="9" t="str">
        <f t="shared" ref="O2:O65" si="1">TEXT(C2,"yyyy-mm")</f>
        <v>2024-01</v>
      </c>
    </row>
    <row r="3" spans="1:15" x14ac:dyDescent="0.25">
      <c r="A3" s="9" t="s">
        <v>44</v>
      </c>
      <c r="B3" s="9" t="s">
        <v>45</v>
      </c>
      <c r="C3" s="25" t="s">
        <v>47</v>
      </c>
      <c r="D3" s="19">
        <v>171.37</v>
      </c>
      <c r="E3" s="19">
        <v>172.88</v>
      </c>
      <c r="F3" s="19">
        <v>171.05</v>
      </c>
      <c r="G3" s="19">
        <v>172.19</v>
      </c>
      <c r="H3" s="19">
        <v>172.19</v>
      </c>
      <c r="I3" s="15">
        <v>9302144</v>
      </c>
      <c r="J3" s="19">
        <f t="shared" ref="J3:J66" si="2">IFERROR((G3-G2)/G2*100,"")</f>
        <v>0.47849681974674285</v>
      </c>
      <c r="K3" s="19"/>
      <c r="L3" s="19"/>
      <c r="M3" s="19">
        <f>MAX(G2:G3)</f>
        <v>172.19</v>
      </c>
      <c r="N3" s="19">
        <f t="shared" si="0"/>
        <v>0</v>
      </c>
      <c r="O3" s="9" t="str">
        <f t="shared" si="1"/>
        <v>2024-01</v>
      </c>
    </row>
    <row r="4" spans="1:15" x14ac:dyDescent="0.25">
      <c r="A4" s="9" t="s">
        <v>44</v>
      </c>
      <c r="B4" s="9" t="s">
        <v>45</v>
      </c>
      <c r="C4" s="25" t="s">
        <v>48</v>
      </c>
      <c r="D4" s="19">
        <v>172.19</v>
      </c>
      <c r="E4" s="19">
        <v>172.51</v>
      </c>
      <c r="F4" s="19">
        <v>169.31</v>
      </c>
      <c r="G4" s="19">
        <v>171.1</v>
      </c>
      <c r="H4" s="19">
        <v>171.1</v>
      </c>
      <c r="I4" s="15">
        <v>10280887</v>
      </c>
      <c r="J4" s="19">
        <f t="shared" si="2"/>
        <v>-0.63302166211743038</v>
      </c>
      <c r="K4" s="19"/>
      <c r="L4" s="19"/>
      <c r="M4" s="19">
        <f>MAX(G2:G4)</f>
        <v>172.19</v>
      </c>
      <c r="N4" s="19">
        <f t="shared" si="0"/>
        <v>-0.63302166211743038</v>
      </c>
      <c r="O4" s="9" t="str">
        <f t="shared" si="1"/>
        <v>2024-01</v>
      </c>
    </row>
    <row r="5" spans="1:15" x14ac:dyDescent="0.25">
      <c r="A5" s="9" t="s">
        <v>44</v>
      </c>
      <c r="B5" s="9" t="s">
        <v>45</v>
      </c>
      <c r="C5" s="25" t="s">
        <v>49</v>
      </c>
      <c r="D5" s="19">
        <v>171.1</v>
      </c>
      <c r="E5" s="19">
        <v>174.35</v>
      </c>
      <c r="F5" s="19">
        <v>170.47</v>
      </c>
      <c r="G5" s="19">
        <v>173.29</v>
      </c>
      <c r="H5" s="19">
        <v>173.29</v>
      </c>
      <c r="I5" s="15">
        <v>4610471</v>
      </c>
      <c r="J5" s="19">
        <f t="shared" si="2"/>
        <v>1.2799532437171233</v>
      </c>
      <c r="K5" s="19"/>
      <c r="L5" s="19"/>
      <c r="M5" s="19">
        <f>MAX(G2:G5)</f>
        <v>173.29</v>
      </c>
      <c r="N5" s="19">
        <f t="shared" si="0"/>
        <v>0</v>
      </c>
      <c r="O5" s="9" t="str">
        <f t="shared" si="1"/>
        <v>2024-01</v>
      </c>
    </row>
    <row r="6" spans="1:15" x14ac:dyDescent="0.25">
      <c r="A6" s="9" t="s">
        <v>44</v>
      </c>
      <c r="B6" s="9" t="s">
        <v>45</v>
      </c>
      <c r="C6" s="25" t="s">
        <v>50</v>
      </c>
      <c r="D6" s="19">
        <v>173.29</v>
      </c>
      <c r="E6" s="19">
        <v>177.37</v>
      </c>
      <c r="F6" s="19">
        <v>171.52</v>
      </c>
      <c r="G6" s="19">
        <v>177.21</v>
      </c>
      <c r="H6" s="19">
        <v>177.21</v>
      </c>
      <c r="I6" s="15">
        <v>8946159</v>
      </c>
      <c r="J6" s="19">
        <f t="shared" si="2"/>
        <v>2.2621039875353546</v>
      </c>
      <c r="K6" s="19"/>
      <c r="L6" s="19"/>
      <c r="M6" s="19">
        <f>MAX(G2:G6)</f>
        <v>177.21</v>
      </c>
      <c r="N6" s="19">
        <f t="shared" si="0"/>
        <v>0</v>
      </c>
      <c r="O6" s="9" t="str">
        <f t="shared" si="1"/>
        <v>2024-01</v>
      </c>
    </row>
    <row r="7" spans="1:15" x14ac:dyDescent="0.25">
      <c r="A7" s="9" t="s">
        <v>44</v>
      </c>
      <c r="B7" s="9" t="s">
        <v>45</v>
      </c>
      <c r="C7" s="25" t="s">
        <v>51</v>
      </c>
      <c r="D7" s="19">
        <v>177.21</v>
      </c>
      <c r="E7" s="19">
        <v>178</v>
      </c>
      <c r="F7" s="19">
        <v>176.78</v>
      </c>
      <c r="G7" s="19">
        <v>177.64</v>
      </c>
      <c r="H7" s="19">
        <v>177.64</v>
      </c>
      <c r="I7" s="15">
        <v>7299935</v>
      </c>
      <c r="J7" s="19">
        <f t="shared" si="2"/>
        <v>0.24264996332034219</v>
      </c>
      <c r="K7" s="19"/>
      <c r="L7" s="19"/>
      <c r="M7" s="19">
        <f>MAX(G2:G7)</f>
        <v>177.64</v>
      </c>
      <c r="N7" s="19">
        <f t="shared" si="0"/>
        <v>0</v>
      </c>
      <c r="O7" s="9" t="str">
        <f t="shared" si="1"/>
        <v>2024-01</v>
      </c>
    </row>
    <row r="8" spans="1:15" x14ac:dyDescent="0.25">
      <c r="A8" s="9" t="s">
        <v>44</v>
      </c>
      <c r="B8" s="9" t="s">
        <v>45</v>
      </c>
      <c r="C8" s="25" t="s">
        <v>52</v>
      </c>
      <c r="D8" s="19">
        <v>177.64</v>
      </c>
      <c r="E8" s="19">
        <v>178.95</v>
      </c>
      <c r="F8" s="19">
        <v>175.77</v>
      </c>
      <c r="G8" s="19">
        <v>176.14</v>
      </c>
      <c r="H8" s="19">
        <v>176.14</v>
      </c>
      <c r="I8" s="15">
        <v>7986733</v>
      </c>
      <c r="J8" s="19">
        <f t="shared" si="2"/>
        <v>-0.84440441342040085</v>
      </c>
      <c r="K8" s="19"/>
      <c r="L8" s="19"/>
      <c r="M8" s="19">
        <f>MAX(G2:G8)</f>
        <v>177.64</v>
      </c>
      <c r="N8" s="19">
        <f t="shared" si="0"/>
        <v>-0.84440441342040085</v>
      </c>
      <c r="O8" s="9" t="str">
        <f t="shared" si="1"/>
        <v>2024-01</v>
      </c>
    </row>
    <row r="9" spans="1:15" x14ac:dyDescent="0.25">
      <c r="A9" s="9" t="s">
        <v>44</v>
      </c>
      <c r="B9" s="9" t="s">
        <v>45</v>
      </c>
      <c r="C9" s="25" t="s">
        <v>53</v>
      </c>
      <c r="D9" s="19">
        <v>176.14</v>
      </c>
      <c r="E9" s="19">
        <v>176.42</v>
      </c>
      <c r="F9" s="19">
        <v>175.49</v>
      </c>
      <c r="G9" s="19">
        <v>175.64</v>
      </c>
      <c r="H9" s="19">
        <v>175.64</v>
      </c>
      <c r="I9" s="15">
        <v>3296791</v>
      </c>
      <c r="J9" s="19">
        <f t="shared" si="2"/>
        <v>-0.28386510730101061</v>
      </c>
      <c r="K9" s="19"/>
      <c r="L9" s="19"/>
      <c r="M9" s="19">
        <f>MAX(G2:G9)</f>
        <v>177.64</v>
      </c>
      <c r="N9" s="19">
        <f t="shared" si="0"/>
        <v>-1.1258725512272012</v>
      </c>
      <c r="O9" s="9" t="str">
        <f t="shared" si="1"/>
        <v>2024-01</v>
      </c>
    </row>
    <row r="10" spans="1:15" x14ac:dyDescent="0.25">
      <c r="A10" s="9" t="s">
        <v>44</v>
      </c>
      <c r="B10" s="9" t="s">
        <v>45</v>
      </c>
      <c r="C10" s="25" t="s">
        <v>54</v>
      </c>
      <c r="D10" s="19">
        <v>175.64</v>
      </c>
      <c r="E10" s="19">
        <v>175.78</v>
      </c>
      <c r="F10" s="19">
        <v>172.1</v>
      </c>
      <c r="G10" s="19">
        <v>172.25</v>
      </c>
      <c r="H10" s="19">
        <v>172.25</v>
      </c>
      <c r="I10" s="15">
        <v>10116226</v>
      </c>
      <c r="J10" s="19">
        <f t="shared" si="2"/>
        <v>-1.9300842632657633</v>
      </c>
      <c r="K10" s="19"/>
      <c r="L10" s="19"/>
      <c r="M10" s="19">
        <f>MAX(G2:G10)</f>
        <v>177.64</v>
      </c>
      <c r="N10" s="19">
        <f t="shared" si="0"/>
        <v>-3.0342265255572993</v>
      </c>
      <c r="O10" s="9" t="str">
        <f t="shared" si="1"/>
        <v>2024-01</v>
      </c>
    </row>
    <row r="11" spans="1:15" x14ac:dyDescent="0.25">
      <c r="A11" s="9" t="s">
        <v>44</v>
      </c>
      <c r="B11" s="9" t="s">
        <v>45</v>
      </c>
      <c r="C11" s="25" t="s">
        <v>55</v>
      </c>
      <c r="D11" s="19">
        <v>172.25</v>
      </c>
      <c r="E11" s="19">
        <v>173.34</v>
      </c>
      <c r="F11" s="19">
        <v>169.43</v>
      </c>
      <c r="G11" s="19">
        <v>169.74</v>
      </c>
      <c r="H11" s="19">
        <v>169.74</v>
      </c>
      <c r="I11" s="15">
        <v>10537093</v>
      </c>
      <c r="J11" s="19">
        <f t="shared" si="2"/>
        <v>-1.4571843251088481</v>
      </c>
      <c r="K11" s="19"/>
      <c r="L11" s="19"/>
      <c r="M11" s="19">
        <f>MAX(G2:G11)</f>
        <v>177.64</v>
      </c>
      <c r="N11" s="19">
        <f t="shared" si="0"/>
        <v>-4.447196577347432</v>
      </c>
      <c r="O11" s="9" t="str">
        <f t="shared" si="1"/>
        <v>2024-01</v>
      </c>
    </row>
    <row r="12" spans="1:15" x14ac:dyDescent="0.25">
      <c r="A12" s="9" t="s">
        <v>44</v>
      </c>
      <c r="B12" s="9" t="s">
        <v>45</v>
      </c>
      <c r="C12" s="25" t="s">
        <v>56</v>
      </c>
      <c r="D12" s="19">
        <v>169.74</v>
      </c>
      <c r="E12" s="19">
        <v>171.92</v>
      </c>
      <c r="F12" s="19">
        <v>169.35</v>
      </c>
      <c r="G12" s="19">
        <v>170.72</v>
      </c>
      <c r="H12" s="19">
        <v>170.72</v>
      </c>
      <c r="I12" s="15">
        <v>10130596</v>
      </c>
      <c r="J12" s="19">
        <f t="shared" si="2"/>
        <v>0.57735359962294663</v>
      </c>
      <c r="K12" s="19"/>
      <c r="L12" s="19"/>
      <c r="M12" s="19">
        <f>MAX(G2:G12)</f>
        <v>177.64</v>
      </c>
      <c r="N12" s="19">
        <f t="shared" si="0"/>
        <v>-3.8955190272461091</v>
      </c>
      <c r="O12" s="9" t="str">
        <f t="shared" si="1"/>
        <v>2024-01</v>
      </c>
    </row>
    <row r="13" spans="1:15" x14ac:dyDescent="0.25">
      <c r="A13" s="9" t="s">
        <v>44</v>
      </c>
      <c r="B13" s="9" t="s">
        <v>45</v>
      </c>
      <c r="C13" s="25" t="s">
        <v>57</v>
      </c>
      <c r="D13" s="19">
        <v>170.72</v>
      </c>
      <c r="E13" s="19">
        <v>173.64</v>
      </c>
      <c r="F13" s="19">
        <v>170.15</v>
      </c>
      <c r="G13" s="19">
        <v>173.11</v>
      </c>
      <c r="H13" s="19">
        <v>173.11</v>
      </c>
      <c r="I13" s="15">
        <v>7257890</v>
      </c>
      <c r="J13" s="19">
        <f t="shared" si="2"/>
        <v>1.39995313964387</v>
      </c>
      <c r="K13" s="19"/>
      <c r="L13" s="19"/>
      <c r="M13" s="19">
        <f>MAX(G2:G13)</f>
        <v>177.64</v>
      </c>
      <c r="N13" s="19">
        <f t="shared" si="0"/>
        <v>-2.5501013285295953</v>
      </c>
      <c r="O13" s="9" t="str">
        <f t="shared" si="1"/>
        <v>2024-01</v>
      </c>
    </row>
    <row r="14" spans="1:15" x14ac:dyDescent="0.25">
      <c r="A14" s="9" t="s">
        <v>44</v>
      </c>
      <c r="B14" s="9" t="s">
        <v>45</v>
      </c>
      <c r="C14" s="25" t="s">
        <v>58</v>
      </c>
      <c r="D14" s="19">
        <v>173.11</v>
      </c>
      <c r="E14" s="19">
        <v>174.76</v>
      </c>
      <c r="F14" s="19">
        <v>172.99</v>
      </c>
      <c r="G14" s="19">
        <v>174.08</v>
      </c>
      <c r="H14" s="19">
        <v>174.08</v>
      </c>
      <c r="I14" s="15">
        <v>7015080</v>
      </c>
      <c r="J14" s="19">
        <f t="shared" si="2"/>
        <v>0.56033735774940718</v>
      </c>
      <c r="K14" s="19"/>
      <c r="L14" s="19"/>
      <c r="M14" s="19">
        <f>MAX(G2:G14)</f>
        <v>177.64</v>
      </c>
      <c r="N14" s="19">
        <f t="shared" si="0"/>
        <v>-2.0040531411844036</v>
      </c>
      <c r="O14" s="9" t="str">
        <f t="shared" si="1"/>
        <v>2024-01</v>
      </c>
    </row>
    <row r="15" spans="1:15" x14ac:dyDescent="0.25">
      <c r="A15" s="9" t="s">
        <v>44</v>
      </c>
      <c r="B15" s="9" t="s">
        <v>45</v>
      </c>
      <c r="C15" s="25" t="s">
        <v>59</v>
      </c>
      <c r="D15" s="19">
        <v>174.08</v>
      </c>
      <c r="E15" s="19">
        <v>177.9</v>
      </c>
      <c r="F15" s="19">
        <v>174.03</v>
      </c>
      <c r="G15" s="19">
        <v>177.26</v>
      </c>
      <c r="H15" s="19">
        <v>177.26</v>
      </c>
      <c r="I15" s="15">
        <v>10408478</v>
      </c>
      <c r="J15" s="19">
        <f t="shared" si="2"/>
        <v>1.8267463235293995</v>
      </c>
      <c r="K15" s="19"/>
      <c r="L15" s="19"/>
      <c r="M15" s="19">
        <f>MAX(G2:G15)</f>
        <v>177.64</v>
      </c>
      <c r="N15" s="19">
        <f t="shared" si="0"/>
        <v>-0.21391578473316566</v>
      </c>
      <c r="O15" s="9" t="str">
        <f t="shared" si="1"/>
        <v>2024-01</v>
      </c>
    </row>
    <row r="16" spans="1:15" x14ac:dyDescent="0.25">
      <c r="A16" s="9" t="s">
        <v>44</v>
      </c>
      <c r="B16" s="9" t="s">
        <v>45</v>
      </c>
      <c r="C16" s="25" t="s">
        <v>60</v>
      </c>
      <c r="D16" s="19">
        <v>177.26</v>
      </c>
      <c r="E16" s="19">
        <v>178.79</v>
      </c>
      <c r="F16" s="19">
        <v>176.2</v>
      </c>
      <c r="G16" s="19">
        <v>178.33</v>
      </c>
      <c r="H16" s="19">
        <v>178.33</v>
      </c>
      <c r="I16" s="15">
        <v>8811635</v>
      </c>
      <c r="J16" s="19">
        <f t="shared" si="2"/>
        <v>0.60363308134944238</v>
      </c>
      <c r="K16" s="19"/>
      <c r="L16" s="19"/>
      <c r="M16" s="19">
        <f>MAX(G2:G16)</f>
        <v>178.33</v>
      </c>
      <c r="N16" s="19">
        <f t="shared" si="0"/>
        <v>0</v>
      </c>
      <c r="O16" s="9" t="str">
        <f t="shared" si="1"/>
        <v>2024-01</v>
      </c>
    </row>
    <row r="17" spans="1:15" x14ac:dyDescent="0.25">
      <c r="A17" s="9" t="s">
        <v>44</v>
      </c>
      <c r="B17" s="9" t="s">
        <v>45</v>
      </c>
      <c r="C17" s="25" t="s">
        <v>61</v>
      </c>
      <c r="D17" s="19">
        <v>178.33</v>
      </c>
      <c r="E17" s="19">
        <v>188.15</v>
      </c>
      <c r="F17" s="19">
        <v>178.27</v>
      </c>
      <c r="G17" s="19">
        <v>187.46</v>
      </c>
      <c r="H17" s="19">
        <v>187.46</v>
      </c>
      <c r="I17" s="15">
        <v>19143284</v>
      </c>
      <c r="J17" s="19">
        <f t="shared" si="2"/>
        <v>5.1197218639600708</v>
      </c>
      <c r="K17" s="19"/>
      <c r="L17" s="19"/>
      <c r="M17" s="19">
        <f>MAX(G2:G17)</f>
        <v>187.46</v>
      </c>
      <c r="N17" s="19">
        <f t="shared" si="0"/>
        <v>0</v>
      </c>
      <c r="O17" s="9" t="str">
        <f t="shared" si="1"/>
        <v>2024-01</v>
      </c>
    </row>
    <row r="18" spans="1:15" x14ac:dyDescent="0.25">
      <c r="A18" s="9" t="s">
        <v>44</v>
      </c>
      <c r="B18" s="9" t="s">
        <v>45</v>
      </c>
      <c r="C18" s="25" t="s">
        <v>62</v>
      </c>
      <c r="D18" s="19">
        <v>187.46</v>
      </c>
      <c r="E18" s="19">
        <v>190.12</v>
      </c>
      <c r="F18" s="19">
        <v>186.35</v>
      </c>
      <c r="G18" s="19">
        <v>190.11</v>
      </c>
      <c r="H18" s="19">
        <v>190.11</v>
      </c>
      <c r="I18" s="15">
        <v>6756151</v>
      </c>
      <c r="J18" s="19">
        <f t="shared" si="2"/>
        <v>1.4136349087805429</v>
      </c>
      <c r="K18" s="19"/>
      <c r="L18" s="19"/>
      <c r="M18" s="19">
        <f>MAX(G2:G18)</f>
        <v>190.11</v>
      </c>
      <c r="N18" s="19">
        <f t="shared" si="0"/>
        <v>0</v>
      </c>
      <c r="O18" s="9" t="str">
        <f t="shared" si="1"/>
        <v>2024-01</v>
      </c>
    </row>
    <row r="19" spans="1:15" x14ac:dyDescent="0.25">
      <c r="A19" s="9" t="s">
        <v>44</v>
      </c>
      <c r="B19" s="9" t="s">
        <v>45</v>
      </c>
      <c r="C19" s="25" t="s">
        <v>63</v>
      </c>
      <c r="D19" s="19">
        <v>190.11</v>
      </c>
      <c r="E19" s="19">
        <v>190.49</v>
      </c>
      <c r="F19" s="19">
        <v>187.54</v>
      </c>
      <c r="G19" s="19">
        <v>187.92</v>
      </c>
      <c r="H19" s="19">
        <v>187.92</v>
      </c>
      <c r="I19" s="15">
        <v>10779647</v>
      </c>
      <c r="J19" s="19">
        <f t="shared" si="2"/>
        <v>-1.1519646520435673</v>
      </c>
      <c r="K19" s="19"/>
      <c r="L19" s="19"/>
      <c r="M19" s="19">
        <f>MAX(G2:G19)</f>
        <v>190.11</v>
      </c>
      <c r="N19" s="19">
        <f t="shared" si="0"/>
        <v>-1.1519646520435673</v>
      </c>
      <c r="O19" s="9" t="str">
        <f t="shared" si="1"/>
        <v>2024-01</v>
      </c>
    </row>
    <row r="20" spans="1:15" x14ac:dyDescent="0.25">
      <c r="A20" s="9" t="s">
        <v>44</v>
      </c>
      <c r="B20" s="9" t="s">
        <v>45</v>
      </c>
      <c r="C20" s="25" t="s">
        <v>64</v>
      </c>
      <c r="D20" s="19">
        <v>187.92</v>
      </c>
      <c r="E20" s="19">
        <v>188.99</v>
      </c>
      <c r="F20" s="19">
        <v>187.85</v>
      </c>
      <c r="G20" s="19">
        <v>188.76</v>
      </c>
      <c r="H20" s="19">
        <v>188.76</v>
      </c>
      <c r="I20" s="15">
        <v>10324747</v>
      </c>
      <c r="J20" s="19">
        <f t="shared" si="2"/>
        <v>0.44699872286079362</v>
      </c>
      <c r="K20" s="19"/>
      <c r="L20" s="19"/>
      <c r="M20" s="19">
        <f>MAX(G2:G20)</f>
        <v>190.11</v>
      </c>
      <c r="N20" s="19">
        <f t="shared" si="0"/>
        <v>-0.71011519646521626</v>
      </c>
      <c r="O20" s="9" t="str">
        <f t="shared" si="1"/>
        <v>2024-01</v>
      </c>
    </row>
    <row r="21" spans="1:15" x14ac:dyDescent="0.25">
      <c r="A21" s="9" t="s">
        <v>44</v>
      </c>
      <c r="B21" s="9" t="s">
        <v>45</v>
      </c>
      <c r="C21" s="25" t="s">
        <v>65</v>
      </c>
      <c r="D21" s="19">
        <v>188.76</v>
      </c>
      <c r="E21" s="19">
        <v>189</v>
      </c>
      <c r="F21" s="19">
        <v>185.93</v>
      </c>
      <c r="G21" s="19">
        <v>186.88</v>
      </c>
      <c r="H21" s="19">
        <v>186.88</v>
      </c>
      <c r="I21" s="15">
        <v>7299313</v>
      </c>
      <c r="J21" s="19">
        <f t="shared" si="2"/>
        <v>-0.99597372324644817</v>
      </c>
      <c r="K21" s="19">
        <f t="shared" ref="K21:K84" si="3">AVERAGE(G2:G21)</f>
        <v>177.56</v>
      </c>
      <c r="L21" s="19"/>
      <c r="M21" s="19">
        <f>MAX(G2:G21)</f>
        <v>190.11</v>
      </c>
      <c r="N21" s="19">
        <f t="shared" si="0"/>
        <v>-1.6990163589500908</v>
      </c>
      <c r="O21" s="9" t="str">
        <f t="shared" si="1"/>
        <v>2024-01</v>
      </c>
    </row>
    <row r="22" spans="1:15" x14ac:dyDescent="0.25">
      <c r="A22" s="9" t="s">
        <v>44</v>
      </c>
      <c r="B22" s="9" t="s">
        <v>45</v>
      </c>
      <c r="C22" s="25" t="s">
        <v>66</v>
      </c>
      <c r="D22" s="19">
        <v>186.88</v>
      </c>
      <c r="E22" s="19">
        <v>187.14</v>
      </c>
      <c r="F22" s="19">
        <v>179.3</v>
      </c>
      <c r="G22" s="19">
        <v>179.55</v>
      </c>
      <c r="H22" s="19">
        <v>179.55</v>
      </c>
      <c r="I22" s="15">
        <v>6074534</v>
      </c>
      <c r="J22" s="19">
        <f t="shared" si="2"/>
        <v>-3.9223030821917728</v>
      </c>
      <c r="K22" s="19">
        <f t="shared" si="3"/>
        <v>177.96899999999999</v>
      </c>
      <c r="L22" s="19"/>
      <c r="M22" s="19">
        <f>MAX(G2:G22)</f>
        <v>190.11</v>
      </c>
      <c r="N22" s="19">
        <f t="shared" si="0"/>
        <v>-5.5546788701278214</v>
      </c>
      <c r="O22" s="9" t="str">
        <f t="shared" si="1"/>
        <v>2024-01</v>
      </c>
    </row>
    <row r="23" spans="1:15" x14ac:dyDescent="0.25">
      <c r="A23" s="9" t="s">
        <v>44</v>
      </c>
      <c r="B23" s="9" t="s">
        <v>45</v>
      </c>
      <c r="C23" s="25" t="s">
        <v>67</v>
      </c>
      <c r="D23" s="19">
        <v>179.55</v>
      </c>
      <c r="E23" s="19">
        <v>179.84</v>
      </c>
      <c r="F23" s="19">
        <v>178.55</v>
      </c>
      <c r="G23" s="19">
        <v>179.22</v>
      </c>
      <c r="H23" s="19">
        <v>179.22</v>
      </c>
      <c r="I23" s="15">
        <v>11369500</v>
      </c>
      <c r="J23" s="19">
        <f t="shared" si="2"/>
        <v>-0.1837928153717697</v>
      </c>
      <c r="K23" s="19">
        <f t="shared" si="3"/>
        <v>178.32050000000001</v>
      </c>
      <c r="L23" s="19"/>
      <c r="M23" s="19">
        <f>MAX(G2:G23)</f>
        <v>190.11</v>
      </c>
      <c r="N23" s="19">
        <f t="shared" si="0"/>
        <v>-5.7282625848193227</v>
      </c>
      <c r="O23" s="9" t="str">
        <f t="shared" si="1"/>
        <v>2024-01</v>
      </c>
    </row>
    <row r="24" spans="1:15" x14ac:dyDescent="0.25">
      <c r="A24" s="9" t="s">
        <v>44</v>
      </c>
      <c r="B24" s="9" t="s">
        <v>45</v>
      </c>
      <c r="C24" s="25" t="s">
        <v>68</v>
      </c>
      <c r="D24" s="19">
        <v>179.22</v>
      </c>
      <c r="E24" s="19">
        <v>180.48</v>
      </c>
      <c r="F24" s="19">
        <v>179.18</v>
      </c>
      <c r="G24" s="19">
        <v>179.28</v>
      </c>
      <c r="H24" s="19">
        <v>179.28</v>
      </c>
      <c r="I24" s="15">
        <v>13911781</v>
      </c>
      <c r="J24" s="19">
        <f t="shared" si="2"/>
        <v>3.3478406427855302E-2</v>
      </c>
      <c r="K24" s="19">
        <f t="shared" si="3"/>
        <v>178.72950000000006</v>
      </c>
      <c r="L24" s="19"/>
      <c r="M24" s="19">
        <f>MAX(G2:G24)</f>
        <v>190.11</v>
      </c>
      <c r="N24" s="19">
        <f t="shared" si="0"/>
        <v>-5.6967019094208675</v>
      </c>
      <c r="O24" s="9" t="str">
        <f t="shared" si="1"/>
        <v>2024-01</v>
      </c>
    </row>
    <row r="25" spans="1:15" x14ac:dyDescent="0.25">
      <c r="A25" s="9" t="s">
        <v>44</v>
      </c>
      <c r="B25" s="9" t="s">
        <v>45</v>
      </c>
      <c r="C25" s="25" t="s">
        <v>69</v>
      </c>
      <c r="D25" s="19">
        <v>179.28</v>
      </c>
      <c r="E25" s="19">
        <v>179.5</v>
      </c>
      <c r="F25" s="19">
        <v>178.63</v>
      </c>
      <c r="G25" s="19">
        <v>178.87</v>
      </c>
      <c r="H25" s="19">
        <v>178.87</v>
      </c>
      <c r="I25" s="15">
        <v>7982287</v>
      </c>
      <c r="J25" s="19">
        <f t="shared" si="2"/>
        <v>-0.22869254796965449</v>
      </c>
      <c r="K25" s="19">
        <f t="shared" si="3"/>
        <v>179.0085</v>
      </c>
      <c r="L25" s="19"/>
      <c r="M25" s="19">
        <f>MAX(G2:G25)</f>
        <v>190.11</v>
      </c>
      <c r="N25" s="19">
        <f t="shared" si="0"/>
        <v>-5.9123665246436312</v>
      </c>
      <c r="O25" s="9" t="str">
        <f t="shared" si="1"/>
        <v>2024-02</v>
      </c>
    </row>
    <row r="26" spans="1:15" x14ac:dyDescent="0.25">
      <c r="A26" s="9" t="s">
        <v>44</v>
      </c>
      <c r="B26" s="9" t="s">
        <v>45</v>
      </c>
      <c r="C26" s="25" t="s">
        <v>70</v>
      </c>
      <c r="D26" s="19">
        <v>178.87</v>
      </c>
      <c r="E26" s="19">
        <v>181.87</v>
      </c>
      <c r="F26" s="19">
        <v>178.31</v>
      </c>
      <c r="G26" s="19">
        <v>181.04</v>
      </c>
      <c r="H26" s="19">
        <v>181.04</v>
      </c>
      <c r="I26" s="15">
        <v>5817470</v>
      </c>
      <c r="J26" s="19">
        <f t="shared" si="2"/>
        <v>1.2131715771230434</v>
      </c>
      <c r="K26" s="19">
        <f t="shared" si="3"/>
        <v>179.2</v>
      </c>
      <c r="L26" s="19"/>
      <c r="M26" s="19">
        <f>MAX(G2:G26)</f>
        <v>190.11</v>
      </c>
      <c r="N26" s="19">
        <f t="shared" si="0"/>
        <v>-4.7709220977329023</v>
      </c>
      <c r="O26" s="9" t="str">
        <f t="shared" si="1"/>
        <v>2024-02</v>
      </c>
    </row>
    <row r="27" spans="1:15" x14ac:dyDescent="0.25">
      <c r="A27" s="9" t="s">
        <v>44</v>
      </c>
      <c r="B27" s="9" t="s">
        <v>45</v>
      </c>
      <c r="C27" s="25" t="s">
        <v>71</v>
      </c>
      <c r="D27" s="19">
        <v>181.04</v>
      </c>
      <c r="E27" s="19">
        <v>185.99</v>
      </c>
      <c r="F27" s="19">
        <v>180.4</v>
      </c>
      <c r="G27" s="19">
        <v>184.96</v>
      </c>
      <c r="H27" s="19">
        <v>184.96</v>
      </c>
      <c r="I27" s="15">
        <v>8184547</v>
      </c>
      <c r="J27" s="19">
        <f t="shared" si="2"/>
        <v>2.1652673442333277</v>
      </c>
      <c r="K27" s="19">
        <f t="shared" si="3"/>
        <v>179.56599999999997</v>
      </c>
      <c r="L27" s="19"/>
      <c r="M27" s="19">
        <f>MAX(G2:G27)</f>
        <v>190.11</v>
      </c>
      <c r="N27" s="19">
        <f t="shared" si="0"/>
        <v>-2.7089579717005972</v>
      </c>
      <c r="O27" s="9" t="str">
        <f t="shared" si="1"/>
        <v>2024-02</v>
      </c>
    </row>
    <row r="28" spans="1:15" x14ac:dyDescent="0.25">
      <c r="A28" s="9" t="s">
        <v>44</v>
      </c>
      <c r="B28" s="9" t="s">
        <v>45</v>
      </c>
      <c r="C28" s="25" t="s">
        <v>72</v>
      </c>
      <c r="D28" s="19">
        <v>184.96</v>
      </c>
      <c r="E28" s="19">
        <v>185.64</v>
      </c>
      <c r="F28" s="19">
        <v>183.62</v>
      </c>
      <c r="G28" s="19">
        <v>183.7</v>
      </c>
      <c r="H28" s="19">
        <v>183.7</v>
      </c>
      <c r="I28" s="15">
        <v>6791658</v>
      </c>
      <c r="J28" s="19">
        <f t="shared" si="2"/>
        <v>-0.68122837370243261</v>
      </c>
      <c r="K28" s="19">
        <f t="shared" si="3"/>
        <v>179.94400000000002</v>
      </c>
      <c r="L28" s="19"/>
      <c r="M28" s="19">
        <f>MAX(G2:G28)</f>
        <v>190.11</v>
      </c>
      <c r="N28" s="19">
        <f t="shared" si="0"/>
        <v>-3.3717321550681314</v>
      </c>
      <c r="O28" s="9" t="str">
        <f t="shared" si="1"/>
        <v>2024-02</v>
      </c>
    </row>
    <row r="29" spans="1:15" x14ac:dyDescent="0.25">
      <c r="A29" s="9" t="s">
        <v>44</v>
      </c>
      <c r="B29" s="9" t="s">
        <v>45</v>
      </c>
      <c r="C29" s="25" t="s">
        <v>73</v>
      </c>
      <c r="D29" s="19">
        <v>183.7</v>
      </c>
      <c r="E29" s="19">
        <v>183.75</v>
      </c>
      <c r="F29" s="19">
        <v>179.15</v>
      </c>
      <c r="G29" s="19">
        <v>179.54</v>
      </c>
      <c r="H29" s="19">
        <v>179.54</v>
      </c>
      <c r="I29" s="15">
        <v>5804741</v>
      </c>
      <c r="J29" s="19">
        <f t="shared" si="2"/>
        <v>-2.2645617855198674</v>
      </c>
      <c r="K29" s="19">
        <f t="shared" si="3"/>
        <v>180.13899999999998</v>
      </c>
      <c r="L29" s="19"/>
      <c r="M29" s="19">
        <f>MAX(G2:G29)</f>
        <v>190.11</v>
      </c>
      <c r="N29" s="19">
        <f t="shared" si="0"/>
        <v>-5.5599389826942414</v>
      </c>
      <c r="O29" s="9" t="str">
        <f t="shared" si="1"/>
        <v>2024-02</v>
      </c>
    </row>
    <row r="30" spans="1:15" x14ac:dyDescent="0.25">
      <c r="A30" s="9" t="s">
        <v>44</v>
      </c>
      <c r="B30" s="9" t="s">
        <v>45</v>
      </c>
      <c r="C30" s="25" t="s">
        <v>74</v>
      </c>
      <c r="D30" s="19">
        <v>179.54</v>
      </c>
      <c r="E30" s="19">
        <v>181.43</v>
      </c>
      <c r="F30" s="19">
        <v>178.97</v>
      </c>
      <c r="G30" s="19">
        <v>181.31</v>
      </c>
      <c r="H30" s="19">
        <v>181.31</v>
      </c>
      <c r="I30" s="15">
        <v>7227052</v>
      </c>
      <c r="J30" s="19">
        <f t="shared" si="2"/>
        <v>0.9858527347666316</v>
      </c>
      <c r="K30" s="19">
        <f t="shared" si="3"/>
        <v>180.59199999999998</v>
      </c>
      <c r="L30" s="19"/>
      <c r="M30" s="19">
        <f>MAX(G2:G30)</f>
        <v>190.11</v>
      </c>
      <c r="N30" s="19">
        <f t="shared" si="0"/>
        <v>-4.6288990584398562</v>
      </c>
      <c r="O30" s="9" t="str">
        <f t="shared" si="1"/>
        <v>2024-02</v>
      </c>
    </row>
    <row r="31" spans="1:15" x14ac:dyDescent="0.25">
      <c r="A31" s="9" t="s">
        <v>44</v>
      </c>
      <c r="B31" s="9" t="s">
        <v>45</v>
      </c>
      <c r="C31" s="25" t="s">
        <v>75</v>
      </c>
      <c r="D31" s="19">
        <v>181.31</v>
      </c>
      <c r="E31" s="19">
        <v>184.54</v>
      </c>
      <c r="F31" s="19">
        <v>180.33</v>
      </c>
      <c r="G31" s="19">
        <v>183.64</v>
      </c>
      <c r="H31" s="19">
        <v>183.64</v>
      </c>
      <c r="I31" s="15">
        <v>14093990</v>
      </c>
      <c r="J31" s="19">
        <f t="shared" si="2"/>
        <v>1.2850918316695075</v>
      </c>
      <c r="K31" s="19">
        <f t="shared" si="3"/>
        <v>181.28699999999998</v>
      </c>
      <c r="L31" s="19"/>
      <c r="M31" s="19">
        <f>MAX(G2:G31)</f>
        <v>190.11</v>
      </c>
      <c r="N31" s="19">
        <f t="shared" si="0"/>
        <v>-3.4032928304665857</v>
      </c>
      <c r="O31" s="9" t="str">
        <f t="shared" si="1"/>
        <v>2024-02</v>
      </c>
    </row>
    <row r="32" spans="1:15" x14ac:dyDescent="0.25">
      <c r="A32" s="9" t="s">
        <v>44</v>
      </c>
      <c r="B32" s="9" t="s">
        <v>45</v>
      </c>
      <c r="C32" s="25" t="s">
        <v>76</v>
      </c>
      <c r="D32" s="19">
        <v>183.64</v>
      </c>
      <c r="E32" s="19">
        <v>183.79</v>
      </c>
      <c r="F32" s="19">
        <v>182.66</v>
      </c>
      <c r="G32" s="19">
        <v>182.85</v>
      </c>
      <c r="H32" s="19">
        <v>182.85</v>
      </c>
      <c r="I32" s="15">
        <v>9876374</v>
      </c>
      <c r="J32" s="19">
        <f t="shared" si="2"/>
        <v>-0.43018950119799182</v>
      </c>
      <c r="K32" s="19">
        <f t="shared" si="3"/>
        <v>181.89349999999999</v>
      </c>
      <c r="L32" s="19"/>
      <c r="M32" s="19">
        <f>MAX(G2:G32)</f>
        <v>190.11</v>
      </c>
      <c r="N32" s="19">
        <f t="shared" si="0"/>
        <v>-3.8188417232128868</v>
      </c>
      <c r="O32" s="9" t="str">
        <f t="shared" si="1"/>
        <v>2024-02</v>
      </c>
    </row>
    <row r="33" spans="1:15" x14ac:dyDescent="0.25">
      <c r="A33" s="9" t="s">
        <v>44</v>
      </c>
      <c r="B33" s="9" t="s">
        <v>45</v>
      </c>
      <c r="C33" s="25" t="s">
        <v>77</v>
      </c>
      <c r="D33" s="19">
        <v>182.85</v>
      </c>
      <c r="E33" s="19">
        <v>183.82</v>
      </c>
      <c r="F33" s="19">
        <v>179.13</v>
      </c>
      <c r="G33" s="19">
        <v>179.57</v>
      </c>
      <c r="H33" s="19">
        <v>179.57</v>
      </c>
      <c r="I33" s="15">
        <v>10920969</v>
      </c>
      <c r="J33" s="19">
        <f t="shared" si="2"/>
        <v>-1.7938200710965277</v>
      </c>
      <c r="K33" s="19">
        <f t="shared" si="3"/>
        <v>182.2165</v>
      </c>
      <c r="L33" s="19"/>
      <c r="M33" s="19">
        <f>MAX(G2:G33)</f>
        <v>190.11</v>
      </c>
      <c r="N33" s="19">
        <f t="shared" si="0"/>
        <v>-5.5441586449950133</v>
      </c>
      <c r="O33" s="9" t="str">
        <f t="shared" si="1"/>
        <v>2024-02</v>
      </c>
    </row>
    <row r="34" spans="1:15" x14ac:dyDescent="0.25">
      <c r="A34" s="9" t="s">
        <v>44</v>
      </c>
      <c r="B34" s="9" t="s">
        <v>45</v>
      </c>
      <c r="C34" s="25" t="s">
        <v>78</v>
      </c>
      <c r="D34" s="19">
        <v>179.57</v>
      </c>
      <c r="E34" s="19">
        <v>196.68</v>
      </c>
      <c r="F34" s="19">
        <v>179.47</v>
      </c>
      <c r="G34" s="19">
        <v>196.02</v>
      </c>
      <c r="H34" s="19">
        <v>196.02</v>
      </c>
      <c r="I34" s="15">
        <v>9724809</v>
      </c>
      <c r="J34" s="19">
        <f t="shared" si="2"/>
        <v>9.1607729576209938</v>
      </c>
      <c r="K34" s="19">
        <f t="shared" si="3"/>
        <v>183.3135</v>
      </c>
      <c r="L34" s="19"/>
      <c r="M34" s="19">
        <f>MAX(G2:G34)</f>
        <v>196.02</v>
      </c>
      <c r="N34" s="19">
        <f t="shared" si="0"/>
        <v>0</v>
      </c>
      <c r="O34" s="9" t="str">
        <f t="shared" si="1"/>
        <v>2024-02</v>
      </c>
    </row>
    <row r="35" spans="1:15" x14ac:dyDescent="0.25">
      <c r="A35" s="9" t="s">
        <v>44</v>
      </c>
      <c r="B35" s="9" t="s">
        <v>45</v>
      </c>
      <c r="C35" s="25" t="s">
        <v>79</v>
      </c>
      <c r="D35" s="19">
        <v>196.02</v>
      </c>
      <c r="E35" s="19">
        <v>196.42</v>
      </c>
      <c r="F35" s="19">
        <v>194.96</v>
      </c>
      <c r="G35" s="19">
        <v>196.12</v>
      </c>
      <c r="H35" s="19">
        <v>196.12</v>
      </c>
      <c r="I35" s="15">
        <v>6237085</v>
      </c>
      <c r="J35" s="19">
        <f t="shared" si="2"/>
        <v>5.1015202530351141E-2</v>
      </c>
      <c r="K35" s="19">
        <f t="shared" si="3"/>
        <v>184.25649999999999</v>
      </c>
      <c r="L35" s="19"/>
      <c r="M35" s="19">
        <f>MAX(G2:G35)</f>
        <v>196.12</v>
      </c>
      <c r="N35" s="19">
        <f t="shared" si="0"/>
        <v>0</v>
      </c>
      <c r="O35" s="9" t="str">
        <f t="shared" si="1"/>
        <v>2024-02</v>
      </c>
    </row>
    <row r="36" spans="1:15" x14ac:dyDescent="0.25">
      <c r="A36" s="9" t="s">
        <v>44</v>
      </c>
      <c r="B36" s="9" t="s">
        <v>45</v>
      </c>
      <c r="C36" s="25" t="s">
        <v>80</v>
      </c>
      <c r="D36" s="19">
        <v>196.12</v>
      </c>
      <c r="E36" s="19">
        <v>196.99</v>
      </c>
      <c r="F36" s="19">
        <v>191.66</v>
      </c>
      <c r="G36" s="19">
        <v>193.41</v>
      </c>
      <c r="H36" s="19">
        <v>193.41</v>
      </c>
      <c r="I36" s="15">
        <v>8352739</v>
      </c>
      <c r="J36" s="19">
        <f t="shared" si="2"/>
        <v>-1.3818070569039405</v>
      </c>
      <c r="K36" s="19">
        <f t="shared" si="3"/>
        <v>185.01049999999998</v>
      </c>
      <c r="L36" s="19"/>
      <c r="M36" s="19">
        <f>MAX(G2:G36)</f>
        <v>196.12</v>
      </c>
      <c r="N36" s="19">
        <f t="shared" si="0"/>
        <v>-1.3818070569039405</v>
      </c>
      <c r="O36" s="9" t="str">
        <f t="shared" si="1"/>
        <v>2024-02</v>
      </c>
    </row>
    <row r="37" spans="1:15" x14ac:dyDescent="0.25">
      <c r="A37" s="9" t="s">
        <v>44</v>
      </c>
      <c r="B37" s="9" t="s">
        <v>45</v>
      </c>
      <c r="C37" s="25" t="s">
        <v>81</v>
      </c>
      <c r="D37" s="19">
        <v>193.41</v>
      </c>
      <c r="E37" s="19">
        <v>196.27</v>
      </c>
      <c r="F37" s="19">
        <v>192.71</v>
      </c>
      <c r="G37" s="19">
        <v>195.1</v>
      </c>
      <c r="H37" s="19">
        <v>195.1</v>
      </c>
      <c r="I37" s="15">
        <v>7928659</v>
      </c>
      <c r="J37" s="19">
        <f t="shared" si="2"/>
        <v>0.87379142753735484</v>
      </c>
      <c r="K37" s="19">
        <f t="shared" si="3"/>
        <v>185.39249999999998</v>
      </c>
      <c r="L37" s="19"/>
      <c r="M37" s="19">
        <f>MAX(G2:G37)</f>
        <v>196.12</v>
      </c>
      <c r="N37" s="19">
        <f t="shared" si="0"/>
        <v>-0.52008974097491856</v>
      </c>
      <c r="O37" s="9" t="str">
        <f t="shared" si="1"/>
        <v>2024-02</v>
      </c>
    </row>
    <row r="38" spans="1:15" x14ac:dyDescent="0.25">
      <c r="A38" s="9" t="s">
        <v>44</v>
      </c>
      <c r="B38" s="9" t="s">
        <v>45</v>
      </c>
      <c r="C38" s="25" t="s">
        <v>82</v>
      </c>
      <c r="D38" s="19">
        <v>195.1</v>
      </c>
      <c r="E38" s="19">
        <v>195.76</v>
      </c>
      <c r="F38" s="19">
        <v>188.9</v>
      </c>
      <c r="G38" s="19">
        <v>189.55</v>
      </c>
      <c r="H38" s="19">
        <v>189.55</v>
      </c>
      <c r="I38" s="15">
        <v>8946415</v>
      </c>
      <c r="J38" s="19">
        <f t="shared" si="2"/>
        <v>-2.8446950281906629</v>
      </c>
      <c r="K38" s="19">
        <f t="shared" si="3"/>
        <v>185.36449999999999</v>
      </c>
      <c r="L38" s="19"/>
      <c r="M38" s="19">
        <f>MAX(G2:G38)</f>
        <v>196.12</v>
      </c>
      <c r="N38" s="19">
        <f t="shared" si="0"/>
        <v>-3.3499898021619381</v>
      </c>
      <c r="O38" s="9" t="str">
        <f t="shared" si="1"/>
        <v>2024-02</v>
      </c>
    </row>
    <row r="39" spans="1:15" x14ac:dyDescent="0.25">
      <c r="A39" s="9" t="s">
        <v>44</v>
      </c>
      <c r="B39" s="9" t="s">
        <v>45</v>
      </c>
      <c r="C39" s="25" t="s">
        <v>83</v>
      </c>
      <c r="D39" s="19">
        <v>189.55</v>
      </c>
      <c r="E39" s="19">
        <v>190.84</v>
      </c>
      <c r="F39" s="19">
        <v>189.54</v>
      </c>
      <c r="G39" s="19">
        <v>189.65</v>
      </c>
      <c r="H39" s="19">
        <v>189.65</v>
      </c>
      <c r="I39" s="15">
        <v>8457436</v>
      </c>
      <c r="J39" s="19">
        <f t="shared" si="2"/>
        <v>5.275652862041378E-2</v>
      </c>
      <c r="K39" s="19">
        <f t="shared" si="3"/>
        <v>185.45099999999999</v>
      </c>
      <c r="L39" s="19"/>
      <c r="M39" s="19">
        <f>MAX(G2:G39)</f>
        <v>196.12</v>
      </c>
      <c r="N39" s="19">
        <f t="shared" si="0"/>
        <v>-3.2990006118702828</v>
      </c>
      <c r="O39" s="9" t="str">
        <f t="shared" si="1"/>
        <v>2024-02</v>
      </c>
    </row>
    <row r="40" spans="1:15" x14ac:dyDescent="0.25">
      <c r="A40" s="9" t="s">
        <v>44</v>
      </c>
      <c r="B40" s="9" t="s">
        <v>45</v>
      </c>
      <c r="C40" s="25" t="s">
        <v>84</v>
      </c>
      <c r="D40" s="19">
        <v>189.65</v>
      </c>
      <c r="E40" s="19">
        <v>191.75</v>
      </c>
      <c r="F40" s="19">
        <v>189.55</v>
      </c>
      <c r="G40" s="19">
        <v>191.49</v>
      </c>
      <c r="H40" s="19">
        <v>191.49</v>
      </c>
      <c r="I40" s="15">
        <v>8819817</v>
      </c>
      <c r="J40" s="19">
        <f t="shared" si="2"/>
        <v>0.97020827840759472</v>
      </c>
      <c r="K40" s="19">
        <f t="shared" si="3"/>
        <v>185.58750000000001</v>
      </c>
      <c r="L40" s="19"/>
      <c r="M40" s="19">
        <f>MAX(G2:G40)</f>
        <v>196.12</v>
      </c>
      <c r="N40" s="19">
        <f t="shared" si="0"/>
        <v>-2.3607995105037709</v>
      </c>
      <c r="O40" s="9" t="str">
        <f t="shared" si="1"/>
        <v>2024-02</v>
      </c>
    </row>
    <row r="41" spans="1:15" x14ac:dyDescent="0.25">
      <c r="A41" s="9" t="s">
        <v>44</v>
      </c>
      <c r="B41" s="9" t="s">
        <v>45</v>
      </c>
      <c r="C41" s="25" t="s">
        <v>85</v>
      </c>
      <c r="D41" s="19">
        <v>191.49</v>
      </c>
      <c r="E41" s="19">
        <v>198.91</v>
      </c>
      <c r="F41" s="19">
        <v>191.32</v>
      </c>
      <c r="G41" s="19">
        <v>197.69</v>
      </c>
      <c r="H41" s="19">
        <v>197.69</v>
      </c>
      <c r="I41" s="15">
        <v>6859382</v>
      </c>
      <c r="J41" s="19">
        <f t="shared" si="2"/>
        <v>3.2377669852211541</v>
      </c>
      <c r="K41" s="19">
        <f t="shared" si="3"/>
        <v>186.12799999999999</v>
      </c>
      <c r="L41" s="19"/>
      <c r="M41" s="19">
        <f>MAX(G2:G41)</f>
        <v>197.69</v>
      </c>
      <c r="N41" s="19">
        <f t="shared" si="0"/>
        <v>0</v>
      </c>
      <c r="O41" s="9" t="str">
        <f t="shared" si="1"/>
        <v>2024-02</v>
      </c>
    </row>
    <row r="42" spans="1:15" x14ac:dyDescent="0.25">
      <c r="A42" s="9" t="s">
        <v>44</v>
      </c>
      <c r="B42" s="9" t="s">
        <v>45</v>
      </c>
      <c r="C42" s="25" t="s">
        <v>86</v>
      </c>
      <c r="D42" s="19">
        <v>197.69</v>
      </c>
      <c r="E42" s="19">
        <v>198.33</v>
      </c>
      <c r="F42" s="19">
        <v>194.95</v>
      </c>
      <c r="G42" s="19">
        <v>196</v>
      </c>
      <c r="H42" s="19">
        <v>196</v>
      </c>
      <c r="I42" s="15">
        <v>4107932</v>
      </c>
      <c r="J42" s="19">
        <f t="shared" si="2"/>
        <v>-0.85487379230107619</v>
      </c>
      <c r="K42" s="19">
        <f t="shared" si="3"/>
        <v>186.95049999999998</v>
      </c>
      <c r="L42" s="19"/>
      <c r="M42" s="19">
        <f>MAX(G2:G42)</f>
        <v>197.69</v>
      </c>
      <c r="N42" s="19">
        <f t="shared" si="0"/>
        <v>-0.85487379230107619</v>
      </c>
      <c r="O42" s="9" t="str">
        <f t="shared" si="1"/>
        <v>2024-02</v>
      </c>
    </row>
    <row r="43" spans="1:15" x14ac:dyDescent="0.25">
      <c r="A43" s="9" t="s">
        <v>44</v>
      </c>
      <c r="B43" s="9" t="s">
        <v>45</v>
      </c>
      <c r="C43" s="25" t="s">
        <v>87</v>
      </c>
      <c r="D43" s="19">
        <v>196</v>
      </c>
      <c r="E43" s="19">
        <v>197.09</v>
      </c>
      <c r="F43" s="19">
        <v>191.95</v>
      </c>
      <c r="G43" s="19">
        <v>192.74</v>
      </c>
      <c r="H43" s="19">
        <v>192.74</v>
      </c>
      <c r="I43" s="15">
        <v>5160704</v>
      </c>
      <c r="J43" s="19">
        <f t="shared" si="2"/>
        <v>-1.6632653061224443</v>
      </c>
      <c r="K43" s="19">
        <f t="shared" si="3"/>
        <v>187.62649999999999</v>
      </c>
      <c r="L43" s="19"/>
      <c r="M43" s="19">
        <f>MAX(G2:G43)</f>
        <v>197.69</v>
      </c>
      <c r="N43" s="19">
        <f t="shared" si="0"/>
        <v>-2.5039202792250435</v>
      </c>
      <c r="O43" s="9" t="str">
        <f t="shared" si="1"/>
        <v>2024-02</v>
      </c>
    </row>
    <row r="44" spans="1:15" x14ac:dyDescent="0.25">
      <c r="A44" s="9" t="s">
        <v>44</v>
      </c>
      <c r="B44" s="9" t="s">
        <v>45</v>
      </c>
      <c r="C44" s="25" t="s">
        <v>88</v>
      </c>
      <c r="D44" s="19">
        <v>192.74</v>
      </c>
      <c r="E44" s="19">
        <v>195.54</v>
      </c>
      <c r="F44" s="19">
        <v>191.55</v>
      </c>
      <c r="G44" s="19">
        <v>194.16</v>
      </c>
      <c r="H44" s="19">
        <v>194.16</v>
      </c>
      <c r="I44" s="15">
        <v>6774816</v>
      </c>
      <c r="J44" s="19">
        <f t="shared" si="2"/>
        <v>0.73674379993773342</v>
      </c>
      <c r="K44" s="19">
        <f t="shared" si="3"/>
        <v>188.37049999999999</v>
      </c>
      <c r="L44" s="19"/>
      <c r="M44" s="19">
        <f>MAX(G2:G44)</f>
        <v>197.69</v>
      </c>
      <c r="N44" s="19">
        <f t="shared" si="0"/>
        <v>-1.7856239566998844</v>
      </c>
      <c r="O44" s="9" t="str">
        <f t="shared" si="1"/>
        <v>2024-02</v>
      </c>
    </row>
    <row r="45" spans="1:15" x14ac:dyDescent="0.25">
      <c r="A45" s="9" t="s">
        <v>44</v>
      </c>
      <c r="B45" s="9" t="s">
        <v>45</v>
      </c>
      <c r="C45" s="25" t="s">
        <v>89</v>
      </c>
      <c r="D45" s="19">
        <v>194.16</v>
      </c>
      <c r="E45" s="19">
        <v>208.21</v>
      </c>
      <c r="F45" s="19">
        <v>193.13</v>
      </c>
      <c r="G45" s="19">
        <v>208.05</v>
      </c>
      <c r="H45" s="19">
        <v>208.05</v>
      </c>
      <c r="I45" s="15">
        <v>37250795</v>
      </c>
      <c r="J45" s="19">
        <f t="shared" si="2"/>
        <v>7.153893695920897</v>
      </c>
      <c r="K45" s="19">
        <f t="shared" si="3"/>
        <v>189.82950000000005</v>
      </c>
      <c r="L45" s="19"/>
      <c r="M45" s="19">
        <f>MAX(G2:G45)</f>
        <v>208.05</v>
      </c>
      <c r="N45" s="19">
        <f t="shared" si="0"/>
        <v>0</v>
      </c>
      <c r="O45" s="9" t="str">
        <f t="shared" si="1"/>
        <v>2024-02</v>
      </c>
    </row>
    <row r="46" spans="1:15" x14ac:dyDescent="0.25">
      <c r="A46" s="9" t="s">
        <v>44</v>
      </c>
      <c r="B46" s="9" t="s">
        <v>45</v>
      </c>
      <c r="C46" s="25" t="s">
        <v>90</v>
      </c>
      <c r="D46" s="19">
        <v>208.05</v>
      </c>
      <c r="E46" s="19">
        <v>208.68</v>
      </c>
      <c r="F46" s="19">
        <v>207.05</v>
      </c>
      <c r="G46" s="19">
        <v>207.19</v>
      </c>
      <c r="H46" s="19">
        <v>207.19</v>
      </c>
      <c r="I46" s="15">
        <v>5945770</v>
      </c>
      <c r="J46" s="19">
        <f t="shared" si="2"/>
        <v>-0.41336217255468088</v>
      </c>
      <c r="K46" s="19">
        <f t="shared" si="3"/>
        <v>191.13700000000006</v>
      </c>
      <c r="L46" s="19"/>
      <c r="M46" s="19">
        <f>MAX(G2:G46)</f>
        <v>208.05</v>
      </c>
      <c r="N46" s="19">
        <f t="shared" si="0"/>
        <v>-0.41336217255468088</v>
      </c>
      <c r="O46" s="9" t="str">
        <f t="shared" si="1"/>
        <v>2024-03</v>
      </c>
    </row>
    <row r="47" spans="1:15" x14ac:dyDescent="0.25">
      <c r="A47" s="9" t="s">
        <v>44</v>
      </c>
      <c r="B47" s="9" t="s">
        <v>45</v>
      </c>
      <c r="C47" s="25" t="s">
        <v>91</v>
      </c>
      <c r="D47" s="19">
        <v>207.19</v>
      </c>
      <c r="E47" s="19">
        <v>207.63</v>
      </c>
      <c r="F47" s="19">
        <v>206.62</v>
      </c>
      <c r="G47" s="19">
        <v>207.19</v>
      </c>
      <c r="H47" s="19">
        <v>207.19</v>
      </c>
      <c r="I47" s="15">
        <v>4129481</v>
      </c>
      <c r="J47" s="19">
        <f t="shared" si="2"/>
        <v>0</v>
      </c>
      <c r="K47" s="19">
        <f t="shared" si="3"/>
        <v>192.24850000000001</v>
      </c>
      <c r="L47" s="19"/>
      <c r="M47" s="19">
        <f>MAX(G2:G47)</f>
        <v>208.05</v>
      </c>
      <c r="N47" s="19">
        <f t="shared" si="0"/>
        <v>-0.41336217255468088</v>
      </c>
      <c r="O47" s="9" t="str">
        <f t="shared" si="1"/>
        <v>2024-03</v>
      </c>
    </row>
    <row r="48" spans="1:15" x14ac:dyDescent="0.25">
      <c r="A48" s="9" t="s">
        <v>44</v>
      </c>
      <c r="B48" s="9" t="s">
        <v>45</v>
      </c>
      <c r="C48" s="25" t="s">
        <v>92</v>
      </c>
      <c r="D48" s="19">
        <v>207.19</v>
      </c>
      <c r="E48" s="19">
        <v>208.09</v>
      </c>
      <c r="F48" s="19">
        <v>204.56</v>
      </c>
      <c r="G48" s="19">
        <v>205.85</v>
      </c>
      <c r="H48" s="19">
        <v>205.85</v>
      </c>
      <c r="I48" s="15">
        <v>8308522</v>
      </c>
      <c r="J48" s="19">
        <f t="shared" si="2"/>
        <v>-0.64674936049037279</v>
      </c>
      <c r="K48" s="19">
        <f t="shared" si="3"/>
        <v>193.35600000000002</v>
      </c>
      <c r="L48" s="19"/>
      <c r="M48" s="19">
        <f>MAX(G2:G48)</f>
        <v>208.05</v>
      </c>
      <c r="N48" s="19">
        <f t="shared" si="0"/>
        <v>-1.0574381158375472</v>
      </c>
      <c r="O48" s="9" t="str">
        <f t="shared" si="1"/>
        <v>2024-03</v>
      </c>
    </row>
    <row r="49" spans="1:15" x14ac:dyDescent="0.25">
      <c r="A49" s="9" t="s">
        <v>44</v>
      </c>
      <c r="B49" s="9" t="s">
        <v>45</v>
      </c>
      <c r="C49" s="25" t="s">
        <v>93</v>
      </c>
      <c r="D49" s="19">
        <v>205.85</v>
      </c>
      <c r="E49" s="19">
        <v>208.72</v>
      </c>
      <c r="F49" s="19">
        <v>205.81</v>
      </c>
      <c r="G49" s="19">
        <v>207.67</v>
      </c>
      <c r="H49" s="19">
        <v>207.67</v>
      </c>
      <c r="I49" s="15">
        <v>6436159</v>
      </c>
      <c r="J49" s="19">
        <f t="shared" si="2"/>
        <v>0.88413893611852967</v>
      </c>
      <c r="K49" s="19">
        <f t="shared" si="3"/>
        <v>194.76250000000002</v>
      </c>
      <c r="L49" s="19"/>
      <c r="M49" s="19">
        <f>MAX(G2:G49)</f>
        <v>208.05</v>
      </c>
      <c r="N49" s="19">
        <f t="shared" si="0"/>
        <v>-0.18264840182649547</v>
      </c>
      <c r="O49" s="9" t="str">
        <f t="shared" si="1"/>
        <v>2024-03</v>
      </c>
    </row>
    <row r="50" spans="1:15" x14ac:dyDescent="0.25">
      <c r="A50" s="9" t="s">
        <v>44</v>
      </c>
      <c r="B50" s="9" t="s">
        <v>45</v>
      </c>
      <c r="C50" s="25" t="s">
        <v>94</v>
      </c>
      <c r="D50" s="19">
        <v>207.67</v>
      </c>
      <c r="E50" s="19">
        <v>215.02</v>
      </c>
      <c r="F50" s="19">
        <v>207.66</v>
      </c>
      <c r="G50" s="19">
        <v>214.47</v>
      </c>
      <c r="H50" s="19">
        <v>214.47</v>
      </c>
      <c r="I50" s="15">
        <v>9060977</v>
      </c>
      <c r="J50" s="19">
        <f t="shared" si="2"/>
        <v>3.2744257716569614</v>
      </c>
      <c r="K50" s="19">
        <f t="shared" si="3"/>
        <v>196.4205</v>
      </c>
      <c r="L50" s="19"/>
      <c r="M50" s="19">
        <f>MAX(G2:G50)</f>
        <v>214.47</v>
      </c>
      <c r="N50" s="19">
        <f t="shared" si="0"/>
        <v>0</v>
      </c>
      <c r="O50" s="9" t="str">
        <f t="shared" si="1"/>
        <v>2024-03</v>
      </c>
    </row>
    <row r="51" spans="1:15" x14ac:dyDescent="0.25">
      <c r="A51" s="9" t="s">
        <v>44</v>
      </c>
      <c r="B51" s="9" t="s">
        <v>45</v>
      </c>
      <c r="C51" s="25" t="s">
        <v>95</v>
      </c>
      <c r="D51" s="19">
        <v>214.47</v>
      </c>
      <c r="E51" s="19">
        <v>218.52</v>
      </c>
      <c r="F51" s="19">
        <v>213.79</v>
      </c>
      <c r="G51" s="19">
        <v>217.97</v>
      </c>
      <c r="H51" s="19">
        <v>217.97</v>
      </c>
      <c r="I51" s="15">
        <v>7724632</v>
      </c>
      <c r="J51" s="19">
        <f t="shared" si="2"/>
        <v>1.6319298736420011</v>
      </c>
      <c r="K51" s="19">
        <f t="shared" si="3"/>
        <v>198.13699999999997</v>
      </c>
      <c r="L51" s="19">
        <f t="shared" ref="L51:L114" si="4">AVERAGE(G2:G51)</f>
        <v>186.50099999999998</v>
      </c>
      <c r="M51" s="19">
        <f>MAX(G2:G51)</f>
        <v>217.97</v>
      </c>
      <c r="N51" s="19">
        <f t="shared" si="0"/>
        <v>0</v>
      </c>
      <c r="O51" s="9" t="str">
        <f t="shared" si="1"/>
        <v>2024-03</v>
      </c>
    </row>
    <row r="52" spans="1:15" x14ac:dyDescent="0.25">
      <c r="A52" s="9" t="s">
        <v>44</v>
      </c>
      <c r="B52" s="9" t="s">
        <v>45</v>
      </c>
      <c r="C52" s="25" t="s">
        <v>96</v>
      </c>
      <c r="D52" s="19">
        <v>217.97</v>
      </c>
      <c r="E52" s="19">
        <v>220.52</v>
      </c>
      <c r="F52" s="19">
        <v>217.68</v>
      </c>
      <c r="G52" s="19">
        <v>219.75</v>
      </c>
      <c r="H52" s="19">
        <v>219.75</v>
      </c>
      <c r="I52" s="15">
        <v>7237167</v>
      </c>
      <c r="J52" s="19">
        <f t="shared" si="2"/>
        <v>0.81662614121209387</v>
      </c>
      <c r="K52" s="19">
        <f t="shared" si="3"/>
        <v>199.982</v>
      </c>
      <c r="L52" s="19">
        <f t="shared" si="4"/>
        <v>187.46859999999998</v>
      </c>
      <c r="M52" s="19">
        <f>MAX(G2:G52)</f>
        <v>219.75</v>
      </c>
      <c r="N52" s="19">
        <f t="shared" si="0"/>
        <v>0</v>
      </c>
      <c r="O52" s="9" t="str">
        <f t="shared" si="1"/>
        <v>2024-03</v>
      </c>
    </row>
    <row r="53" spans="1:15" x14ac:dyDescent="0.25">
      <c r="A53" s="9" t="s">
        <v>44</v>
      </c>
      <c r="B53" s="9" t="s">
        <v>45</v>
      </c>
      <c r="C53" s="25" t="s">
        <v>97</v>
      </c>
      <c r="D53" s="19">
        <v>219.75</v>
      </c>
      <c r="E53" s="19">
        <v>222.36</v>
      </c>
      <c r="F53" s="19">
        <v>218.65</v>
      </c>
      <c r="G53" s="19">
        <v>220.93</v>
      </c>
      <c r="H53" s="19">
        <v>220.93</v>
      </c>
      <c r="I53" s="15">
        <v>10202868</v>
      </c>
      <c r="J53" s="19">
        <f t="shared" si="2"/>
        <v>0.53697383390216469</v>
      </c>
      <c r="K53" s="19">
        <f t="shared" si="3"/>
        <v>202.05</v>
      </c>
      <c r="L53" s="19">
        <f t="shared" si="4"/>
        <v>188.44339999999997</v>
      </c>
      <c r="M53" s="19">
        <f>MAX(G2:G53)</f>
        <v>220.93</v>
      </c>
      <c r="N53" s="19">
        <f t="shared" si="0"/>
        <v>0</v>
      </c>
      <c r="O53" s="9" t="str">
        <f t="shared" si="1"/>
        <v>2024-03</v>
      </c>
    </row>
    <row r="54" spans="1:15" x14ac:dyDescent="0.25">
      <c r="A54" s="9" t="s">
        <v>44</v>
      </c>
      <c r="B54" s="9" t="s">
        <v>45</v>
      </c>
      <c r="C54" s="25" t="s">
        <v>98</v>
      </c>
      <c r="D54" s="19">
        <v>220.93</v>
      </c>
      <c r="E54" s="19">
        <v>229.04</v>
      </c>
      <c r="F54" s="19">
        <v>220.29</v>
      </c>
      <c r="G54" s="19">
        <v>228.1</v>
      </c>
      <c r="H54" s="19">
        <v>228.1</v>
      </c>
      <c r="I54" s="15">
        <v>4928192</v>
      </c>
      <c r="J54" s="19">
        <f t="shared" si="2"/>
        <v>3.245371837233507</v>
      </c>
      <c r="K54" s="19">
        <f t="shared" si="3"/>
        <v>203.654</v>
      </c>
      <c r="L54" s="19">
        <f t="shared" si="4"/>
        <v>189.58340000000001</v>
      </c>
      <c r="M54" s="19">
        <f>MAX(G2:G54)</f>
        <v>228.1</v>
      </c>
      <c r="N54" s="19">
        <f t="shared" si="0"/>
        <v>0</v>
      </c>
      <c r="O54" s="9" t="str">
        <f t="shared" si="1"/>
        <v>2024-03</v>
      </c>
    </row>
    <row r="55" spans="1:15" x14ac:dyDescent="0.25">
      <c r="A55" s="9" t="s">
        <v>44</v>
      </c>
      <c r="B55" s="9" t="s">
        <v>45</v>
      </c>
      <c r="C55" s="25" t="s">
        <v>99</v>
      </c>
      <c r="D55" s="19">
        <v>228.1</v>
      </c>
      <c r="E55" s="19">
        <v>229.81</v>
      </c>
      <c r="F55" s="19">
        <v>224.48</v>
      </c>
      <c r="G55" s="19">
        <v>227.42</v>
      </c>
      <c r="H55" s="19">
        <v>227.42</v>
      </c>
      <c r="I55" s="15">
        <v>5541469</v>
      </c>
      <c r="J55" s="19">
        <f t="shared" si="2"/>
        <v>-0.29811486190267722</v>
      </c>
      <c r="K55" s="19">
        <f t="shared" si="3"/>
        <v>205.21899999999997</v>
      </c>
      <c r="L55" s="19">
        <f t="shared" si="4"/>
        <v>190.666</v>
      </c>
      <c r="M55" s="19">
        <f>MAX(G2:G55)</f>
        <v>228.1</v>
      </c>
      <c r="N55" s="19">
        <f t="shared" si="0"/>
        <v>-0.29811486190267722</v>
      </c>
      <c r="O55" s="9" t="str">
        <f t="shared" si="1"/>
        <v>2024-03</v>
      </c>
    </row>
    <row r="56" spans="1:15" x14ac:dyDescent="0.25">
      <c r="A56" s="9" t="s">
        <v>44</v>
      </c>
      <c r="B56" s="9" t="s">
        <v>45</v>
      </c>
      <c r="C56" s="25" t="s">
        <v>100</v>
      </c>
      <c r="D56" s="19">
        <v>227.42</v>
      </c>
      <c r="E56" s="19">
        <v>228.56</v>
      </c>
      <c r="F56" s="19">
        <v>225.3</v>
      </c>
      <c r="G56" s="19">
        <v>226.7</v>
      </c>
      <c r="H56" s="19">
        <v>226.7</v>
      </c>
      <c r="I56" s="15">
        <v>11175833</v>
      </c>
      <c r="J56" s="19">
        <f t="shared" si="2"/>
        <v>-0.31659484653944198</v>
      </c>
      <c r="K56" s="19">
        <f t="shared" si="3"/>
        <v>206.88349999999997</v>
      </c>
      <c r="L56" s="19">
        <f t="shared" si="4"/>
        <v>191.65580000000003</v>
      </c>
      <c r="M56" s="19">
        <f>MAX(G2:G56)</f>
        <v>228.1</v>
      </c>
      <c r="N56" s="19">
        <f t="shared" si="0"/>
        <v>-0.61376589215256716</v>
      </c>
      <c r="O56" s="9" t="str">
        <f t="shared" si="1"/>
        <v>2024-03</v>
      </c>
    </row>
    <row r="57" spans="1:15" x14ac:dyDescent="0.25">
      <c r="A57" s="9" t="s">
        <v>44</v>
      </c>
      <c r="B57" s="9" t="s">
        <v>45</v>
      </c>
      <c r="C57" s="25" t="s">
        <v>101</v>
      </c>
      <c r="D57" s="19">
        <v>226.7</v>
      </c>
      <c r="E57" s="19">
        <v>227.12</v>
      </c>
      <c r="F57" s="19">
        <v>225.34</v>
      </c>
      <c r="G57" s="19">
        <v>226.4</v>
      </c>
      <c r="H57" s="19">
        <v>226.4</v>
      </c>
      <c r="I57" s="15">
        <v>8024559</v>
      </c>
      <c r="J57" s="19">
        <f t="shared" si="2"/>
        <v>-0.13233348037052622</v>
      </c>
      <c r="K57" s="19">
        <f t="shared" si="3"/>
        <v>208.44849999999997</v>
      </c>
      <c r="L57" s="19">
        <f t="shared" si="4"/>
        <v>192.63100000000003</v>
      </c>
      <c r="M57" s="19">
        <f>MAX(G2:G57)</f>
        <v>228.1</v>
      </c>
      <c r="N57" s="19">
        <f t="shared" si="0"/>
        <v>-0.74528715475668073</v>
      </c>
      <c r="O57" s="9" t="str">
        <f t="shared" si="1"/>
        <v>2024-03</v>
      </c>
    </row>
    <row r="58" spans="1:15" x14ac:dyDescent="0.25">
      <c r="A58" s="9" t="s">
        <v>44</v>
      </c>
      <c r="B58" s="9" t="s">
        <v>45</v>
      </c>
      <c r="C58" s="25" t="s">
        <v>102</v>
      </c>
      <c r="D58" s="19">
        <v>226.4</v>
      </c>
      <c r="E58" s="19">
        <v>226.82</v>
      </c>
      <c r="F58" s="19">
        <v>223.02</v>
      </c>
      <c r="G58" s="19">
        <v>223.2</v>
      </c>
      <c r="H58" s="19">
        <v>223.2</v>
      </c>
      <c r="I58" s="15">
        <v>8146151</v>
      </c>
      <c r="J58" s="19">
        <f t="shared" si="2"/>
        <v>-1.4134275618374632</v>
      </c>
      <c r="K58" s="19">
        <f t="shared" si="3"/>
        <v>210.13099999999994</v>
      </c>
      <c r="L58" s="19">
        <f t="shared" si="4"/>
        <v>193.57220000000004</v>
      </c>
      <c r="M58" s="19">
        <f>MAX(G2:G58)</f>
        <v>228.1</v>
      </c>
      <c r="N58" s="19">
        <f t="shared" si="0"/>
        <v>-2.1481806225339786</v>
      </c>
      <c r="O58" s="9" t="str">
        <f t="shared" si="1"/>
        <v>2024-03</v>
      </c>
    </row>
    <row r="59" spans="1:15" x14ac:dyDescent="0.25">
      <c r="A59" s="9" t="s">
        <v>44</v>
      </c>
      <c r="B59" s="9" t="s">
        <v>45</v>
      </c>
      <c r="C59" s="25" t="s">
        <v>103</v>
      </c>
      <c r="D59" s="19">
        <v>223.2</v>
      </c>
      <c r="E59" s="19">
        <v>225.62</v>
      </c>
      <c r="F59" s="19">
        <v>221.78</v>
      </c>
      <c r="G59" s="19">
        <v>225.5</v>
      </c>
      <c r="H59" s="19">
        <v>225.5</v>
      </c>
      <c r="I59" s="15">
        <v>5029242</v>
      </c>
      <c r="J59" s="19">
        <f t="shared" si="2"/>
        <v>1.0304659498207938</v>
      </c>
      <c r="K59" s="19">
        <f t="shared" si="3"/>
        <v>211.92349999999996</v>
      </c>
      <c r="L59" s="19">
        <f t="shared" si="4"/>
        <v>194.56940000000003</v>
      </c>
      <c r="M59" s="19">
        <f>MAX(G2:G59)</f>
        <v>228.1</v>
      </c>
      <c r="N59" s="19">
        <f t="shared" si="0"/>
        <v>-1.1398509425690462</v>
      </c>
      <c r="O59" s="9" t="str">
        <f t="shared" si="1"/>
        <v>2024-03</v>
      </c>
    </row>
    <row r="60" spans="1:15" x14ac:dyDescent="0.25">
      <c r="A60" s="9" t="s">
        <v>44</v>
      </c>
      <c r="B60" s="9" t="s">
        <v>45</v>
      </c>
      <c r="C60" s="25" t="s">
        <v>104</v>
      </c>
      <c r="D60" s="19">
        <v>225.5</v>
      </c>
      <c r="E60" s="19">
        <v>234.67</v>
      </c>
      <c r="F60" s="19">
        <v>225.11</v>
      </c>
      <c r="G60" s="19">
        <v>232.85</v>
      </c>
      <c r="H60" s="19">
        <v>232.85</v>
      </c>
      <c r="I60" s="15">
        <v>7739605</v>
      </c>
      <c r="J60" s="19">
        <f t="shared" si="2"/>
        <v>3.25942350332594</v>
      </c>
      <c r="K60" s="19">
        <f t="shared" si="3"/>
        <v>213.9915</v>
      </c>
      <c r="L60" s="19">
        <f t="shared" si="4"/>
        <v>195.78140000000002</v>
      </c>
      <c r="M60" s="19">
        <f>MAX(G2:G60)</f>
        <v>232.85</v>
      </c>
      <c r="N60" s="19">
        <f t="shared" si="0"/>
        <v>0</v>
      </c>
      <c r="O60" s="9" t="str">
        <f t="shared" si="1"/>
        <v>2024-03</v>
      </c>
    </row>
    <row r="61" spans="1:15" x14ac:dyDescent="0.25">
      <c r="A61" s="9" t="s">
        <v>44</v>
      </c>
      <c r="B61" s="9" t="s">
        <v>45</v>
      </c>
      <c r="C61" s="25" t="s">
        <v>105</v>
      </c>
      <c r="D61" s="19">
        <v>232.85</v>
      </c>
      <c r="E61" s="19">
        <v>233.04</v>
      </c>
      <c r="F61" s="19">
        <v>230.75</v>
      </c>
      <c r="G61" s="19">
        <v>231.29</v>
      </c>
      <c r="H61" s="19">
        <v>231.29</v>
      </c>
      <c r="I61" s="15">
        <v>10039045</v>
      </c>
      <c r="J61" s="19">
        <f t="shared" si="2"/>
        <v>-0.66995920120249186</v>
      </c>
      <c r="K61" s="19">
        <f t="shared" si="3"/>
        <v>215.67149999999998</v>
      </c>
      <c r="L61" s="19">
        <f t="shared" si="4"/>
        <v>197.01240000000004</v>
      </c>
      <c r="M61" s="19">
        <f>MAX(G2:G61)</f>
        <v>232.85</v>
      </c>
      <c r="N61" s="19">
        <f t="shared" si="0"/>
        <v>-0.66995920120249186</v>
      </c>
      <c r="O61" s="9" t="str">
        <f t="shared" si="1"/>
        <v>2024-03</v>
      </c>
    </row>
    <row r="62" spans="1:15" x14ac:dyDescent="0.25">
      <c r="A62" s="9" t="s">
        <v>44</v>
      </c>
      <c r="B62" s="9" t="s">
        <v>45</v>
      </c>
      <c r="C62" s="25" t="s">
        <v>106</v>
      </c>
      <c r="D62" s="19">
        <v>231.29</v>
      </c>
      <c r="E62" s="19">
        <v>233.31</v>
      </c>
      <c r="F62" s="19">
        <v>230.96</v>
      </c>
      <c r="G62" s="19">
        <v>232.67</v>
      </c>
      <c r="H62" s="19">
        <v>232.67</v>
      </c>
      <c r="I62" s="15">
        <v>9395153</v>
      </c>
      <c r="J62" s="19">
        <f t="shared" si="2"/>
        <v>0.5966535518180619</v>
      </c>
      <c r="K62" s="19">
        <f t="shared" si="3"/>
        <v>217.50499999999997</v>
      </c>
      <c r="L62" s="19">
        <f t="shared" si="4"/>
        <v>198.25140000000002</v>
      </c>
      <c r="M62" s="19">
        <f>MAX(G2:G62)</f>
        <v>232.85</v>
      </c>
      <c r="N62" s="19">
        <f t="shared" si="0"/>
        <v>-7.7302984754136495E-2</v>
      </c>
      <c r="O62" s="9" t="str">
        <f t="shared" si="1"/>
        <v>2024-03</v>
      </c>
    </row>
    <row r="63" spans="1:15" x14ac:dyDescent="0.25">
      <c r="A63" s="9" t="s">
        <v>44</v>
      </c>
      <c r="B63" s="9" t="s">
        <v>45</v>
      </c>
      <c r="C63" s="25" t="s">
        <v>107</v>
      </c>
      <c r="D63" s="19">
        <v>232.67</v>
      </c>
      <c r="E63" s="19">
        <v>233.49</v>
      </c>
      <c r="F63" s="19">
        <v>229.92</v>
      </c>
      <c r="G63" s="19">
        <v>230.61</v>
      </c>
      <c r="H63" s="19">
        <v>230.61</v>
      </c>
      <c r="I63" s="15">
        <v>9464888</v>
      </c>
      <c r="J63" s="19">
        <f t="shared" si="2"/>
        <v>-0.88537413504103413</v>
      </c>
      <c r="K63" s="19">
        <f t="shared" si="3"/>
        <v>219.39849999999996</v>
      </c>
      <c r="L63" s="19">
        <f t="shared" si="4"/>
        <v>199.40140000000008</v>
      </c>
      <c r="M63" s="19">
        <f>MAX(G2:G63)</f>
        <v>232.85</v>
      </c>
      <c r="N63" s="19">
        <f t="shared" si="0"/>
        <v>-0.96199269916254271</v>
      </c>
      <c r="O63" s="9" t="str">
        <f t="shared" si="1"/>
        <v>2024-03</v>
      </c>
    </row>
    <row r="64" spans="1:15" x14ac:dyDescent="0.25">
      <c r="A64" s="9" t="s">
        <v>44</v>
      </c>
      <c r="B64" s="9" t="s">
        <v>45</v>
      </c>
      <c r="C64" s="25" t="s">
        <v>108</v>
      </c>
      <c r="D64" s="19">
        <v>230.61</v>
      </c>
      <c r="E64" s="19">
        <v>230.79</v>
      </c>
      <c r="F64" s="19">
        <v>229.99</v>
      </c>
      <c r="G64" s="19">
        <v>230.68</v>
      </c>
      <c r="H64" s="19">
        <v>230.68</v>
      </c>
      <c r="I64" s="15">
        <v>10788649</v>
      </c>
      <c r="J64" s="19">
        <f t="shared" si="2"/>
        <v>3.0354277785002024E-2</v>
      </c>
      <c r="K64" s="19">
        <f t="shared" si="3"/>
        <v>221.22449999999998</v>
      </c>
      <c r="L64" s="19">
        <f t="shared" si="4"/>
        <v>200.53340000000003</v>
      </c>
      <c r="M64" s="19">
        <f>MAX(G2:G64)</f>
        <v>232.85</v>
      </c>
      <c r="N64" s="19">
        <f t="shared" si="0"/>
        <v>-0.93193042731371589</v>
      </c>
      <c r="O64" s="9" t="str">
        <f t="shared" si="1"/>
        <v>2024-03</v>
      </c>
    </row>
    <row r="65" spans="1:15" x14ac:dyDescent="0.25">
      <c r="A65" s="9" t="s">
        <v>44</v>
      </c>
      <c r="B65" s="9" t="s">
        <v>45</v>
      </c>
      <c r="C65" s="25" t="s">
        <v>109</v>
      </c>
      <c r="D65" s="19">
        <v>230.68</v>
      </c>
      <c r="E65" s="19">
        <v>236.6</v>
      </c>
      <c r="F65" s="19">
        <v>229.47</v>
      </c>
      <c r="G65" s="19">
        <v>236.19</v>
      </c>
      <c r="H65" s="19">
        <v>236.19</v>
      </c>
      <c r="I65" s="15">
        <v>8050409</v>
      </c>
      <c r="J65" s="19">
        <f t="shared" si="2"/>
        <v>2.3885902548985571</v>
      </c>
      <c r="K65" s="19">
        <f t="shared" si="3"/>
        <v>222.63149999999996</v>
      </c>
      <c r="L65" s="19">
        <f t="shared" si="4"/>
        <v>201.71200000000005</v>
      </c>
      <c r="M65" s="19">
        <f>MAX(G2:G65)</f>
        <v>236.19</v>
      </c>
      <c r="N65" s="19">
        <f t="shared" si="0"/>
        <v>0</v>
      </c>
      <c r="O65" s="9" t="str">
        <f t="shared" si="1"/>
        <v>2024-03</v>
      </c>
    </row>
    <row r="66" spans="1:15" x14ac:dyDescent="0.25">
      <c r="A66" s="9" t="s">
        <v>44</v>
      </c>
      <c r="B66" s="9" t="s">
        <v>45</v>
      </c>
      <c r="C66" s="25" t="s">
        <v>110</v>
      </c>
      <c r="D66" s="19">
        <v>236.19</v>
      </c>
      <c r="E66" s="19">
        <v>239.04</v>
      </c>
      <c r="F66" s="19">
        <v>235.93</v>
      </c>
      <c r="G66" s="19">
        <v>238.75</v>
      </c>
      <c r="H66" s="19">
        <v>238.75</v>
      </c>
      <c r="I66" s="15">
        <v>6528572</v>
      </c>
      <c r="J66" s="19">
        <f t="shared" si="2"/>
        <v>1.0838731529700674</v>
      </c>
      <c r="K66" s="19">
        <f t="shared" si="3"/>
        <v>224.20949999999999</v>
      </c>
      <c r="L66" s="19">
        <f t="shared" si="4"/>
        <v>202.92040000000006</v>
      </c>
      <c r="M66" s="19">
        <f>MAX(G2:G66)</f>
        <v>238.75</v>
      </c>
      <c r="N66" s="19">
        <f t="shared" ref="N66:N129" si="5">(G66-M66)/M66*100</f>
        <v>0</v>
      </c>
      <c r="O66" s="9" t="str">
        <f t="shared" ref="O66:O129" si="6">TEXT(C66,"yyyy-mm")</f>
        <v>2024-03</v>
      </c>
    </row>
    <row r="67" spans="1:15" x14ac:dyDescent="0.25">
      <c r="A67" s="9" t="s">
        <v>44</v>
      </c>
      <c r="B67" s="9" t="s">
        <v>45</v>
      </c>
      <c r="C67" s="25" t="s">
        <v>111</v>
      </c>
      <c r="D67" s="19">
        <v>238.75</v>
      </c>
      <c r="E67" s="19">
        <v>246.79</v>
      </c>
      <c r="F67" s="19">
        <v>237.79</v>
      </c>
      <c r="G67" s="19">
        <v>245.74</v>
      </c>
      <c r="H67" s="19">
        <v>245.74</v>
      </c>
      <c r="I67" s="15">
        <v>5085947</v>
      </c>
      <c r="J67" s="19">
        <f t="shared" ref="J67:J130" si="7">IFERROR((G67-G66)/G66*100,"")</f>
        <v>2.9277486910994801</v>
      </c>
      <c r="K67" s="19">
        <f t="shared" si="3"/>
        <v>226.137</v>
      </c>
      <c r="L67" s="19">
        <f t="shared" si="4"/>
        <v>204.08600000000007</v>
      </c>
      <c r="M67" s="19">
        <f>MAX(G2:G67)</f>
        <v>245.74</v>
      </c>
      <c r="N67" s="19">
        <f t="shared" si="5"/>
        <v>0</v>
      </c>
      <c r="O67" s="9" t="str">
        <f t="shared" si="6"/>
        <v>2024-04</v>
      </c>
    </row>
    <row r="68" spans="1:15" x14ac:dyDescent="0.25">
      <c r="A68" s="9" t="s">
        <v>44</v>
      </c>
      <c r="B68" s="9" t="s">
        <v>45</v>
      </c>
      <c r="C68" s="25" t="s">
        <v>112</v>
      </c>
      <c r="D68" s="19">
        <v>245.74</v>
      </c>
      <c r="E68" s="19">
        <v>250.95</v>
      </c>
      <c r="F68" s="19">
        <v>245.05</v>
      </c>
      <c r="G68" s="19">
        <v>250.16</v>
      </c>
      <c r="H68" s="19">
        <v>250.16</v>
      </c>
      <c r="I68" s="15">
        <v>7978839</v>
      </c>
      <c r="J68" s="19">
        <f t="shared" si="7"/>
        <v>1.7986489785952582</v>
      </c>
      <c r="K68" s="19">
        <f t="shared" si="3"/>
        <v>228.35250000000002</v>
      </c>
      <c r="L68" s="19">
        <f t="shared" si="4"/>
        <v>205.28700000000003</v>
      </c>
      <c r="M68" s="19">
        <f>MAX(G2:G68)</f>
        <v>250.16</v>
      </c>
      <c r="N68" s="19">
        <f t="shared" si="5"/>
        <v>0</v>
      </c>
      <c r="O68" s="9" t="str">
        <f t="shared" si="6"/>
        <v>2024-04</v>
      </c>
    </row>
    <row r="69" spans="1:15" x14ac:dyDescent="0.25">
      <c r="A69" s="9" t="s">
        <v>44</v>
      </c>
      <c r="B69" s="9" t="s">
        <v>45</v>
      </c>
      <c r="C69" s="25" t="s">
        <v>113</v>
      </c>
      <c r="D69" s="19">
        <v>250.16</v>
      </c>
      <c r="E69" s="19">
        <v>251.93</v>
      </c>
      <c r="F69" s="19">
        <v>241.66</v>
      </c>
      <c r="G69" s="19">
        <v>242.46</v>
      </c>
      <c r="H69" s="19">
        <v>242.46</v>
      </c>
      <c r="I69" s="15">
        <v>7228673</v>
      </c>
      <c r="J69" s="19">
        <f t="shared" si="7"/>
        <v>-3.0780300607611082</v>
      </c>
      <c r="K69" s="19">
        <f t="shared" si="3"/>
        <v>230.09200000000001</v>
      </c>
      <c r="L69" s="19">
        <f t="shared" si="4"/>
        <v>206.37780000000004</v>
      </c>
      <c r="M69" s="19">
        <f>MAX(G2:G69)</f>
        <v>250.16</v>
      </c>
      <c r="N69" s="19">
        <f t="shared" si="5"/>
        <v>-3.0780300607611082</v>
      </c>
      <c r="O69" s="9" t="str">
        <f t="shared" si="6"/>
        <v>2024-04</v>
      </c>
    </row>
    <row r="70" spans="1:15" x14ac:dyDescent="0.25">
      <c r="A70" s="9" t="s">
        <v>44</v>
      </c>
      <c r="B70" s="9" t="s">
        <v>45</v>
      </c>
      <c r="C70" s="25" t="s">
        <v>114</v>
      </c>
      <c r="D70" s="19">
        <v>242.46</v>
      </c>
      <c r="E70" s="19">
        <v>244.66</v>
      </c>
      <c r="F70" s="19">
        <v>242.04</v>
      </c>
      <c r="G70" s="19">
        <v>244.11</v>
      </c>
      <c r="H70" s="19">
        <v>244.11</v>
      </c>
      <c r="I70" s="15">
        <v>8489174</v>
      </c>
      <c r="J70" s="19">
        <f t="shared" si="7"/>
        <v>0.68052462261816615</v>
      </c>
      <c r="K70" s="19">
        <f t="shared" si="3"/>
        <v>231.57399999999998</v>
      </c>
      <c r="L70" s="19">
        <f t="shared" si="4"/>
        <v>207.48480000000004</v>
      </c>
      <c r="M70" s="19">
        <f>MAX(G2:G70)</f>
        <v>250.16</v>
      </c>
      <c r="N70" s="19">
        <f t="shared" si="5"/>
        <v>-2.4184521905980105</v>
      </c>
      <c r="O70" s="9" t="str">
        <f t="shared" si="6"/>
        <v>2024-04</v>
      </c>
    </row>
    <row r="71" spans="1:15" x14ac:dyDescent="0.25">
      <c r="A71" s="9" t="s">
        <v>44</v>
      </c>
      <c r="B71" s="9" t="s">
        <v>45</v>
      </c>
      <c r="C71" s="25" t="s">
        <v>115</v>
      </c>
      <c r="D71" s="19">
        <v>244.11</v>
      </c>
      <c r="E71" s="19">
        <v>247.16</v>
      </c>
      <c r="F71" s="19">
        <v>242.7</v>
      </c>
      <c r="G71" s="19">
        <v>246.3</v>
      </c>
      <c r="H71" s="19">
        <v>246.3</v>
      </c>
      <c r="I71" s="15">
        <v>4622086</v>
      </c>
      <c r="J71" s="19">
        <f t="shared" si="7"/>
        <v>0.89713653680717609</v>
      </c>
      <c r="K71" s="19">
        <f t="shared" si="3"/>
        <v>232.99049999999997</v>
      </c>
      <c r="L71" s="19">
        <f t="shared" si="4"/>
        <v>208.67320000000001</v>
      </c>
      <c r="M71" s="19">
        <f>MAX(G2:G71)</f>
        <v>250.16</v>
      </c>
      <c r="N71" s="19">
        <f t="shared" si="5"/>
        <v>-1.5430124720179026</v>
      </c>
      <c r="O71" s="9" t="str">
        <f t="shared" si="6"/>
        <v>2024-04</v>
      </c>
    </row>
    <row r="72" spans="1:15" x14ac:dyDescent="0.25">
      <c r="A72" s="9" t="s">
        <v>44</v>
      </c>
      <c r="B72" s="9" t="s">
        <v>45</v>
      </c>
      <c r="C72" s="25" t="s">
        <v>116</v>
      </c>
      <c r="D72" s="19">
        <v>246.3</v>
      </c>
      <c r="E72" s="19">
        <v>246.51</v>
      </c>
      <c r="F72" s="19">
        <v>241.81</v>
      </c>
      <c r="G72" s="19">
        <v>243.8</v>
      </c>
      <c r="H72" s="19">
        <v>243.8</v>
      </c>
      <c r="I72" s="15">
        <v>11768077</v>
      </c>
      <c r="J72" s="19">
        <f t="shared" si="7"/>
        <v>-1.0150223304912709</v>
      </c>
      <c r="K72" s="19">
        <f t="shared" si="3"/>
        <v>234.19299999999998</v>
      </c>
      <c r="L72" s="19">
        <f t="shared" si="4"/>
        <v>209.95820000000001</v>
      </c>
      <c r="M72" s="19">
        <f>MAX(G2:G72)</f>
        <v>250.16</v>
      </c>
      <c r="N72" s="19">
        <f t="shared" si="5"/>
        <v>-2.5423728813559263</v>
      </c>
      <c r="O72" s="9" t="str">
        <f t="shared" si="6"/>
        <v>2024-04</v>
      </c>
    </row>
    <row r="73" spans="1:15" x14ac:dyDescent="0.25">
      <c r="A73" s="9" t="s">
        <v>44</v>
      </c>
      <c r="B73" s="9" t="s">
        <v>45</v>
      </c>
      <c r="C73" s="25" t="s">
        <v>117</v>
      </c>
      <c r="D73" s="19">
        <v>243.8</v>
      </c>
      <c r="E73" s="19">
        <v>243.8</v>
      </c>
      <c r="F73" s="19">
        <v>242.52</v>
      </c>
      <c r="G73" s="19">
        <v>242.84</v>
      </c>
      <c r="H73" s="19">
        <v>242.84</v>
      </c>
      <c r="I73" s="15">
        <v>6014645</v>
      </c>
      <c r="J73" s="19">
        <f t="shared" si="7"/>
        <v>-0.39376538146021656</v>
      </c>
      <c r="K73" s="19">
        <f t="shared" si="3"/>
        <v>235.28849999999997</v>
      </c>
      <c r="L73" s="19">
        <f t="shared" si="4"/>
        <v>211.23059999999998</v>
      </c>
      <c r="M73" s="19">
        <f>MAX(G2:G73)</f>
        <v>250.16</v>
      </c>
      <c r="N73" s="19">
        <f t="shared" si="5"/>
        <v>-2.9261272785417307</v>
      </c>
      <c r="O73" s="9" t="str">
        <f t="shared" si="6"/>
        <v>2024-04</v>
      </c>
    </row>
    <row r="74" spans="1:15" x14ac:dyDescent="0.25">
      <c r="A74" s="9" t="s">
        <v>44</v>
      </c>
      <c r="B74" s="9" t="s">
        <v>45</v>
      </c>
      <c r="C74" s="25" t="s">
        <v>118</v>
      </c>
      <c r="D74" s="19">
        <v>242.84</v>
      </c>
      <c r="E74" s="19">
        <v>246.38</v>
      </c>
      <c r="F74" s="19">
        <v>241.43</v>
      </c>
      <c r="G74" s="19">
        <v>244.88</v>
      </c>
      <c r="H74" s="19">
        <v>244.88</v>
      </c>
      <c r="I74" s="15">
        <v>5974071</v>
      </c>
      <c r="J74" s="19">
        <f t="shared" si="7"/>
        <v>0.84005929830340642</v>
      </c>
      <c r="K74" s="19">
        <f t="shared" si="3"/>
        <v>236.1275</v>
      </c>
      <c r="L74" s="19">
        <f t="shared" si="4"/>
        <v>212.54259999999994</v>
      </c>
      <c r="M74" s="19">
        <f>MAX(G2:G74)</f>
        <v>250.16</v>
      </c>
      <c r="N74" s="19">
        <f t="shared" si="5"/>
        <v>-2.1106491845219062</v>
      </c>
      <c r="O74" s="9" t="str">
        <f t="shared" si="6"/>
        <v>2024-04</v>
      </c>
    </row>
    <row r="75" spans="1:15" x14ac:dyDescent="0.25">
      <c r="A75" s="9" t="s">
        <v>44</v>
      </c>
      <c r="B75" s="9" t="s">
        <v>45</v>
      </c>
      <c r="C75" s="25" t="s">
        <v>119</v>
      </c>
      <c r="D75" s="19">
        <v>244.88</v>
      </c>
      <c r="E75" s="19">
        <v>245.32</v>
      </c>
      <c r="F75" s="19">
        <v>243.54</v>
      </c>
      <c r="G75" s="19">
        <v>243.76</v>
      </c>
      <c r="H75" s="19">
        <v>243.76</v>
      </c>
      <c r="I75" s="15">
        <v>8030221</v>
      </c>
      <c r="J75" s="19">
        <f t="shared" si="7"/>
        <v>-0.45736687357073036</v>
      </c>
      <c r="K75" s="19">
        <f t="shared" si="3"/>
        <v>236.94450000000001</v>
      </c>
      <c r="L75" s="19">
        <f t="shared" si="4"/>
        <v>213.84040000000002</v>
      </c>
      <c r="M75" s="19">
        <f>MAX(G2:G75)</f>
        <v>250.16</v>
      </c>
      <c r="N75" s="19">
        <f t="shared" si="5"/>
        <v>-2.558362647905343</v>
      </c>
      <c r="O75" s="9" t="str">
        <f t="shared" si="6"/>
        <v>2024-04</v>
      </c>
    </row>
    <row r="76" spans="1:15" x14ac:dyDescent="0.25">
      <c r="A76" s="9" t="s">
        <v>44</v>
      </c>
      <c r="B76" s="9" t="s">
        <v>45</v>
      </c>
      <c r="C76" s="25" t="s">
        <v>120</v>
      </c>
      <c r="D76" s="19">
        <v>243.76</v>
      </c>
      <c r="E76" s="19">
        <v>245.02</v>
      </c>
      <c r="F76" s="19">
        <v>241.54</v>
      </c>
      <c r="G76" s="19">
        <v>244.26</v>
      </c>
      <c r="H76" s="19">
        <v>244.26</v>
      </c>
      <c r="I76" s="15">
        <v>8974944</v>
      </c>
      <c r="J76" s="19">
        <f t="shared" si="7"/>
        <v>0.2051197899573351</v>
      </c>
      <c r="K76" s="19">
        <f t="shared" si="3"/>
        <v>237.82250000000005</v>
      </c>
      <c r="L76" s="19">
        <f t="shared" si="4"/>
        <v>215.10479999999998</v>
      </c>
      <c r="M76" s="19">
        <f>MAX(G2:G76)</f>
        <v>250.16</v>
      </c>
      <c r="N76" s="19">
        <f t="shared" si="5"/>
        <v>-2.3584905660377382</v>
      </c>
      <c r="O76" s="9" t="str">
        <f t="shared" si="6"/>
        <v>2024-04</v>
      </c>
    </row>
    <row r="77" spans="1:15" x14ac:dyDescent="0.25">
      <c r="A77" s="9" t="s">
        <v>44</v>
      </c>
      <c r="B77" s="9" t="s">
        <v>45</v>
      </c>
      <c r="C77" s="25" t="s">
        <v>121</v>
      </c>
      <c r="D77" s="19">
        <v>244.26</v>
      </c>
      <c r="E77" s="19">
        <v>246.08</v>
      </c>
      <c r="F77" s="19">
        <v>241.98</v>
      </c>
      <c r="G77" s="19">
        <v>242.83</v>
      </c>
      <c r="H77" s="19">
        <v>242.83</v>
      </c>
      <c r="I77" s="15">
        <v>8440020</v>
      </c>
      <c r="J77" s="19">
        <f t="shared" si="7"/>
        <v>-0.58544174240562452</v>
      </c>
      <c r="K77" s="19">
        <f t="shared" si="3"/>
        <v>238.64400000000001</v>
      </c>
      <c r="L77" s="19">
        <f t="shared" si="4"/>
        <v>216.26219999999998</v>
      </c>
      <c r="M77" s="19">
        <f>MAX(G2:G77)</f>
        <v>250.16</v>
      </c>
      <c r="N77" s="19">
        <f t="shared" si="5"/>
        <v>-2.9301247201790792</v>
      </c>
      <c r="O77" s="9" t="str">
        <f t="shared" si="6"/>
        <v>2024-04</v>
      </c>
    </row>
    <row r="78" spans="1:15" x14ac:dyDescent="0.25">
      <c r="A78" s="9" t="s">
        <v>44</v>
      </c>
      <c r="B78" s="9" t="s">
        <v>45</v>
      </c>
      <c r="C78" s="25" t="s">
        <v>122</v>
      </c>
      <c r="D78" s="19">
        <v>242.83</v>
      </c>
      <c r="E78" s="19">
        <v>251.76</v>
      </c>
      <c r="F78" s="19">
        <v>242.68</v>
      </c>
      <c r="G78" s="19">
        <v>250.95</v>
      </c>
      <c r="H78" s="19">
        <v>250.95</v>
      </c>
      <c r="I78" s="15">
        <v>4747860</v>
      </c>
      <c r="J78" s="19">
        <f t="shared" si="7"/>
        <v>3.3439031421158734</v>
      </c>
      <c r="K78" s="19">
        <f t="shared" si="3"/>
        <v>240.03150000000005</v>
      </c>
      <c r="L78" s="19">
        <f t="shared" si="4"/>
        <v>217.60719999999998</v>
      </c>
      <c r="M78" s="19">
        <f>MAX(G2:G78)</f>
        <v>250.95</v>
      </c>
      <c r="N78" s="19">
        <f t="shared" si="5"/>
        <v>0</v>
      </c>
      <c r="O78" s="9" t="str">
        <f t="shared" si="6"/>
        <v>2024-04</v>
      </c>
    </row>
    <row r="79" spans="1:15" x14ac:dyDescent="0.25">
      <c r="A79" s="9" t="s">
        <v>44</v>
      </c>
      <c r="B79" s="9" t="s">
        <v>45</v>
      </c>
      <c r="C79" s="25" t="s">
        <v>123</v>
      </c>
      <c r="D79" s="19">
        <v>250.95</v>
      </c>
      <c r="E79" s="19">
        <v>256.83</v>
      </c>
      <c r="F79" s="19">
        <v>250.61</v>
      </c>
      <c r="G79" s="19">
        <v>254.99</v>
      </c>
      <c r="H79" s="19">
        <v>254.99</v>
      </c>
      <c r="I79" s="15">
        <v>12502810</v>
      </c>
      <c r="J79" s="19">
        <f t="shared" si="7"/>
        <v>1.6098824467025385</v>
      </c>
      <c r="K79" s="19">
        <f t="shared" si="3"/>
        <v>241.50600000000003</v>
      </c>
      <c r="L79" s="19">
        <f t="shared" si="4"/>
        <v>219.11619999999999</v>
      </c>
      <c r="M79" s="19">
        <f>MAX(G2:G79)</f>
        <v>254.99</v>
      </c>
      <c r="N79" s="19">
        <f t="shared" si="5"/>
        <v>0</v>
      </c>
      <c r="O79" s="9" t="str">
        <f t="shared" si="6"/>
        <v>2024-04</v>
      </c>
    </row>
    <row r="80" spans="1:15" x14ac:dyDescent="0.25">
      <c r="A80" s="9" t="s">
        <v>44</v>
      </c>
      <c r="B80" s="9" t="s">
        <v>45</v>
      </c>
      <c r="C80" s="25" t="s">
        <v>124</v>
      </c>
      <c r="D80" s="19">
        <v>254.99</v>
      </c>
      <c r="E80" s="19">
        <v>259.37</v>
      </c>
      <c r="F80" s="19">
        <v>254.23</v>
      </c>
      <c r="G80" s="19">
        <v>258.77999999999997</v>
      </c>
      <c r="H80" s="19">
        <v>258.77999999999997</v>
      </c>
      <c r="I80" s="15">
        <v>11543980</v>
      </c>
      <c r="J80" s="19">
        <f t="shared" si="7"/>
        <v>1.4863327973645881</v>
      </c>
      <c r="K80" s="19">
        <f t="shared" si="3"/>
        <v>242.80250000000001</v>
      </c>
      <c r="L80" s="19">
        <f t="shared" si="4"/>
        <v>220.66559999999998</v>
      </c>
      <c r="M80" s="19">
        <f>MAX(G2:G80)</f>
        <v>258.77999999999997</v>
      </c>
      <c r="N80" s="19">
        <f t="shared" si="5"/>
        <v>0</v>
      </c>
      <c r="O80" s="9" t="str">
        <f t="shared" si="6"/>
        <v>2024-04</v>
      </c>
    </row>
    <row r="81" spans="1:15" x14ac:dyDescent="0.25">
      <c r="A81" s="9" t="s">
        <v>44</v>
      </c>
      <c r="B81" s="9" t="s">
        <v>45</v>
      </c>
      <c r="C81" s="25" t="s">
        <v>125</v>
      </c>
      <c r="D81" s="19">
        <v>258.77999999999997</v>
      </c>
      <c r="E81" s="19">
        <v>261.79000000000002</v>
      </c>
      <c r="F81" s="19">
        <v>257.56</v>
      </c>
      <c r="G81" s="19">
        <v>261.64999999999998</v>
      </c>
      <c r="H81" s="19">
        <v>261.64999999999998</v>
      </c>
      <c r="I81" s="15">
        <v>6873978</v>
      </c>
      <c r="J81" s="19">
        <f t="shared" si="7"/>
        <v>1.1090501584357388</v>
      </c>
      <c r="K81" s="19">
        <f t="shared" si="3"/>
        <v>244.32049999999998</v>
      </c>
      <c r="L81" s="19">
        <f t="shared" si="4"/>
        <v>222.22579999999999</v>
      </c>
      <c r="M81" s="19">
        <f>MAX(G2:G81)</f>
        <v>261.64999999999998</v>
      </c>
      <c r="N81" s="19">
        <f t="shared" si="5"/>
        <v>0</v>
      </c>
      <c r="O81" s="9" t="str">
        <f t="shared" si="6"/>
        <v>2024-04</v>
      </c>
    </row>
    <row r="82" spans="1:15" x14ac:dyDescent="0.25">
      <c r="A82" s="9" t="s">
        <v>44</v>
      </c>
      <c r="B82" s="9" t="s">
        <v>45</v>
      </c>
      <c r="C82" s="25" t="s">
        <v>126</v>
      </c>
      <c r="D82" s="19">
        <v>261.64999999999998</v>
      </c>
      <c r="E82" s="19">
        <v>263.07</v>
      </c>
      <c r="F82" s="19">
        <v>254.8</v>
      </c>
      <c r="G82" s="19">
        <v>255.08</v>
      </c>
      <c r="H82" s="19">
        <v>255.08</v>
      </c>
      <c r="I82" s="15">
        <v>8668935</v>
      </c>
      <c r="J82" s="19">
        <f t="shared" si="7"/>
        <v>-2.5109879610166121</v>
      </c>
      <c r="K82" s="19">
        <f t="shared" si="3"/>
        <v>245.44099999999997</v>
      </c>
      <c r="L82" s="19">
        <f t="shared" si="4"/>
        <v>223.67039999999997</v>
      </c>
      <c r="M82" s="19">
        <f>MAX(G2:G82)</f>
        <v>261.64999999999998</v>
      </c>
      <c r="N82" s="19">
        <f t="shared" si="5"/>
        <v>-2.5109879610166121</v>
      </c>
      <c r="O82" s="9" t="str">
        <f t="shared" si="6"/>
        <v>2024-04</v>
      </c>
    </row>
    <row r="83" spans="1:15" x14ac:dyDescent="0.25">
      <c r="A83" s="9" t="s">
        <v>44</v>
      </c>
      <c r="B83" s="9" t="s">
        <v>45</v>
      </c>
      <c r="C83" s="25" t="s">
        <v>127</v>
      </c>
      <c r="D83" s="19">
        <v>255.08</v>
      </c>
      <c r="E83" s="19">
        <v>256</v>
      </c>
      <c r="F83" s="19">
        <v>245.85</v>
      </c>
      <c r="G83" s="19">
        <v>245.85</v>
      </c>
      <c r="H83" s="19">
        <v>245.85</v>
      </c>
      <c r="I83" s="15">
        <v>8112753</v>
      </c>
      <c r="J83" s="19">
        <f t="shared" si="7"/>
        <v>-3.6184726360357606</v>
      </c>
      <c r="K83" s="19">
        <f t="shared" si="3"/>
        <v>246.20299999999997</v>
      </c>
      <c r="L83" s="19">
        <f t="shared" si="4"/>
        <v>224.99599999999998</v>
      </c>
      <c r="M83" s="19">
        <f>MAX(G2:G83)</f>
        <v>261.64999999999998</v>
      </c>
      <c r="N83" s="19">
        <f t="shared" si="5"/>
        <v>-6.0386011847888339</v>
      </c>
      <c r="O83" s="9" t="str">
        <f t="shared" si="6"/>
        <v>2024-04</v>
      </c>
    </row>
    <row r="84" spans="1:15" x14ac:dyDescent="0.25">
      <c r="A84" s="9" t="s">
        <v>44</v>
      </c>
      <c r="B84" s="9" t="s">
        <v>45</v>
      </c>
      <c r="C84" s="25" t="s">
        <v>128</v>
      </c>
      <c r="D84" s="19">
        <v>245.85</v>
      </c>
      <c r="E84" s="19">
        <v>246.47</v>
      </c>
      <c r="F84" s="19">
        <v>243</v>
      </c>
      <c r="G84" s="19">
        <v>244.34</v>
      </c>
      <c r="H84" s="19">
        <v>244.34</v>
      </c>
      <c r="I84" s="15">
        <v>9285180</v>
      </c>
      <c r="J84" s="19">
        <f t="shared" si="7"/>
        <v>-0.61419564775269109</v>
      </c>
      <c r="K84" s="19">
        <f t="shared" si="3"/>
        <v>246.88599999999997</v>
      </c>
      <c r="L84" s="19">
        <f t="shared" si="4"/>
        <v>225.96239999999997</v>
      </c>
      <c r="M84" s="19">
        <f>MAX(G2:G84)</f>
        <v>261.64999999999998</v>
      </c>
      <c r="N84" s="19">
        <f t="shared" si="5"/>
        <v>-6.6157080068794105</v>
      </c>
      <c r="O84" s="9" t="str">
        <f t="shared" si="6"/>
        <v>2024-04</v>
      </c>
    </row>
    <row r="85" spans="1:15" x14ac:dyDescent="0.25">
      <c r="A85" s="9" t="s">
        <v>44</v>
      </c>
      <c r="B85" s="9" t="s">
        <v>45</v>
      </c>
      <c r="C85" s="25" t="s">
        <v>129</v>
      </c>
      <c r="D85" s="19">
        <v>244.34</v>
      </c>
      <c r="E85" s="19">
        <v>249.91</v>
      </c>
      <c r="F85" s="19">
        <v>244.02</v>
      </c>
      <c r="G85" s="19">
        <v>248.37</v>
      </c>
      <c r="H85" s="19">
        <v>248.37</v>
      </c>
      <c r="I85" s="15">
        <v>6203632</v>
      </c>
      <c r="J85" s="19">
        <f t="shared" si="7"/>
        <v>1.6493410820987153</v>
      </c>
      <c r="K85" s="19">
        <f t="shared" ref="K85:K148" si="8">AVERAGE(G66:G85)</f>
        <v>247.49500000000003</v>
      </c>
      <c r="L85" s="19">
        <f t="shared" si="4"/>
        <v>227.00739999999999</v>
      </c>
      <c r="M85" s="19">
        <f>MAX(G2:G85)</f>
        <v>261.64999999999998</v>
      </c>
      <c r="N85" s="19">
        <f t="shared" si="5"/>
        <v>-5.0754825148098499</v>
      </c>
      <c r="O85" s="9" t="str">
        <f t="shared" si="6"/>
        <v>2024-04</v>
      </c>
    </row>
    <row r="86" spans="1:15" x14ac:dyDescent="0.25">
      <c r="A86" s="9" t="s">
        <v>44</v>
      </c>
      <c r="B86" s="9" t="s">
        <v>45</v>
      </c>
      <c r="C86" s="25" t="s">
        <v>130</v>
      </c>
      <c r="D86" s="19">
        <v>248.37</v>
      </c>
      <c r="E86" s="19">
        <v>254.42</v>
      </c>
      <c r="F86" s="19">
        <v>248.21</v>
      </c>
      <c r="G86" s="19">
        <v>254.3</v>
      </c>
      <c r="H86" s="19">
        <v>254.3</v>
      </c>
      <c r="I86" s="15">
        <v>10767788</v>
      </c>
      <c r="J86" s="19">
        <f t="shared" si="7"/>
        <v>2.3875669364254968</v>
      </c>
      <c r="K86" s="19">
        <f t="shared" si="8"/>
        <v>248.27249999999998</v>
      </c>
      <c r="L86" s="19">
        <f t="shared" si="4"/>
        <v>228.2252</v>
      </c>
      <c r="M86" s="19">
        <f>MAX(G2:G86)</f>
        <v>261.64999999999998</v>
      </c>
      <c r="N86" s="19">
        <f t="shared" si="5"/>
        <v>-2.8090961207720109</v>
      </c>
      <c r="O86" s="9" t="str">
        <f t="shared" si="6"/>
        <v>2024-04</v>
      </c>
    </row>
    <row r="87" spans="1:15" x14ac:dyDescent="0.25">
      <c r="A87" s="9" t="s">
        <v>44</v>
      </c>
      <c r="B87" s="9" t="s">
        <v>45</v>
      </c>
      <c r="C87" s="25" t="s">
        <v>131</v>
      </c>
      <c r="D87" s="19">
        <v>254.3</v>
      </c>
      <c r="E87" s="19">
        <v>258.54000000000002</v>
      </c>
      <c r="F87" s="19">
        <v>253.65</v>
      </c>
      <c r="G87" s="19">
        <v>258.37</v>
      </c>
      <c r="H87" s="19">
        <v>258.37</v>
      </c>
      <c r="I87" s="15">
        <v>11284715</v>
      </c>
      <c r="J87" s="19">
        <f t="shared" si="7"/>
        <v>1.600471883602042</v>
      </c>
      <c r="K87" s="19">
        <f t="shared" si="8"/>
        <v>248.90399999999994</v>
      </c>
      <c r="L87" s="19">
        <f t="shared" si="4"/>
        <v>229.4906</v>
      </c>
      <c r="M87" s="19">
        <f>MAX(G2:G87)</f>
        <v>261.64999999999998</v>
      </c>
      <c r="N87" s="19">
        <f t="shared" si="5"/>
        <v>-1.2535830307662805</v>
      </c>
      <c r="O87" s="9" t="str">
        <f t="shared" si="6"/>
        <v>2024-04</v>
      </c>
    </row>
    <row r="88" spans="1:15" x14ac:dyDescent="0.25">
      <c r="A88" s="9" t="s">
        <v>44</v>
      </c>
      <c r="B88" s="9" t="s">
        <v>45</v>
      </c>
      <c r="C88" s="25" t="s">
        <v>132</v>
      </c>
      <c r="D88" s="19">
        <v>258.37</v>
      </c>
      <c r="E88" s="19">
        <v>259.08</v>
      </c>
      <c r="F88" s="19">
        <v>253.02</v>
      </c>
      <c r="G88" s="19">
        <v>254.79</v>
      </c>
      <c r="H88" s="19">
        <v>254.79</v>
      </c>
      <c r="I88" s="15">
        <v>11466413</v>
      </c>
      <c r="J88" s="19">
        <f t="shared" si="7"/>
        <v>-1.3856097844177004</v>
      </c>
      <c r="K88" s="19">
        <f t="shared" si="8"/>
        <v>249.13549999999995</v>
      </c>
      <c r="L88" s="19">
        <f t="shared" si="4"/>
        <v>230.79540000000006</v>
      </c>
      <c r="M88" s="19">
        <f>MAX(G2:G88)</f>
        <v>261.64999999999998</v>
      </c>
      <c r="N88" s="19">
        <f t="shared" si="5"/>
        <v>-2.6218230460538834</v>
      </c>
      <c r="O88" s="9" t="str">
        <f t="shared" si="6"/>
        <v>2024-04</v>
      </c>
    </row>
    <row r="89" spans="1:15" x14ac:dyDescent="0.25">
      <c r="A89" s="9" t="s">
        <v>44</v>
      </c>
      <c r="B89" s="9" t="s">
        <v>45</v>
      </c>
      <c r="C89" s="25" t="s">
        <v>133</v>
      </c>
      <c r="D89" s="19">
        <v>254.79</v>
      </c>
      <c r="E89" s="19">
        <v>258.47000000000003</v>
      </c>
      <c r="F89" s="19">
        <v>253.26</v>
      </c>
      <c r="G89" s="19">
        <v>258.33</v>
      </c>
      <c r="H89" s="19">
        <v>258.33</v>
      </c>
      <c r="I89" s="15">
        <v>8177827</v>
      </c>
      <c r="J89" s="19">
        <f t="shared" si="7"/>
        <v>1.3893794889909308</v>
      </c>
      <c r="K89" s="19">
        <f t="shared" si="8"/>
        <v>249.929</v>
      </c>
      <c r="L89" s="19">
        <f t="shared" si="4"/>
        <v>232.16900000000004</v>
      </c>
      <c r="M89" s="19">
        <f>MAX(G2:G89)</f>
        <v>261.64999999999998</v>
      </c>
      <c r="N89" s="19">
        <f t="shared" si="5"/>
        <v>-1.2688706287024625</v>
      </c>
      <c r="O89" s="9" t="str">
        <f t="shared" si="6"/>
        <v>2024-05</v>
      </c>
    </row>
    <row r="90" spans="1:15" x14ac:dyDescent="0.25">
      <c r="A90" s="9" t="s">
        <v>44</v>
      </c>
      <c r="B90" s="9" t="s">
        <v>45</v>
      </c>
      <c r="C90" s="25" t="s">
        <v>134</v>
      </c>
      <c r="D90" s="19">
        <v>258.33</v>
      </c>
      <c r="E90" s="19">
        <v>266.25</v>
      </c>
      <c r="F90" s="19">
        <v>258.31</v>
      </c>
      <c r="G90" s="19">
        <v>264.79000000000002</v>
      </c>
      <c r="H90" s="19">
        <v>264.79000000000002</v>
      </c>
      <c r="I90" s="15">
        <v>9911373</v>
      </c>
      <c r="J90" s="19">
        <f t="shared" si="7"/>
        <v>2.5006774280958606</v>
      </c>
      <c r="K90" s="19">
        <f t="shared" si="8"/>
        <v>250.96299999999997</v>
      </c>
      <c r="L90" s="19">
        <f t="shared" si="4"/>
        <v>233.63500000000008</v>
      </c>
      <c r="M90" s="19">
        <f>MAX(G2:G90)</f>
        <v>264.79000000000002</v>
      </c>
      <c r="N90" s="19">
        <f t="shared" si="5"/>
        <v>0</v>
      </c>
      <c r="O90" s="9" t="str">
        <f t="shared" si="6"/>
        <v>2024-05</v>
      </c>
    </row>
    <row r="91" spans="1:15" x14ac:dyDescent="0.25">
      <c r="A91" s="9" t="s">
        <v>44</v>
      </c>
      <c r="B91" s="9" t="s">
        <v>45</v>
      </c>
      <c r="C91" s="25" t="s">
        <v>135</v>
      </c>
      <c r="D91" s="19">
        <v>264.79000000000002</v>
      </c>
      <c r="E91" s="19">
        <v>266.55</v>
      </c>
      <c r="F91" s="19">
        <v>261.64999999999998</v>
      </c>
      <c r="G91" s="19">
        <v>263.83</v>
      </c>
      <c r="H91" s="19">
        <v>263.83</v>
      </c>
      <c r="I91" s="15">
        <v>7786111</v>
      </c>
      <c r="J91" s="19">
        <f t="shared" si="7"/>
        <v>-0.3625514558707037</v>
      </c>
      <c r="K91" s="19">
        <f t="shared" si="8"/>
        <v>251.83949999999999</v>
      </c>
      <c r="L91" s="19">
        <f t="shared" si="4"/>
        <v>234.95780000000005</v>
      </c>
      <c r="M91" s="19">
        <f>MAX(G2:G91)</f>
        <v>264.79000000000002</v>
      </c>
      <c r="N91" s="19">
        <f t="shared" si="5"/>
        <v>-0.3625514558707037</v>
      </c>
      <c r="O91" s="9" t="str">
        <f t="shared" si="6"/>
        <v>2024-05</v>
      </c>
    </row>
    <row r="92" spans="1:15" x14ac:dyDescent="0.25">
      <c r="A92" s="9" t="s">
        <v>44</v>
      </c>
      <c r="B92" s="9" t="s">
        <v>45</v>
      </c>
      <c r="C92" s="25" t="s">
        <v>136</v>
      </c>
      <c r="D92" s="19">
        <v>263.83</v>
      </c>
      <c r="E92" s="19">
        <v>264.54000000000002</v>
      </c>
      <c r="F92" s="19">
        <v>257.69</v>
      </c>
      <c r="G92" s="19">
        <v>258.83</v>
      </c>
      <c r="H92" s="19">
        <v>258.83</v>
      </c>
      <c r="I92" s="15">
        <v>9170415</v>
      </c>
      <c r="J92" s="19">
        <f t="shared" si="7"/>
        <v>-1.8951597619679339</v>
      </c>
      <c r="K92" s="19">
        <f t="shared" si="8"/>
        <v>252.59099999999998</v>
      </c>
      <c r="L92" s="19">
        <f t="shared" si="4"/>
        <v>236.21440000000007</v>
      </c>
      <c r="M92" s="19">
        <f>MAX(G2:G92)</f>
        <v>264.79000000000002</v>
      </c>
      <c r="N92" s="19">
        <f t="shared" si="5"/>
        <v>-2.2508402885305472</v>
      </c>
      <c r="O92" s="9" t="str">
        <f t="shared" si="6"/>
        <v>2024-05</v>
      </c>
    </row>
    <row r="93" spans="1:15" x14ac:dyDescent="0.25">
      <c r="A93" s="9" t="s">
        <v>44</v>
      </c>
      <c r="B93" s="9" t="s">
        <v>45</v>
      </c>
      <c r="C93" s="25" t="s">
        <v>137</v>
      </c>
      <c r="D93" s="19">
        <v>258.83</v>
      </c>
      <c r="E93" s="19">
        <v>262.19</v>
      </c>
      <c r="F93" s="19">
        <v>257.81</v>
      </c>
      <c r="G93" s="19">
        <v>261.89</v>
      </c>
      <c r="H93" s="19">
        <v>261.89</v>
      </c>
      <c r="I93" s="15">
        <v>9209711</v>
      </c>
      <c r="J93" s="19">
        <f t="shared" si="7"/>
        <v>1.1822431711934482</v>
      </c>
      <c r="K93" s="19">
        <f t="shared" si="8"/>
        <v>253.54349999999999</v>
      </c>
      <c r="L93" s="19">
        <f t="shared" si="4"/>
        <v>237.59740000000005</v>
      </c>
      <c r="M93" s="19">
        <f>MAX(G2:G93)</f>
        <v>264.79000000000002</v>
      </c>
      <c r="N93" s="19">
        <f t="shared" si="5"/>
        <v>-1.0952075229427221</v>
      </c>
      <c r="O93" s="9" t="str">
        <f t="shared" si="6"/>
        <v>2024-05</v>
      </c>
    </row>
    <row r="94" spans="1:15" x14ac:dyDescent="0.25">
      <c r="A94" s="9" t="s">
        <v>44</v>
      </c>
      <c r="B94" s="9" t="s">
        <v>45</v>
      </c>
      <c r="C94" s="25" t="s">
        <v>138</v>
      </c>
      <c r="D94" s="19">
        <v>261.89</v>
      </c>
      <c r="E94" s="19">
        <v>262.72000000000003</v>
      </c>
      <c r="F94" s="19">
        <v>258.47000000000003</v>
      </c>
      <c r="G94" s="19">
        <v>259.95999999999998</v>
      </c>
      <c r="H94" s="19">
        <v>259.95999999999998</v>
      </c>
      <c r="I94" s="15">
        <v>7540321</v>
      </c>
      <c r="J94" s="19">
        <f t="shared" si="7"/>
        <v>-0.73695062812631518</v>
      </c>
      <c r="K94" s="19">
        <f t="shared" si="8"/>
        <v>254.29749999999999</v>
      </c>
      <c r="L94" s="19">
        <f t="shared" si="4"/>
        <v>238.9134</v>
      </c>
      <c r="M94" s="19">
        <f>MAX(G2:G94)</f>
        <v>264.79000000000002</v>
      </c>
      <c r="N94" s="19">
        <f t="shared" si="5"/>
        <v>-1.8240870123494242</v>
      </c>
      <c r="O94" s="9" t="str">
        <f t="shared" si="6"/>
        <v>2024-05</v>
      </c>
    </row>
    <row r="95" spans="1:15" x14ac:dyDescent="0.25">
      <c r="A95" s="9" t="s">
        <v>44</v>
      </c>
      <c r="B95" s="9" t="s">
        <v>45</v>
      </c>
      <c r="C95" s="25" t="s">
        <v>139</v>
      </c>
      <c r="D95" s="19">
        <v>259.95999999999998</v>
      </c>
      <c r="E95" s="19">
        <v>262.72000000000003</v>
      </c>
      <c r="F95" s="19">
        <v>259.23</v>
      </c>
      <c r="G95" s="19">
        <v>260.33999999999997</v>
      </c>
      <c r="H95" s="19">
        <v>260.33999999999997</v>
      </c>
      <c r="I95" s="15">
        <v>8513551</v>
      </c>
      <c r="J95" s="19">
        <f t="shared" si="7"/>
        <v>0.14617633482073991</v>
      </c>
      <c r="K95" s="19">
        <f t="shared" si="8"/>
        <v>255.12650000000002</v>
      </c>
      <c r="L95" s="19">
        <f t="shared" si="4"/>
        <v>239.95920000000001</v>
      </c>
      <c r="M95" s="19">
        <f>MAX(G2:G95)</f>
        <v>264.79000000000002</v>
      </c>
      <c r="N95" s="19">
        <f t="shared" si="5"/>
        <v>-1.6805770610672777</v>
      </c>
      <c r="O95" s="9" t="str">
        <f t="shared" si="6"/>
        <v>2024-05</v>
      </c>
    </row>
    <row r="96" spans="1:15" x14ac:dyDescent="0.25">
      <c r="A96" s="9" t="s">
        <v>44</v>
      </c>
      <c r="B96" s="9" t="s">
        <v>45</v>
      </c>
      <c r="C96" s="25" t="s">
        <v>140</v>
      </c>
      <c r="D96" s="19">
        <v>260.33999999999997</v>
      </c>
      <c r="E96" s="19">
        <v>260.57</v>
      </c>
      <c r="F96" s="19">
        <v>259.29000000000002</v>
      </c>
      <c r="G96" s="19">
        <v>260.06</v>
      </c>
      <c r="H96" s="19">
        <v>260.06</v>
      </c>
      <c r="I96" s="15">
        <v>9390810</v>
      </c>
      <c r="J96" s="19">
        <f t="shared" si="7"/>
        <v>-0.10755166320963845</v>
      </c>
      <c r="K96" s="19">
        <f t="shared" si="8"/>
        <v>255.91649999999998</v>
      </c>
      <c r="L96" s="19">
        <f t="shared" si="4"/>
        <v>241.01660000000001</v>
      </c>
      <c r="M96" s="19">
        <f>MAX(G2:G96)</f>
        <v>264.79000000000002</v>
      </c>
      <c r="N96" s="19">
        <f t="shared" si="5"/>
        <v>-1.7863212356962188</v>
      </c>
      <c r="O96" s="9" t="str">
        <f t="shared" si="6"/>
        <v>2024-05</v>
      </c>
    </row>
    <row r="97" spans="1:15" x14ac:dyDescent="0.25">
      <c r="A97" s="9" t="s">
        <v>44</v>
      </c>
      <c r="B97" s="9" t="s">
        <v>45</v>
      </c>
      <c r="C97" s="25" t="s">
        <v>141</v>
      </c>
      <c r="D97" s="19">
        <v>260.06</v>
      </c>
      <c r="E97" s="19">
        <v>261.33</v>
      </c>
      <c r="F97" s="19">
        <v>256.51</v>
      </c>
      <c r="G97" s="19">
        <v>258.08</v>
      </c>
      <c r="H97" s="19">
        <v>258.08</v>
      </c>
      <c r="I97" s="15">
        <v>11280498</v>
      </c>
      <c r="J97" s="19">
        <f t="shared" si="7"/>
        <v>-0.76136276243944401</v>
      </c>
      <c r="K97" s="19">
        <f t="shared" si="8"/>
        <v>256.67899999999997</v>
      </c>
      <c r="L97" s="19">
        <f t="shared" si="4"/>
        <v>242.03440000000003</v>
      </c>
      <c r="M97" s="19">
        <f>MAX(G2:G97)</f>
        <v>264.79000000000002</v>
      </c>
      <c r="N97" s="19">
        <f t="shared" si="5"/>
        <v>-2.5340836134295235</v>
      </c>
      <c r="O97" s="9" t="str">
        <f t="shared" si="6"/>
        <v>2024-05</v>
      </c>
    </row>
    <row r="98" spans="1:15" x14ac:dyDescent="0.25">
      <c r="A98" s="9" t="s">
        <v>44</v>
      </c>
      <c r="B98" s="9" t="s">
        <v>45</v>
      </c>
      <c r="C98" s="25" t="s">
        <v>142</v>
      </c>
      <c r="D98" s="19">
        <v>258.08</v>
      </c>
      <c r="E98" s="19">
        <v>264.86</v>
      </c>
      <c r="F98" s="19">
        <v>257.2</v>
      </c>
      <c r="G98" s="19">
        <v>264.60000000000002</v>
      </c>
      <c r="H98" s="19">
        <v>264.60000000000002</v>
      </c>
      <c r="I98" s="15">
        <v>5628953</v>
      </c>
      <c r="J98" s="19">
        <f t="shared" si="7"/>
        <v>2.5263484190948695</v>
      </c>
      <c r="K98" s="19">
        <f t="shared" si="8"/>
        <v>257.36150000000004</v>
      </c>
      <c r="L98" s="19">
        <f t="shared" si="4"/>
        <v>243.20940000000002</v>
      </c>
      <c r="M98" s="19">
        <f>MAX(G2:G98)</f>
        <v>264.79000000000002</v>
      </c>
      <c r="N98" s="19">
        <f t="shared" si="5"/>
        <v>-7.1754975641073193E-2</v>
      </c>
      <c r="O98" s="9" t="str">
        <f t="shared" si="6"/>
        <v>2024-05</v>
      </c>
    </row>
    <row r="99" spans="1:15" x14ac:dyDescent="0.25">
      <c r="A99" s="9" t="s">
        <v>44</v>
      </c>
      <c r="B99" s="9" t="s">
        <v>45</v>
      </c>
      <c r="C99" s="25" t="s">
        <v>143</v>
      </c>
      <c r="D99" s="19">
        <v>264.60000000000002</v>
      </c>
      <c r="E99" s="19">
        <v>265.89999999999998</v>
      </c>
      <c r="F99" s="19">
        <v>264.47000000000003</v>
      </c>
      <c r="G99" s="19">
        <v>264.87</v>
      </c>
      <c r="H99" s="19">
        <v>264.87</v>
      </c>
      <c r="I99" s="15">
        <v>5706702</v>
      </c>
      <c r="J99" s="19">
        <f t="shared" si="7"/>
        <v>0.10204081632652373</v>
      </c>
      <c r="K99" s="19">
        <f t="shared" si="8"/>
        <v>257.85550000000001</v>
      </c>
      <c r="L99" s="19">
        <f t="shared" si="4"/>
        <v>244.35340000000005</v>
      </c>
      <c r="M99" s="19">
        <f>MAX(G2:G99)</f>
        <v>264.87</v>
      </c>
      <c r="N99" s="19">
        <f t="shared" si="5"/>
        <v>0</v>
      </c>
      <c r="O99" s="9" t="str">
        <f t="shared" si="6"/>
        <v>2024-05</v>
      </c>
    </row>
    <row r="100" spans="1:15" x14ac:dyDescent="0.25">
      <c r="A100" s="9" t="s">
        <v>44</v>
      </c>
      <c r="B100" s="9" t="s">
        <v>45</v>
      </c>
      <c r="C100" s="25" t="s">
        <v>144</v>
      </c>
      <c r="D100" s="19">
        <v>264.87</v>
      </c>
      <c r="E100" s="19">
        <v>265.08999999999997</v>
      </c>
      <c r="F100" s="19">
        <v>258.45999999999998</v>
      </c>
      <c r="G100" s="19">
        <v>258.64999999999998</v>
      </c>
      <c r="H100" s="19">
        <v>258.64999999999998</v>
      </c>
      <c r="I100" s="15">
        <v>7885301</v>
      </c>
      <c r="J100" s="19">
        <f t="shared" si="7"/>
        <v>-2.3483218182504726</v>
      </c>
      <c r="K100" s="19">
        <f t="shared" si="8"/>
        <v>257.84899999999999</v>
      </c>
      <c r="L100" s="19">
        <f t="shared" si="4"/>
        <v>245.23699999999999</v>
      </c>
      <c r="M100" s="19">
        <f>MAX(G2:G100)</f>
        <v>264.87</v>
      </c>
      <c r="N100" s="19">
        <f t="shared" si="5"/>
        <v>-2.3483218182504726</v>
      </c>
      <c r="O100" s="9" t="str">
        <f t="shared" si="6"/>
        <v>2024-05</v>
      </c>
    </row>
    <row r="101" spans="1:15" x14ac:dyDescent="0.25">
      <c r="A101" s="9" t="s">
        <v>44</v>
      </c>
      <c r="B101" s="9" t="s">
        <v>45</v>
      </c>
      <c r="C101" s="25" t="s">
        <v>145</v>
      </c>
      <c r="D101" s="19">
        <v>258.64999999999998</v>
      </c>
      <c r="E101" s="19">
        <v>259.33</v>
      </c>
      <c r="F101" s="19">
        <v>252.97</v>
      </c>
      <c r="G101" s="19">
        <v>254.69</v>
      </c>
      <c r="H101" s="19">
        <v>254.69</v>
      </c>
      <c r="I101" s="15">
        <v>10115935</v>
      </c>
      <c r="J101" s="19">
        <f t="shared" si="7"/>
        <v>-1.531026483665177</v>
      </c>
      <c r="K101" s="19">
        <f t="shared" si="8"/>
        <v>257.50099999999998</v>
      </c>
      <c r="L101" s="19">
        <f t="shared" si="4"/>
        <v>245.97140000000002</v>
      </c>
      <c r="M101" s="19">
        <f>MAX(G2:G101)</f>
        <v>264.87</v>
      </c>
      <c r="N101" s="19">
        <f t="shared" si="5"/>
        <v>-3.8433948729565475</v>
      </c>
      <c r="O101" s="9" t="str">
        <f t="shared" si="6"/>
        <v>2024-05</v>
      </c>
    </row>
    <row r="102" spans="1:15" x14ac:dyDescent="0.25">
      <c r="A102" s="9" t="s">
        <v>44</v>
      </c>
      <c r="B102" s="9" t="s">
        <v>45</v>
      </c>
      <c r="C102" s="25" t="s">
        <v>146</v>
      </c>
      <c r="D102" s="19">
        <v>254.69</v>
      </c>
      <c r="E102" s="19">
        <v>256.32</v>
      </c>
      <c r="F102" s="19">
        <v>252.27</v>
      </c>
      <c r="G102" s="19">
        <v>254.81</v>
      </c>
      <c r="H102" s="19">
        <v>254.81</v>
      </c>
      <c r="I102" s="15">
        <v>10434878</v>
      </c>
      <c r="J102" s="19">
        <f t="shared" si="7"/>
        <v>4.7116101927835628E-2</v>
      </c>
      <c r="K102" s="19">
        <f t="shared" si="8"/>
        <v>257.48749999999995</v>
      </c>
      <c r="L102" s="19">
        <f t="shared" si="4"/>
        <v>246.67260000000002</v>
      </c>
      <c r="M102" s="19">
        <f>MAX(G2:G102)</f>
        <v>264.87</v>
      </c>
      <c r="N102" s="19">
        <f t="shared" si="5"/>
        <v>-3.7980896288745432</v>
      </c>
      <c r="O102" s="9" t="str">
        <f t="shared" si="6"/>
        <v>2024-05</v>
      </c>
    </row>
    <row r="103" spans="1:15" x14ac:dyDescent="0.25">
      <c r="A103" s="9" t="s">
        <v>44</v>
      </c>
      <c r="B103" s="9" t="s">
        <v>45</v>
      </c>
      <c r="C103" s="25" t="s">
        <v>147</v>
      </c>
      <c r="D103" s="19">
        <v>254.81</v>
      </c>
      <c r="E103" s="19">
        <v>256.42</v>
      </c>
      <c r="F103" s="19">
        <v>252.39</v>
      </c>
      <c r="G103" s="19">
        <v>253.28</v>
      </c>
      <c r="H103" s="19">
        <v>253.28</v>
      </c>
      <c r="I103" s="15">
        <v>4681280</v>
      </c>
      <c r="J103" s="19">
        <f t="shared" si="7"/>
        <v>-0.60044739217456189</v>
      </c>
      <c r="K103" s="19">
        <f t="shared" si="8"/>
        <v>257.85899999999998</v>
      </c>
      <c r="L103" s="19">
        <f t="shared" si="4"/>
        <v>247.31960000000004</v>
      </c>
      <c r="M103" s="19">
        <f>MAX(G2:G103)</f>
        <v>264.87</v>
      </c>
      <c r="N103" s="19">
        <f t="shared" si="5"/>
        <v>-4.3757314909200753</v>
      </c>
      <c r="O103" s="9" t="str">
        <f t="shared" si="6"/>
        <v>2024-05</v>
      </c>
    </row>
    <row r="104" spans="1:15" x14ac:dyDescent="0.25">
      <c r="A104" s="9" t="s">
        <v>44</v>
      </c>
      <c r="B104" s="9" t="s">
        <v>45</v>
      </c>
      <c r="C104" s="25" t="s">
        <v>148</v>
      </c>
      <c r="D104" s="19">
        <v>253.28</v>
      </c>
      <c r="E104" s="19">
        <v>258.91000000000003</v>
      </c>
      <c r="F104" s="19">
        <v>253.25</v>
      </c>
      <c r="G104" s="19">
        <v>256.95</v>
      </c>
      <c r="H104" s="19">
        <v>256.95</v>
      </c>
      <c r="I104" s="15">
        <v>8305677</v>
      </c>
      <c r="J104" s="19">
        <f t="shared" si="7"/>
        <v>1.4489892608970261</v>
      </c>
      <c r="K104" s="19">
        <f t="shared" si="8"/>
        <v>258.48949999999996</v>
      </c>
      <c r="L104" s="19">
        <f t="shared" si="4"/>
        <v>247.89660000000003</v>
      </c>
      <c r="M104" s="19">
        <f>MAX(G2:G104)</f>
        <v>264.87</v>
      </c>
      <c r="N104" s="19">
        <f t="shared" si="5"/>
        <v>-2.9901461094121706</v>
      </c>
      <c r="O104" s="9" t="str">
        <f t="shared" si="6"/>
        <v>2024-05</v>
      </c>
    </row>
    <row r="105" spans="1:15" x14ac:dyDescent="0.25">
      <c r="A105" s="9" t="s">
        <v>44</v>
      </c>
      <c r="B105" s="9" t="s">
        <v>45</v>
      </c>
      <c r="C105" s="25" t="s">
        <v>149</v>
      </c>
      <c r="D105" s="19">
        <v>256.95</v>
      </c>
      <c r="E105" s="19">
        <v>257.19</v>
      </c>
      <c r="F105" s="19">
        <v>255.05</v>
      </c>
      <c r="G105" s="19">
        <v>255.71</v>
      </c>
      <c r="H105" s="19">
        <v>255.71</v>
      </c>
      <c r="I105" s="15">
        <v>6830899</v>
      </c>
      <c r="J105" s="19">
        <f t="shared" si="7"/>
        <v>-0.48258416034247154</v>
      </c>
      <c r="K105" s="19">
        <f t="shared" si="8"/>
        <v>258.85649999999998</v>
      </c>
      <c r="L105" s="19">
        <f t="shared" si="4"/>
        <v>248.4624</v>
      </c>
      <c r="M105" s="19">
        <f>MAX(G2:G105)</f>
        <v>264.87</v>
      </c>
      <c r="N105" s="19">
        <f t="shared" si="5"/>
        <v>-3.4583002982595223</v>
      </c>
      <c r="O105" s="9" t="str">
        <f t="shared" si="6"/>
        <v>2024-05</v>
      </c>
    </row>
    <row r="106" spans="1:15" x14ac:dyDescent="0.25">
      <c r="A106" s="9" t="s">
        <v>44</v>
      </c>
      <c r="B106" s="9" t="s">
        <v>45</v>
      </c>
      <c r="C106" s="25" t="s">
        <v>150</v>
      </c>
      <c r="D106" s="19">
        <v>255.71</v>
      </c>
      <c r="E106" s="19">
        <v>256.58999999999997</v>
      </c>
      <c r="F106" s="19">
        <v>251.05</v>
      </c>
      <c r="G106" s="19">
        <v>253.59</v>
      </c>
      <c r="H106" s="19">
        <v>253.59</v>
      </c>
      <c r="I106" s="15">
        <v>9643141</v>
      </c>
      <c r="J106" s="19">
        <f t="shared" si="7"/>
        <v>-0.82906417425990553</v>
      </c>
      <c r="K106" s="19">
        <f t="shared" si="8"/>
        <v>258.82100000000003</v>
      </c>
      <c r="L106" s="19">
        <f t="shared" si="4"/>
        <v>249.00020000000001</v>
      </c>
      <c r="M106" s="19">
        <f>MAX(G2:G106)</f>
        <v>264.87</v>
      </c>
      <c r="N106" s="19">
        <f t="shared" si="5"/>
        <v>-4.2586929437082341</v>
      </c>
      <c r="O106" s="9" t="str">
        <f t="shared" si="6"/>
        <v>2024-05</v>
      </c>
    </row>
    <row r="107" spans="1:15" x14ac:dyDescent="0.25">
      <c r="A107" s="9" t="s">
        <v>44</v>
      </c>
      <c r="B107" s="9" t="s">
        <v>45</v>
      </c>
      <c r="C107" s="25" t="s">
        <v>151</v>
      </c>
      <c r="D107" s="19">
        <v>253.59</v>
      </c>
      <c r="E107" s="19">
        <v>255.32</v>
      </c>
      <c r="F107" s="19">
        <v>253.01</v>
      </c>
      <c r="G107" s="19">
        <v>255.23</v>
      </c>
      <c r="H107" s="19">
        <v>255.23</v>
      </c>
      <c r="I107" s="15">
        <v>9812938</v>
      </c>
      <c r="J107" s="19">
        <f t="shared" si="7"/>
        <v>0.64671319846996578</v>
      </c>
      <c r="K107" s="19">
        <f t="shared" si="8"/>
        <v>258.66399999999999</v>
      </c>
      <c r="L107" s="19">
        <f t="shared" si="4"/>
        <v>249.57679999999996</v>
      </c>
      <c r="M107" s="19">
        <f>MAX(G2:G107)</f>
        <v>264.87</v>
      </c>
      <c r="N107" s="19">
        <f t="shared" si="5"/>
        <v>-3.6395212745875392</v>
      </c>
      <c r="O107" s="9" t="str">
        <f t="shared" si="6"/>
        <v>2024-05</v>
      </c>
    </row>
    <row r="108" spans="1:15" x14ac:dyDescent="0.25">
      <c r="A108" s="9" t="s">
        <v>44</v>
      </c>
      <c r="B108" s="9" t="s">
        <v>45</v>
      </c>
      <c r="C108" s="25" t="s">
        <v>152</v>
      </c>
      <c r="D108" s="19">
        <v>255.23</v>
      </c>
      <c r="E108" s="19">
        <v>258.31</v>
      </c>
      <c r="F108" s="19">
        <v>253.14</v>
      </c>
      <c r="G108" s="19">
        <v>257.3</v>
      </c>
      <c r="H108" s="19">
        <v>257.3</v>
      </c>
      <c r="I108" s="15">
        <v>11887069</v>
      </c>
      <c r="J108" s="19">
        <f t="shared" si="7"/>
        <v>0.81103318575403427</v>
      </c>
      <c r="K108" s="19">
        <f t="shared" si="8"/>
        <v>258.78949999999998</v>
      </c>
      <c r="L108" s="19">
        <f t="shared" si="4"/>
        <v>250.25879999999998</v>
      </c>
      <c r="M108" s="19">
        <f>MAX(G2:G108)</f>
        <v>264.87</v>
      </c>
      <c r="N108" s="19">
        <f t="shared" si="5"/>
        <v>-2.858005814172988</v>
      </c>
      <c r="O108" s="9" t="str">
        <f t="shared" si="6"/>
        <v>2024-05</v>
      </c>
    </row>
    <row r="109" spans="1:15" x14ac:dyDescent="0.25">
      <c r="A109" s="9" t="s">
        <v>44</v>
      </c>
      <c r="B109" s="9" t="s">
        <v>45</v>
      </c>
      <c r="C109" s="25" t="s">
        <v>153</v>
      </c>
      <c r="D109" s="19">
        <v>257.3</v>
      </c>
      <c r="E109" s="19">
        <v>261.85000000000002</v>
      </c>
      <c r="F109" s="19">
        <v>256.51</v>
      </c>
      <c r="G109" s="19">
        <v>261.05</v>
      </c>
      <c r="H109" s="19">
        <v>261.05</v>
      </c>
      <c r="I109" s="15">
        <v>3668282</v>
      </c>
      <c r="J109" s="19">
        <f t="shared" si="7"/>
        <v>1.4574426739214923</v>
      </c>
      <c r="K109" s="19">
        <f t="shared" si="8"/>
        <v>258.9255</v>
      </c>
      <c r="L109" s="19">
        <f t="shared" si="4"/>
        <v>250.96979999999996</v>
      </c>
      <c r="M109" s="19">
        <f>MAX(G2:G109)</f>
        <v>264.87</v>
      </c>
      <c r="N109" s="19">
        <f t="shared" si="5"/>
        <v>-1.4422169366104101</v>
      </c>
      <c r="O109" s="9" t="str">
        <f t="shared" si="6"/>
        <v>2024-05</v>
      </c>
    </row>
    <row r="110" spans="1:15" x14ac:dyDescent="0.25">
      <c r="A110" s="9" t="s">
        <v>44</v>
      </c>
      <c r="B110" s="9" t="s">
        <v>45</v>
      </c>
      <c r="C110" s="25" t="s">
        <v>154</v>
      </c>
      <c r="D110" s="19">
        <v>261.05</v>
      </c>
      <c r="E110" s="19">
        <v>261.11</v>
      </c>
      <c r="F110" s="19">
        <v>253.28</v>
      </c>
      <c r="G110" s="19">
        <v>254.84</v>
      </c>
      <c r="H110" s="19">
        <v>254.84</v>
      </c>
      <c r="I110" s="15">
        <v>9914567</v>
      </c>
      <c r="J110" s="19">
        <f t="shared" si="7"/>
        <v>-2.3788546255506637</v>
      </c>
      <c r="K110" s="19">
        <f t="shared" si="8"/>
        <v>258.428</v>
      </c>
      <c r="L110" s="19">
        <f t="shared" si="4"/>
        <v>251.40959999999998</v>
      </c>
      <c r="M110" s="19">
        <f>MAX(G2:G110)</f>
        <v>264.87</v>
      </c>
      <c r="N110" s="19">
        <f t="shared" si="5"/>
        <v>-3.7867633178540414</v>
      </c>
      <c r="O110" s="9" t="str">
        <f t="shared" si="6"/>
        <v>2024-05</v>
      </c>
    </row>
    <row r="111" spans="1:15" x14ac:dyDescent="0.25">
      <c r="A111" s="9" t="s">
        <v>44</v>
      </c>
      <c r="B111" s="9" t="s">
        <v>45</v>
      </c>
      <c r="C111" s="25" t="s">
        <v>155</v>
      </c>
      <c r="D111" s="19">
        <v>254.84</v>
      </c>
      <c r="E111" s="19">
        <v>255.11</v>
      </c>
      <c r="F111" s="19">
        <v>249.98</v>
      </c>
      <c r="G111" s="19">
        <v>250.64</v>
      </c>
      <c r="H111" s="19">
        <v>250.64</v>
      </c>
      <c r="I111" s="15">
        <v>8113756</v>
      </c>
      <c r="J111" s="19">
        <f t="shared" si="7"/>
        <v>-1.6480929210485076</v>
      </c>
      <c r="K111" s="19">
        <f t="shared" si="8"/>
        <v>257.76850000000002</v>
      </c>
      <c r="L111" s="19">
        <f t="shared" si="4"/>
        <v>251.79659999999996</v>
      </c>
      <c r="M111" s="19">
        <f>MAX(G2:G111)</f>
        <v>264.87</v>
      </c>
      <c r="N111" s="19">
        <f t="shared" si="5"/>
        <v>-5.3724468607241356</v>
      </c>
      <c r="O111" s="9" t="str">
        <f t="shared" si="6"/>
        <v>2024-05</v>
      </c>
    </row>
    <row r="112" spans="1:15" x14ac:dyDescent="0.25">
      <c r="A112" s="9" t="s">
        <v>44</v>
      </c>
      <c r="B112" s="9" t="s">
        <v>45</v>
      </c>
      <c r="C112" s="25" t="s">
        <v>156</v>
      </c>
      <c r="D112" s="19">
        <v>250.64</v>
      </c>
      <c r="E112" s="19">
        <v>251.02</v>
      </c>
      <c r="F112" s="19">
        <v>246.96</v>
      </c>
      <c r="G112" s="19">
        <v>247.55</v>
      </c>
      <c r="H112" s="19">
        <v>247.55</v>
      </c>
      <c r="I112" s="15">
        <v>9824602</v>
      </c>
      <c r="J112" s="19">
        <f t="shared" si="7"/>
        <v>-1.2328439195659013</v>
      </c>
      <c r="K112" s="19">
        <f t="shared" si="8"/>
        <v>257.20450000000005</v>
      </c>
      <c r="L112" s="19">
        <f t="shared" si="4"/>
        <v>252.09419999999994</v>
      </c>
      <c r="M112" s="19">
        <f>MAX(G2:G112)</f>
        <v>264.87</v>
      </c>
      <c r="N112" s="19">
        <f t="shared" si="5"/>
        <v>-6.5390568958356905</v>
      </c>
      <c r="O112" s="9" t="str">
        <f t="shared" si="6"/>
        <v>2024-06</v>
      </c>
    </row>
    <row r="113" spans="1:15" x14ac:dyDescent="0.25">
      <c r="A113" s="9" t="s">
        <v>44</v>
      </c>
      <c r="B113" s="9" t="s">
        <v>45</v>
      </c>
      <c r="C113" s="25" t="s">
        <v>157</v>
      </c>
      <c r="D113" s="19">
        <v>247.55</v>
      </c>
      <c r="E113" s="19">
        <v>252.59</v>
      </c>
      <c r="F113" s="19">
        <v>245.11</v>
      </c>
      <c r="G113" s="19">
        <v>251.81</v>
      </c>
      <c r="H113" s="19">
        <v>251.81</v>
      </c>
      <c r="I113" s="15">
        <v>6087451</v>
      </c>
      <c r="J113" s="19">
        <f t="shared" si="7"/>
        <v>1.7208644718238704</v>
      </c>
      <c r="K113" s="19">
        <f t="shared" si="8"/>
        <v>256.70050000000003</v>
      </c>
      <c r="L113" s="19">
        <f t="shared" si="4"/>
        <v>252.51819999999995</v>
      </c>
      <c r="M113" s="19">
        <f>MAX(G2:G113)</f>
        <v>264.87</v>
      </c>
      <c r="N113" s="19">
        <f t="shared" si="5"/>
        <v>-4.9307207309246053</v>
      </c>
      <c r="O113" s="9" t="str">
        <f t="shared" si="6"/>
        <v>2024-06</v>
      </c>
    </row>
    <row r="114" spans="1:15" x14ac:dyDescent="0.25">
      <c r="A114" s="9" t="s">
        <v>44</v>
      </c>
      <c r="B114" s="9" t="s">
        <v>45</v>
      </c>
      <c r="C114" s="25" t="s">
        <v>158</v>
      </c>
      <c r="D114" s="19">
        <v>251.81</v>
      </c>
      <c r="E114" s="19">
        <v>254.35</v>
      </c>
      <c r="F114" s="19">
        <v>251.64</v>
      </c>
      <c r="G114" s="19">
        <v>254.14</v>
      </c>
      <c r="H114" s="19">
        <v>254.14</v>
      </c>
      <c r="I114" s="15">
        <v>8214545</v>
      </c>
      <c r="J114" s="19">
        <f t="shared" si="7"/>
        <v>0.9253008220483635</v>
      </c>
      <c r="K114" s="19">
        <f t="shared" si="8"/>
        <v>256.40950000000009</v>
      </c>
      <c r="L114" s="19">
        <f t="shared" si="4"/>
        <v>252.98739999999995</v>
      </c>
      <c r="M114" s="19">
        <f>MAX(G2:G114)</f>
        <v>264.87</v>
      </c>
      <c r="N114" s="19">
        <f t="shared" si="5"/>
        <v>-4.0510439083323959</v>
      </c>
      <c r="O114" s="9" t="str">
        <f t="shared" si="6"/>
        <v>2024-06</v>
      </c>
    </row>
    <row r="115" spans="1:15" x14ac:dyDescent="0.25">
      <c r="A115" s="9" t="s">
        <v>44</v>
      </c>
      <c r="B115" s="9" t="s">
        <v>45</v>
      </c>
      <c r="C115" s="25" t="s">
        <v>159</v>
      </c>
      <c r="D115" s="19">
        <v>254.14</v>
      </c>
      <c r="E115" s="19">
        <v>257.77</v>
      </c>
      <c r="F115" s="19">
        <v>253.8</v>
      </c>
      <c r="G115" s="19">
        <v>256.14999999999998</v>
      </c>
      <c r="H115" s="19">
        <v>256.14999999999998</v>
      </c>
      <c r="I115" s="15">
        <v>7011495</v>
      </c>
      <c r="J115" s="19">
        <f t="shared" si="7"/>
        <v>0.79090265208152633</v>
      </c>
      <c r="K115" s="19">
        <f t="shared" si="8"/>
        <v>256.2000000000001</v>
      </c>
      <c r="L115" s="19">
        <f t="shared" ref="L115:L178" si="9">AVERAGE(G66:G115)</f>
        <v>253.38659999999996</v>
      </c>
      <c r="M115" s="19">
        <f>MAX(G2:G115)</f>
        <v>264.87</v>
      </c>
      <c r="N115" s="19">
        <f t="shared" si="5"/>
        <v>-3.2921810699588576</v>
      </c>
      <c r="O115" s="9" t="str">
        <f t="shared" si="6"/>
        <v>2024-06</v>
      </c>
    </row>
    <row r="116" spans="1:15" x14ac:dyDescent="0.25">
      <c r="A116" s="9" t="s">
        <v>44</v>
      </c>
      <c r="B116" s="9" t="s">
        <v>45</v>
      </c>
      <c r="C116" s="25" t="s">
        <v>160</v>
      </c>
      <c r="D116" s="19">
        <v>256.14999999999998</v>
      </c>
      <c r="E116" s="19">
        <v>256.60000000000002</v>
      </c>
      <c r="F116" s="19">
        <v>253.88</v>
      </c>
      <c r="G116" s="19">
        <v>254.43</v>
      </c>
      <c r="H116" s="19">
        <v>254.43</v>
      </c>
      <c r="I116" s="15">
        <v>10483810</v>
      </c>
      <c r="J116" s="19">
        <f t="shared" si="7"/>
        <v>-0.6714815537770723</v>
      </c>
      <c r="K116" s="19">
        <f t="shared" si="8"/>
        <v>255.91850000000005</v>
      </c>
      <c r="L116" s="19">
        <f t="shared" si="9"/>
        <v>253.70019999999994</v>
      </c>
      <c r="M116" s="19">
        <f>MAX(G2:G116)</f>
        <v>264.87</v>
      </c>
      <c r="N116" s="19">
        <f t="shared" si="5"/>
        <v>-3.9415562351342159</v>
      </c>
      <c r="O116" s="9" t="str">
        <f t="shared" si="6"/>
        <v>2024-06</v>
      </c>
    </row>
    <row r="117" spans="1:15" x14ac:dyDescent="0.25">
      <c r="A117" s="9" t="s">
        <v>44</v>
      </c>
      <c r="B117" s="9" t="s">
        <v>45</v>
      </c>
      <c r="C117" s="25" t="s">
        <v>161</v>
      </c>
      <c r="D117" s="19">
        <v>254.43</v>
      </c>
      <c r="E117" s="19">
        <v>254.8</v>
      </c>
      <c r="F117" s="19">
        <v>244.98</v>
      </c>
      <c r="G117" s="19">
        <v>246.16</v>
      </c>
      <c r="H117" s="19">
        <v>246.16</v>
      </c>
      <c r="I117" s="15">
        <v>7020619</v>
      </c>
      <c r="J117" s="19">
        <f t="shared" si="7"/>
        <v>-3.2504028612978066</v>
      </c>
      <c r="K117" s="19">
        <f t="shared" si="8"/>
        <v>255.32250000000005</v>
      </c>
      <c r="L117" s="19">
        <f t="shared" si="9"/>
        <v>253.70859999999993</v>
      </c>
      <c r="M117" s="19">
        <f>MAX(G2:G117)</f>
        <v>264.87</v>
      </c>
      <c r="N117" s="19">
        <f t="shared" si="5"/>
        <v>-7.0638426397855589</v>
      </c>
      <c r="O117" s="9" t="str">
        <f t="shared" si="6"/>
        <v>2024-06</v>
      </c>
    </row>
    <row r="118" spans="1:15" x14ac:dyDescent="0.25">
      <c r="A118" s="9" t="s">
        <v>44</v>
      </c>
      <c r="B118" s="9" t="s">
        <v>45</v>
      </c>
      <c r="C118" s="25" t="s">
        <v>162</v>
      </c>
      <c r="D118" s="19">
        <v>246.16</v>
      </c>
      <c r="E118" s="19">
        <v>247.15</v>
      </c>
      <c r="F118" s="19">
        <v>237.78</v>
      </c>
      <c r="G118" s="19">
        <v>238.78</v>
      </c>
      <c r="H118" s="19">
        <v>238.78</v>
      </c>
      <c r="I118" s="15">
        <v>5975492</v>
      </c>
      <c r="J118" s="19">
        <f t="shared" si="7"/>
        <v>-2.9980500487487793</v>
      </c>
      <c r="K118" s="19">
        <f t="shared" si="8"/>
        <v>254.03149999999999</v>
      </c>
      <c r="L118" s="19">
        <f t="shared" si="9"/>
        <v>253.48099999999991</v>
      </c>
      <c r="M118" s="19">
        <f>MAX(G2:G118)</f>
        <v>264.87</v>
      </c>
      <c r="N118" s="19">
        <f t="shared" si="5"/>
        <v>-9.8501151508287101</v>
      </c>
      <c r="O118" s="9" t="str">
        <f t="shared" si="6"/>
        <v>2024-06</v>
      </c>
    </row>
    <row r="119" spans="1:15" x14ac:dyDescent="0.25">
      <c r="A119" s="9" t="s">
        <v>44</v>
      </c>
      <c r="B119" s="9" t="s">
        <v>45</v>
      </c>
      <c r="C119" s="25" t="s">
        <v>163</v>
      </c>
      <c r="D119" s="19">
        <v>238.78</v>
      </c>
      <c r="E119" s="19">
        <v>238.8</v>
      </c>
      <c r="F119" s="19">
        <v>232.49</v>
      </c>
      <c r="G119" s="19">
        <v>233.26</v>
      </c>
      <c r="H119" s="19">
        <v>233.26</v>
      </c>
      <c r="I119" s="15">
        <v>2693275</v>
      </c>
      <c r="J119" s="19">
        <f t="shared" si="7"/>
        <v>-2.3117514029650765</v>
      </c>
      <c r="K119" s="19">
        <f t="shared" si="8"/>
        <v>252.45100000000002</v>
      </c>
      <c r="L119" s="19">
        <f t="shared" si="9"/>
        <v>253.29699999999994</v>
      </c>
      <c r="M119" s="19">
        <f>MAX(G2:G119)</f>
        <v>264.87</v>
      </c>
      <c r="N119" s="19">
        <f t="shared" si="5"/>
        <v>-11.934156378600829</v>
      </c>
      <c r="O119" s="9" t="str">
        <f t="shared" si="6"/>
        <v>2024-06</v>
      </c>
    </row>
    <row r="120" spans="1:15" x14ac:dyDescent="0.25">
      <c r="A120" s="9" t="s">
        <v>44</v>
      </c>
      <c r="B120" s="9" t="s">
        <v>45</v>
      </c>
      <c r="C120" s="25" t="s">
        <v>164</v>
      </c>
      <c r="D120" s="19">
        <v>233.26</v>
      </c>
      <c r="E120" s="19">
        <v>234.95</v>
      </c>
      <c r="F120" s="19">
        <v>233.11</v>
      </c>
      <c r="G120" s="19">
        <v>234.23</v>
      </c>
      <c r="H120" s="19">
        <v>234.23</v>
      </c>
      <c r="I120" s="15">
        <v>9365448</v>
      </c>
      <c r="J120" s="19">
        <f t="shared" si="7"/>
        <v>0.41584497985080981</v>
      </c>
      <c r="K120" s="19">
        <f t="shared" si="8"/>
        <v>251.22999999999996</v>
      </c>
      <c r="L120" s="19">
        <f t="shared" si="9"/>
        <v>253.09939999999992</v>
      </c>
      <c r="M120" s="19">
        <f>MAX(G2:G120)</f>
        <v>264.87</v>
      </c>
      <c r="N120" s="19">
        <f t="shared" si="5"/>
        <v>-11.567938988937975</v>
      </c>
      <c r="O120" s="9" t="str">
        <f t="shared" si="6"/>
        <v>2024-06</v>
      </c>
    </row>
    <row r="121" spans="1:15" x14ac:dyDescent="0.25">
      <c r="A121" s="9" t="s">
        <v>44</v>
      </c>
      <c r="B121" s="9" t="s">
        <v>45</v>
      </c>
      <c r="C121" s="25" t="s">
        <v>165</v>
      </c>
      <c r="D121" s="19">
        <v>234.23</v>
      </c>
      <c r="E121" s="19">
        <v>234.6</v>
      </c>
      <c r="F121" s="19">
        <v>230.71</v>
      </c>
      <c r="G121" s="19">
        <v>231.3</v>
      </c>
      <c r="H121" s="19">
        <v>231.3</v>
      </c>
      <c r="I121" s="15">
        <v>13449662</v>
      </c>
      <c r="J121" s="19">
        <f t="shared" si="7"/>
        <v>-1.250907227938342</v>
      </c>
      <c r="K121" s="19">
        <f t="shared" si="8"/>
        <v>250.06049999999996</v>
      </c>
      <c r="L121" s="19">
        <f t="shared" si="9"/>
        <v>252.79939999999991</v>
      </c>
      <c r="M121" s="19">
        <f>MAX(G2:G121)</f>
        <v>264.87</v>
      </c>
      <c r="N121" s="19">
        <f t="shared" si="5"/>
        <v>-12.674142031940194</v>
      </c>
      <c r="O121" s="9" t="str">
        <f t="shared" si="6"/>
        <v>2024-06</v>
      </c>
    </row>
    <row r="122" spans="1:15" x14ac:dyDescent="0.25">
      <c r="A122" s="9" t="s">
        <v>44</v>
      </c>
      <c r="B122" s="9" t="s">
        <v>45</v>
      </c>
      <c r="C122" s="25" t="s">
        <v>166</v>
      </c>
      <c r="D122" s="19">
        <v>231.3</v>
      </c>
      <c r="E122" s="19">
        <v>232.3</v>
      </c>
      <c r="F122" s="19">
        <v>230.29</v>
      </c>
      <c r="G122" s="19">
        <v>232.06</v>
      </c>
      <c r="H122" s="19">
        <v>232.06</v>
      </c>
      <c r="I122" s="15">
        <v>6039196</v>
      </c>
      <c r="J122" s="19">
        <f t="shared" si="7"/>
        <v>0.32857760484219234</v>
      </c>
      <c r="K122" s="19">
        <f t="shared" si="8"/>
        <v>248.923</v>
      </c>
      <c r="L122" s="19">
        <f t="shared" si="9"/>
        <v>252.56459999999987</v>
      </c>
      <c r="M122" s="19">
        <f>MAX(G2:G122)</f>
        <v>264.87</v>
      </c>
      <c r="N122" s="19">
        <f t="shared" si="5"/>
        <v>-12.387208819420849</v>
      </c>
      <c r="O122" s="9" t="str">
        <f t="shared" si="6"/>
        <v>2024-06</v>
      </c>
    </row>
    <row r="123" spans="1:15" x14ac:dyDescent="0.25">
      <c r="A123" s="9" t="s">
        <v>44</v>
      </c>
      <c r="B123" s="9" t="s">
        <v>45</v>
      </c>
      <c r="C123" s="25" t="s">
        <v>167</v>
      </c>
      <c r="D123" s="19">
        <v>232.06</v>
      </c>
      <c r="E123" s="19">
        <v>237.84</v>
      </c>
      <c r="F123" s="19">
        <v>231.1</v>
      </c>
      <c r="G123" s="19">
        <v>237.46</v>
      </c>
      <c r="H123" s="19">
        <v>237.46</v>
      </c>
      <c r="I123" s="15">
        <v>6775960</v>
      </c>
      <c r="J123" s="19">
        <f t="shared" si="7"/>
        <v>2.3269844005860576</v>
      </c>
      <c r="K123" s="19">
        <f t="shared" si="8"/>
        <v>248.13200000000001</v>
      </c>
      <c r="L123" s="19">
        <f t="shared" si="9"/>
        <v>252.45699999999985</v>
      </c>
      <c r="M123" s="19">
        <f>MAX(G2:G123)</f>
        <v>264.87</v>
      </c>
      <c r="N123" s="19">
        <f t="shared" si="5"/>
        <v>-10.348472835730735</v>
      </c>
      <c r="O123" s="9" t="str">
        <f t="shared" si="6"/>
        <v>2024-06</v>
      </c>
    </row>
    <row r="124" spans="1:15" x14ac:dyDescent="0.25">
      <c r="A124" s="9" t="s">
        <v>44</v>
      </c>
      <c r="B124" s="9" t="s">
        <v>45</v>
      </c>
      <c r="C124" s="25" t="s">
        <v>168</v>
      </c>
      <c r="D124" s="19">
        <v>237.46</v>
      </c>
      <c r="E124" s="19">
        <v>238.39</v>
      </c>
      <c r="F124" s="19">
        <v>236.24</v>
      </c>
      <c r="G124" s="19">
        <v>236.64</v>
      </c>
      <c r="H124" s="19">
        <v>236.64</v>
      </c>
      <c r="I124" s="15">
        <v>6673650</v>
      </c>
      <c r="J124" s="19">
        <f t="shared" si="7"/>
        <v>-0.34532131727449744</v>
      </c>
      <c r="K124" s="19">
        <f t="shared" si="8"/>
        <v>247.1165</v>
      </c>
      <c r="L124" s="19">
        <f t="shared" si="9"/>
        <v>252.29219999999987</v>
      </c>
      <c r="M124" s="19">
        <f>MAX(G2:G124)</f>
        <v>264.87</v>
      </c>
      <c r="N124" s="19">
        <f t="shared" si="5"/>
        <v>-10.658058670291092</v>
      </c>
      <c r="O124" s="9" t="str">
        <f t="shared" si="6"/>
        <v>2024-06</v>
      </c>
    </row>
    <row r="125" spans="1:15" x14ac:dyDescent="0.25">
      <c r="A125" s="9" t="s">
        <v>44</v>
      </c>
      <c r="B125" s="9" t="s">
        <v>45</v>
      </c>
      <c r="C125" s="25" t="s">
        <v>169</v>
      </c>
      <c r="D125" s="19">
        <v>236.64</v>
      </c>
      <c r="E125" s="19">
        <v>241.14</v>
      </c>
      <c r="F125" s="19">
        <v>236.25</v>
      </c>
      <c r="G125" s="19">
        <v>240.2</v>
      </c>
      <c r="H125" s="19">
        <v>240.2</v>
      </c>
      <c r="I125" s="15">
        <v>12504309</v>
      </c>
      <c r="J125" s="19">
        <f t="shared" si="7"/>
        <v>1.504394861392834</v>
      </c>
      <c r="K125" s="19">
        <f t="shared" si="8"/>
        <v>246.34100000000004</v>
      </c>
      <c r="L125" s="19">
        <f t="shared" si="9"/>
        <v>252.22099999999992</v>
      </c>
      <c r="M125" s="19">
        <f>MAX(G2:G125)</f>
        <v>264.87</v>
      </c>
      <c r="N125" s="19">
        <f t="shared" si="5"/>
        <v>-9.314003095858352</v>
      </c>
      <c r="O125" s="9" t="str">
        <f t="shared" si="6"/>
        <v>2024-06</v>
      </c>
    </row>
    <row r="126" spans="1:15" x14ac:dyDescent="0.25">
      <c r="A126" s="9" t="s">
        <v>44</v>
      </c>
      <c r="B126" s="9" t="s">
        <v>45</v>
      </c>
      <c r="C126" s="25" t="s">
        <v>170</v>
      </c>
      <c r="D126" s="19">
        <v>240.2</v>
      </c>
      <c r="E126" s="19">
        <v>241.4</v>
      </c>
      <c r="F126" s="19">
        <v>237.4</v>
      </c>
      <c r="G126" s="19">
        <v>237.56</v>
      </c>
      <c r="H126" s="19">
        <v>237.56</v>
      </c>
      <c r="I126" s="15">
        <v>10005356</v>
      </c>
      <c r="J126" s="19">
        <f t="shared" si="7"/>
        <v>-1.0990840965861726</v>
      </c>
      <c r="K126" s="19">
        <f t="shared" si="8"/>
        <v>245.53950000000003</v>
      </c>
      <c r="L126" s="19">
        <f t="shared" si="9"/>
        <v>252.08699999999988</v>
      </c>
      <c r="M126" s="19">
        <f>MAX(G2:G126)</f>
        <v>264.87</v>
      </c>
      <c r="N126" s="19">
        <f t="shared" si="5"/>
        <v>-10.310718465662401</v>
      </c>
      <c r="O126" s="9" t="str">
        <f t="shared" si="6"/>
        <v>2024-06</v>
      </c>
    </row>
    <row r="127" spans="1:15" x14ac:dyDescent="0.25">
      <c r="A127" s="9" t="s">
        <v>44</v>
      </c>
      <c r="B127" s="9" t="s">
        <v>45</v>
      </c>
      <c r="C127" s="25" t="s">
        <v>171</v>
      </c>
      <c r="D127" s="19">
        <v>237.56</v>
      </c>
      <c r="E127" s="19">
        <v>239.77</v>
      </c>
      <c r="F127" s="19">
        <v>234.27</v>
      </c>
      <c r="G127" s="19">
        <v>234.53</v>
      </c>
      <c r="H127" s="19">
        <v>234.53</v>
      </c>
      <c r="I127" s="15">
        <v>5298826</v>
      </c>
      <c r="J127" s="19">
        <f t="shared" si="7"/>
        <v>-1.2754672503788522</v>
      </c>
      <c r="K127" s="19">
        <f t="shared" si="8"/>
        <v>244.50450000000001</v>
      </c>
      <c r="L127" s="19">
        <f t="shared" si="9"/>
        <v>251.92099999999991</v>
      </c>
      <c r="M127" s="19">
        <f>MAX(G2:G127)</f>
        <v>264.87</v>
      </c>
      <c r="N127" s="19">
        <f t="shared" si="5"/>
        <v>-11.454675878732964</v>
      </c>
      <c r="O127" s="9" t="str">
        <f t="shared" si="6"/>
        <v>2024-06</v>
      </c>
    </row>
    <row r="128" spans="1:15" x14ac:dyDescent="0.25">
      <c r="A128" s="9" t="s">
        <v>44</v>
      </c>
      <c r="B128" s="9" t="s">
        <v>45</v>
      </c>
      <c r="C128" s="25" t="s">
        <v>172</v>
      </c>
      <c r="D128" s="19">
        <v>234.53</v>
      </c>
      <c r="E128" s="19">
        <v>243.4</v>
      </c>
      <c r="F128" s="19">
        <v>232.86</v>
      </c>
      <c r="G128" s="19">
        <v>243.27</v>
      </c>
      <c r="H128" s="19">
        <v>243.27</v>
      </c>
      <c r="I128" s="15">
        <v>9416659</v>
      </c>
      <c r="J128" s="19">
        <f t="shared" si="7"/>
        <v>3.7266021404511194</v>
      </c>
      <c r="K128" s="19">
        <f t="shared" si="8"/>
        <v>243.80300000000005</v>
      </c>
      <c r="L128" s="19">
        <f t="shared" si="9"/>
        <v>251.7673999999999</v>
      </c>
      <c r="M128" s="19">
        <f>MAX(G2:G128)</f>
        <v>264.87</v>
      </c>
      <c r="N128" s="19">
        <f t="shared" si="5"/>
        <v>-8.1549439347604462</v>
      </c>
      <c r="O128" s="9" t="str">
        <f t="shared" si="6"/>
        <v>2024-06</v>
      </c>
    </row>
    <row r="129" spans="1:15" x14ac:dyDescent="0.25">
      <c r="A129" s="9" t="s">
        <v>44</v>
      </c>
      <c r="B129" s="9" t="s">
        <v>45</v>
      </c>
      <c r="C129" s="25" t="s">
        <v>173</v>
      </c>
      <c r="D129" s="19">
        <v>243.27</v>
      </c>
      <c r="E129" s="19">
        <v>244.64</v>
      </c>
      <c r="F129" s="19">
        <v>241.44</v>
      </c>
      <c r="G129" s="19">
        <v>244.21</v>
      </c>
      <c r="H129" s="19">
        <v>244.21</v>
      </c>
      <c r="I129" s="15">
        <v>11229008</v>
      </c>
      <c r="J129" s="19">
        <f t="shared" si="7"/>
        <v>0.38640194023101804</v>
      </c>
      <c r="K129" s="19">
        <f t="shared" si="8"/>
        <v>242.96100000000001</v>
      </c>
      <c r="L129" s="19">
        <f t="shared" si="9"/>
        <v>251.55179999999993</v>
      </c>
      <c r="M129" s="19">
        <f>MAX(G2:G129)</f>
        <v>264.87</v>
      </c>
      <c r="N129" s="19">
        <f t="shared" si="5"/>
        <v>-7.8000528561180946</v>
      </c>
      <c r="O129" s="9" t="str">
        <f t="shared" si="6"/>
        <v>2024-06</v>
      </c>
    </row>
    <row r="130" spans="1:15" x14ac:dyDescent="0.25">
      <c r="A130" s="9" t="s">
        <v>44</v>
      </c>
      <c r="B130" s="9" t="s">
        <v>45</v>
      </c>
      <c r="C130" s="25" t="s">
        <v>174</v>
      </c>
      <c r="D130" s="19">
        <v>244.21</v>
      </c>
      <c r="E130" s="19">
        <v>250.7</v>
      </c>
      <c r="F130" s="19">
        <v>244.12</v>
      </c>
      <c r="G130" s="19">
        <v>250.19</v>
      </c>
      <c r="H130" s="19">
        <v>250.19</v>
      </c>
      <c r="I130" s="15">
        <v>9874575</v>
      </c>
      <c r="J130" s="19">
        <f t="shared" si="7"/>
        <v>2.4487121739486466</v>
      </c>
      <c r="K130" s="19">
        <f t="shared" si="8"/>
        <v>242.7285</v>
      </c>
      <c r="L130" s="19">
        <f t="shared" si="9"/>
        <v>251.37999999999994</v>
      </c>
      <c r="M130" s="19">
        <f>MAX(G2:G130)</f>
        <v>264.87</v>
      </c>
      <c r="N130" s="19">
        <f t="shared" ref="N130:N193" si="10">(G130-M130)/M130*100</f>
        <v>-5.54234152603164</v>
      </c>
      <c r="O130" s="9" t="str">
        <f t="shared" ref="O130:O193" si="11">TEXT(C130,"yyyy-mm")</f>
        <v>2024-06</v>
      </c>
    </row>
    <row r="131" spans="1:15" x14ac:dyDescent="0.25">
      <c r="A131" s="9" t="s">
        <v>44</v>
      </c>
      <c r="B131" s="9" t="s">
        <v>45</v>
      </c>
      <c r="C131" s="25" t="s">
        <v>175</v>
      </c>
      <c r="D131" s="19">
        <v>250.19</v>
      </c>
      <c r="E131" s="19">
        <v>260.42</v>
      </c>
      <c r="F131" s="19">
        <v>250.03</v>
      </c>
      <c r="G131" s="19">
        <v>259.87</v>
      </c>
      <c r="H131" s="19">
        <v>259.87</v>
      </c>
      <c r="I131" s="15">
        <v>6975485</v>
      </c>
      <c r="J131" s="19">
        <f t="shared" ref="J131:J194" si="12">IFERROR((G131-G130)/G130*100,"")</f>
        <v>3.8690595147687787</v>
      </c>
      <c r="K131" s="19">
        <f t="shared" si="8"/>
        <v>243.18999999999997</v>
      </c>
      <c r="L131" s="19">
        <f t="shared" si="9"/>
        <v>251.34439999999998</v>
      </c>
      <c r="M131" s="19">
        <f>MAX(G2:G131)</f>
        <v>264.87</v>
      </c>
      <c r="N131" s="19">
        <f t="shared" si="10"/>
        <v>-1.8877185034167705</v>
      </c>
      <c r="O131" s="9" t="str">
        <f t="shared" si="11"/>
        <v>2024-06</v>
      </c>
    </row>
    <row r="132" spans="1:15" x14ac:dyDescent="0.25">
      <c r="A132" s="9" t="s">
        <v>44</v>
      </c>
      <c r="B132" s="9" t="s">
        <v>45</v>
      </c>
      <c r="C132" s="25" t="s">
        <v>176</v>
      </c>
      <c r="D132" s="19">
        <v>259.87</v>
      </c>
      <c r="E132" s="19">
        <v>261.58999999999997</v>
      </c>
      <c r="F132" s="19">
        <v>255.85</v>
      </c>
      <c r="G132" s="19">
        <v>256.08</v>
      </c>
      <c r="H132" s="19">
        <v>256.08</v>
      </c>
      <c r="I132" s="15">
        <v>9507536</v>
      </c>
      <c r="J132" s="19">
        <f t="shared" si="12"/>
        <v>-1.4584215184515412</v>
      </c>
      <c r="K132" s="19">
        <f t="shared" si="8"/>
        <v>243.61649999999995</v>
      </c>
      <c r="L132" s="19">
        <f t="shared" si="9"/>
        <v>251.36439999999999</v>
      </c>
      <c r="M132" s="19">
        <f>MAX(G2:G132)</f>
        <v>264.87</v>
      </c>
      <c r="N132" s="19">
        <f t="shared" si="10"/>
        <v>-3.3186091290066901</v>
      </c>
      <c r="O132" s="9" t="str">
        <f t="shared" si="11"/>
        <v>2024-07</v>
      </c>
    </row>
    <row r="133" spans="1:15" x14ac:dyDescent="0.25">
      <c r="A133" s="9" t="s">
        <v>44</v>
      </c>
      <c r="B133" s="9" t="s">
        <v>45</v>
      </c>
      <c r="C133" s="25" t="s">
        <v>177</v>
      </c>
      <c r="D133" s="19">
        <v>256.08</v>
      </c>
      <c r="E133" s="19">
        <v>261.97000000000003</v>
      </c>
      <c r="F133" s="19">
        <v>255.82</v>
      </c>
      <c r="G133" s="19">
        <v>261.11</v>
      </c>
      <c r="H133" s="19">
        <v>261.11</v>
      </c>
      <c r="I133" s="15">
        <v>4392456</v>
      </c>
      <c r="J133" s="19">
        <f t="shared" si="12"/>
        <v>1.9642299281474656</v>
      </c>
      <c r="K133" s="19">
        <f t="shared" si="8"/>
        <v>244.08149999999995</v>
      </c>
      <c r="L133" s="19">
        <f t="shared" si="9"/>
        <v>251.66960000000003</v>
      </c>
      <c r="M133" s="19">
        <f>MAX(G2:G133)</f>
        <v>264.87</v>
      </c>
      <c r="N133" s="19">
        <f t="shared" si="10"/>
        <v>-1.4195643145694079</v>
      </c>
      <c r="O133" s="9" t="str">
        <f t="shared" si="11"/>
        <v>2024-07</v>
      </c>
    </row>
    <row r="134" spans="1:15" x14ac:dyDescent="0.25">
      <c r="A134" s="9" t="s">
        <v>44</v>
      </c>
      <c r="B134" s="9" t="s">
        <v>45</v>
      </c>
      <c r="C134" s="25" t="s">
        <v>178</v>
      </c>
      <c r="D134" s="19">
        <v>261.11</v>
      </c>
      <c r="E134" s="19">
        <v>261.39999999999998</v>
      </c>
      <c r="F134" s="19">
        <v>259.47000000000003</v>
      </c>
      <c r="G134" s="19">
        <v>260.31</v>
      </c>
      <c r="H134" s="19">
        <v>260.31</v>
      </c>
      <c r="I134" s="15">
        <v>7622686</v>
      </c>
      <c r="J134" s="19">
        <f t="shared" si="12"/>
        <v>-0.30638428248631283</v>
      </c>
      <c r="K134" s="19">
        <f t="shared" si="8"/>
        <v>244.39000000000001</v>
      </c>
      <c r="L134" s="19">
        <f t="shared" si="9"/>
        <v>251.98899999999998</v>
      </c>
      <c r="M134" s="19">
        <f>MAX(G2:G134)</f>
        <v>264.87</v>
      </c>
      <c r="N134" s="19">
        <f t="shared" si="10"/>
        <v>-1.7215992751160956</v>
      </c>
      <c r="O134" s="9" t="str">
        <f t="shared" si="11"/>
        <v>2024-07</v>
      </c>
    </row>
    <row r="135" spans="1:15" x14ac:dyDescent="0.25">
      <c r="A135" s="9" t="s">
        <v>44</v>
      </c>
      <c r="B135" s="9" t="s">
        <v>45</v>
      </c>
      <c r="C135" s="25" t="s">
        <v>179</v>
      </c>
      <c r="D135" s="19">
        <v>260.31</v>
      </c>
      <c r="E135" s="19">
        <v>266.64</v>
      </c>
      <c r="F135" s="19">
        <v>260.02999999999997</v>
      </c>
      <c r="G135" s="19">
        <v>264.68</v>
      </c>
      <c r="H135" s="19">
        <v>264.68</v>
      </c>
      <c r="I135" s="15">
        <v>5344337</v>
      </c>
      <c r="J135" s="19">
        <f t="shared" si="12"/>
        <v>1.6787676232184721</v>
      </c>
      <c r="K135" s="19">
        <f t="shared" si="8"/>
        <v>244.81649999999999</v>
      </c>
      <c r="L135" s="19">
        <f t="shared" si="9"/>
        <v>252.3152</v>
      </c>
      <c r="M135" s="19">
        <f>MAX(G2:G135)</f>
        <v>264.87</v>
      </c>
      <c r="N135" s="19">
        <f t="shared" si="10"/>
        <v>-7.1733303129836418E-2</v>
      </c>
      <c r="O135" s="9" t="str">
        <f t="shared" si="11"/>
        <v>2024-07</v>
      </c>
    </row>
    <row r="136" spans="1:15" x14ac:dyDescent="0.25">
      <c r="A136" s="9" t="s">
        <v>44</v>
      </c>
      <c r="B136" s="9" t="s">
        <v>45</v>
      </c>
      <c r="C136" s="25" t="s">
        <v>180</v>
      </c>
      <c r="D136" s="19">
        <v>264.68</v>
      </c>
      <c r="E136" s="19">
        <v>275.12</v>
      </c>
      <c r="F136" s="19">
        <v>263.85000000000002</v>
      </c>
      <c r="G136" s="19">
        <v>275.06</v>
      </c>
      <c r="H136" s="19">
        <v>275.06</v>
      </c>
      <c r="I136" s="15">
        <v>9618273</v>
      </c>
      <c r="J136" s="19">
        <f t="shared" si="12"/>
        <v>3.9217167900861396</v>
      </c>
      <c r="K136" s="19">
        <f t="shared" si="8"/>
        <v>245.84800000000004</v>
      </c>
      <c r="L136" s="19">
        <f t="shared" si="9"/>
        <v>252.7304</v>
      </c>
      <c r="M136" s="19">
        <f>MAX(G2:G136)</f>
        <v>275.06</v>
      </c>
      <c r="N136" s="19">
        <f t="shared" si="10"/>
        <v>0</v>
      </c>
      <c r="O136" s="9" t="str">
        <f t="shared" si="11"/>
        <v>2024-07</v>
      </c>
    </row>
    <row r="137" spans="1:15" x14ac:dyDescent="0.25">
      <c r="A137" s="9" t="s">
        <v>44</v>
      </c>
      <c r="B137" s="9" t="s">
        <v>45</v>
      </c>
      <c r="C137" s="25" t="s">
        <v>181</v>
      </c>
      <c r="D137" s="19">
        <v>275.06</v>
      </c>
      <c r="E137" s="19">
        <v>275.23</v>
      </c>
      <c r="F137" s="19">
        <v>274.70999999999998</v>
      </c>
      <c r="G137" s="19">
        <v>274.75</v>
      </c>
      <c r="H137" s="19">
        <v>274.75</v>
      </c>
      <c r="I137" s="15">
        <v>6695780</v>
      </c>
      <c r="J137" s="19">
        <f t="shared" si="12"/>
        <v>-0.11270268305097152</v>
      </c>
      <c r="K137" s="19">
        <f t="shared" si="8"/>
        <v>247.27750000000006</v>
      </c>
      <c r="L137" s="19">
        <f t="shared" si="9"/>
        <v>253.05799999999999</v>
      </c>
      <c r="M137" s="19">
        <f>MAX(G2:G137)</f>
        <v>275.06</v>
      </c>
      <c r="N137" s="19">
        <f t="shared" si="10"/>
        <v>-0.11270268305097152</v>
      </c>
      <c r="O137" s="9" t="str">
        <f t="shared" si="11"/>
        <v>2024-07</v>
      </c>
    </row>
    <row r="138" spans="1:15" x14ac:dyDescent="0.25">
      <c r="A138" s="9" t="s">
        <v>44</v>
      </c>
      <c r="B138" s="9" t="s">
        <v>45</v>
      </c>
      <c r="C138" s="25" t="s">
        <v>182</v>
      </c>
      <c r="D138" s="19">
        <v>274.75</v>
      </c>
      <c r="E138" s="19">
        <v>274.87</v>
      </c>
      <c r="F138" s="19">
        <v>270.47000000000003</v>
      </c>
      <c r="G138" s="19">
        <v>271.98</v>
      </c>
      <c r="H138" s="19">
        <v>271.98</v>
      </c>
      <c r="I138" s="15">
        <v>1617556</v>
      </c>
      <c r="J138" s="19">
        <f t="shared" si="12"/>
        <v>-1.0081892629663265</v>
      </c>
      <c r="K138" s="19">
        <f t="shared" si="8"/>
        <v>248.9375</v>
      </c>
      <c r="L138" s="19">
        <f t="shared" si="9"/>
        <v>253.40180000000001</v>
      </c>
      <c r="M138" s="19">
        <f>MAX(G2:G138)</f>
        <v>275.06</v>
      </c>
      <c r="N138" s="19">
        <f t="shared" si="10"/>
        <v>-1.119755689667703</v>
      </c>
      <c r="O138" s="9" t="str">
        <f t="shared" si="11"/>
        <v>2024-07</v>
      </c>
    </row>
    <row r="139" spans="1:15" x14ac:dyDescent="0.25">
      <c r="A139" s="9" t="s">
        <v>44</v>
      </c>
      <c r="B139" s="9" t="s">
        <v>45</v>
      </c>
      <c r="C139" s="25" t="s">
        <v>183</v>
      </c>
      <c r="D139" s="19">
        <v>271.98</v>
      </c>
      <c r="E139" s="19">
        <v>273.33</v>
      </c>
      <c r="F139" s="19">
        <v>263.3</v>
      </c>
      <c r="G139" s="19">
        <v>263.66000000000003</v>
      </c>
      <c r="H139" s="19">
        <v>263.66000000000003</v>
      </c>
      <c r="I139" s="15">
        <v>7108541</v>
      </c>
      <c r="J139" s="19">
        <f t="shared" si="12"/>
        <v>-3.0590484594455449</v>
      </c>
      <c r="K139" s="19">
        <f t="shared" si="8"/>
        <v>250.45749999999998</v>
      </c>
      <c r="L139" s="19">
        <f t="shared" si="9"/>
        <v>253.50839999999999</v>
      </c>
      <c r="M139" s="19">
        <f>MAX(G2:G139)</f>
        <v>275.06</v>
      </c>
      <c r="N139" s="19">
        <f t="shared" si="10"/>
        <v>-4.1445502799389144</v>
      </c>
      <c r="O139" s="9" t="str">
        <f t="shared" si="11"/>
        <v>2024-07</v>
      </c>
    </row>
    <row r="140" spans="1:15" x14ac:dyDescent="0.25">
      <c r="A140" s="9" t="s">
        <v>44</v>
      </c>
      <c r="B140" s="9" t="s">
        <v>45</v>
      </c>
      <c r="C140" s="25" t="s">
        <v>184</v>
      </c>
      <c r="D140" s="19">
        <v>263.66000000000003</v>
      </c>
      <c r="E140" s="19">
        <v>264.48</v>
      </c>
      <c r="F140" s="19">
        <v>257.88</v>
      </c>
      <c r="G140" s="19">
        <v>258.25</v>
      </c>
      <c r="H140" s="19">
        <v>258.25</v>
      </c>
      <c r="I140" s="15">
        <v>7832984</v>
      </c>
      <c r="J140" s="19">
        <f t="shared" si="12"/>
        <v>-2.0518850034134966</v>
      </c>
      <c r="K140" s="19">
        <f t="shared" si="8"/>
        <v>251.6585</v>
      </c>
      <c r="L140" s="19">
        <f t="shared" si="9"/>
        <v>253.37760000000003</v>
      </c>
      <c r="M140" s="19">
        <f>MAX(G2:G140)</f>
        <v>275.06</v>
      </c>
      <c r="N140" s="19">
        <f t="shared" si="10"/>
        <v>-6.1113938776994123</v>
      </c>
      <c r="O140" s="9" t="str">
        <f t="shared" si="11"/>
        <v>2024-07</v>
      </c>
    </row>
    <row r="141" spans="1:15" x14ac:dyDescent="0.25">
      <c r="A141" s="9" t="s">
        <v>44</v>
      </c>
      <c r="B141" s="9" t="s">
        <v>45</v>
      </c>
      <c r="C141" s="25" t="s">
        <v>185</v>
      </c>
      <c r="D141" s="19">
        <v>258.25</v>
      </c>
      <c r="E141" s="19">
        <v>261.08999999999997</v>
      </c>
      <c r="F141" s="19">
        <v>257.51</v>
      </c>
      <c r="G141" s="19">
        <v>260.29000000000002</v>
      </c>
      <c r="H141" s="19">
        <v>260.29000000000002</v>
      </c>
      <c r="I141" s="15">
        <v>5290275</v>
      </c>
      <c r="J141" s="19">
        <f t="shared" si="12"/>
        <v>0.78993223620523534</v>
      </c>
      <c r="K141" s="19">
        <f t="shared" si="8"/>
        <v>253.10799999999995</v>
      </c>
      <c r="L141" s="19">
        <f t="shared" si="9"/>
        <v>253.30680000000007</v>
      </c>
      <c r="M141" s="19">
        <f>MAX(G2:G141)</f>
        <v>275.06</v>
      </c>
      <c r="N141" s="19">
        <f t="shared" si="10"/>
        <v>-5.3697375118155968</v>
      </c>
      <c r="O141" s="9" t="str">
        <f t="shared" si="11"/>
        <v>2024-07</v>
      </c>
    </row>
    <row r="142" spans="1:15" x14ac:dyDescent="0.25">
      <c r="A142" s="9" t="s">
        <v>44</v>
      </c>
      <c r="B142" s="9" t="s">
        <v>45</v>
      </c>
      <c r="C142" s="25" t="s">
        <v>186</v>
      </c>
      <c r="D142" s="19">
        <v>260.29000000000002</v>
      </c>
      <c r="E142" s="19">
        <v>260.8</v>
      </c>
      <c r="F142" s="19">
        <v>258.02999999999997</v>
      </c>
      <c r="G142" s="19">
        <v>258.39999999999998</v>
      </c>
      <c r="H142" s="19">
        <v>258.39999999999998</v>
      </c>
      <c r="I142" s="15">
        <v>7449881</v>
      </c>
      <c r="J142" s="19">
        <f t="shared" si="12"/>
        <v>-0.72611318145147452</v>
      </c>
      <c r="K142" s="19">
        <f t="shared" si="8"/>
        <v>254.42499999999995</v>
      </c>
      <c r="L142" s="19">
        <f t="shared" si="9"/>
        <v>253.29820000000007</v>
      </c>
      <c r="M142" s="19">
        <f>MAX(G2:G142)</f>
        <v>275.06</v>
      </c>
      <c r="N142" s="19">
        <f t="shared" si="10"/>
        <v>-6.0568603213844341</v>
      </c>
      <c r="O142" s="9" t="str">
        <f t="shared" si="11"/>
        <v>2024-07</v>
      </c>
    </row>
    <row r="143" spans="1:15" x14ac:dyDescent="0.25">
      <c r="A143" s="9" t="s">
        <v>44</v>
      </c>
      <c r="B143" s="9" t="s">
        <v>45</v>
      </c>
      <c r="C143" s="25" t="s">
        <v>187</v>
      </c>
      <c r="D143" s="19">
        <v>258.39999999999998</v>
      </c>
      <c r="E143" s="19">
        <v>262.69</v>
      </c>
      <c r="F143" s="19">
        <v>258.02</v>
      </c>
      <c r="G143" s="19">
        <v>261.70999999999998</v>
      </c>
      <c r="H143" s="19">
        <v>261.70999999999998</v>
      </c>
      <c r="I143" s="15">
        <v>10782391</v>
      </c>
      <c r="J143" s="19">
        <f t="shared" si="12"/>
        <v>1.2809597523219824</v>
      </c>
      <c r="K143" s="19">
        <f t="shared" si="8"/>
        <v>255.63749999999999</v>
      </c>
      <c r="L143" s="19">
        <f t="shared" si="9"/>
        <v>253.29460000000003</v>
      </c>
      <c r="M143" s="19">
        <f>MAX(G2:G143)</f>
        <v>275.06</v>
      </c>
      <c r="N143" s="19">
        <f t="shared" si="10"/>
        <v>-4.8534865120337463</v>
      </c>
      <c r="O143" s="9" t="str">
        <f t="shared" si="11"/>
        <v>2024-07</v>
      </c>
    </row>
    <row r="144" spans="1:15" x14ac:dyDescent="0.25">
      <c r="A144" s="9" t="s">
        <v>44</v>
      </c>
      <c r="B144" s="9" t="s">
        <v>45</v>
      </c>
      <c r="C144" s="25" t="s">
        <v>188</v>
      </c>
      <c r="D144" s="19">
        <v>261.70999999999998</v>
      </c>
      <c r="E144" s="19">
        <v>262.35000000000002</v>
      </c>
      <c r="F144" s="19">
        <v>255.9</v>
      </c>
      <c r="G144" s="19">
        <v>257.62</v>
      </c>
      <c r="H144" s="19">
        <v>257.62</v>
      </c>
      <c r="I144" s="15">
        <v>12235248</v>
      </c>
      <c r="J144" s="19">
        <f t="shared" si="12"/>
        <v>-1.5627985174429617</v>
      </c>
      <c r="K144" s="19">
        <f t="shared" si="8"/>
        <v>256.68649999999997</v>
      </c>
      <c r="L144" s="19">
        <f t="shared" si="9"/>
        <v>253.24780000000007</v>
      </c>
      <c r="M144" s="19">
        <f>MAX(G2:G144)</f>
        <v>275.06</v>
      </c>
      <c r="N144" s="19">
        <f t="shared" si="10"/>
        <v>-6.340434814222351</v>
      </c>
      <c r="O144" s="9" t="str">
        <f t="shared" si="11"/>
        <v>2024-07</v>
      </c>
    </row>
    <row r="145" spans="1:15" x14ac:dyDescent="0.25">
      <c r="A145" s="9" t="s">
        <v>44</v>
      </c>
      <c r="B145" s="9" t="s">
        <v>45</v>
      </c>
      <c r="C145" s="25" t="s">
        <v>189</v>
      </c>
      <c r="D145" s="19">
        <v>257.62</v>
      </c>
      <c r="E145" s="19">
        <v>258.45999999999998</v>
      </c>
      <c r="F145" s="19">
        <v>251.4</v>
      </c>
      <c r="G145" s="19">
        <v>252.98</v>
      </c>
      <c r="H145" s="19">
        <v>252.98</v>
      </c>
      <c r="I145" s="15">
        <v>9454423</v>
      </c>
      <c r="J145" s="19">
        <f t="shared" si="12"/>
        <v>-1.80110239888208</v>
      </c>
      <c r="K145" s="19">
        <f t="shared" si="8"/>
        <v>257.32549999999998</v>
      </c>
      <c r="L145" s="19">
        <f t="shared" si="9"/>
        <v>253.10060000000004</v>
      </c>
      <c r="M145" s="19">
        <f>MAX(G2:G145)</f>
        <v>275.06</v>
      </c>
      <c r="N145" s="19">
        <f t="shared" si="10"/>
        <v>-8.0273394895659163</v>
      </c>
      <c r="O145" s="9" t="str">
        <f t="shared" si="11"/>
        <v>2024-07</v>
      </c>
    </row>
    <row r="146" spans="1:15" x14ac:dyDescent="0.25">
      <c r="A146" s="9" t="s">
        <v>44</v>
      </c>
      <c r="B146" s="9" t="s">
        <v>45</v>
      </c>
      <c r="C146" s="25" t="s">
        <v>190</v>
      </c>
      <c r="D146" s="19">
        <v>252.98</v>
      </c>
      <c r="E146" s="19">
        <v>254.75</v>
      </c>
      <c r="F146" s="19">
        <v>246.53</v>
      </c>
      <c r="G146" s="19">
        <v>248.27</v>
      </c>
      <c r="H146" s="19">
        <v>248.27</v>
      </c>
      <c r="I146" s="15">
        <v>6692186</v>
      </c>
      <c r="J146" s="19">
        <f t="shared" si="12"/>
        <v>-1.8618072574907027</v>
      </c>
      <c r="K146" s="19">
        <f t="shared" si="8"/>
        <v>257.86099999999999</v>
      </c>
      <c r="L146" s="19">
        <f t="shared" si="9"/>
        <v>252.86480000000003</v>
      </c>
      <c r="M146" s="19">
        <f>MAX(G2:G146)</f>
        <v>275.06</v>
      </c>
      <c r="N146" s="19">
        <f t="shared" si="10"/>
        <v>-9.7396931578564647</v>
      </c>
      <c r="O146" s="9" t="str">
        <f t="shared" si="11"/>
        <v>2024-07</v>
      </c>
    </row>
    <row r="147" spans="1:15" x14ac:dyDescent="0.25">
      <c r="A147" s="9" t="s">
        <v>44</v>
      </c>
      <c r="B147" s="9" t="s">
        <v>45</v>
      </c>
      <c r="C147" s="25" t="s">
        <v>191</v>
      </c>
      <c r="D147" s="19">
        <v>248.27</v>
      </c>
      <c r="E147" s="19">
        <v>252.07</v>
      </c>
      <c r="F147" s="19">
        <v>247.91</v>
      </c>
      <c r="G147" s="19">
        <v>252.04</v>
      </c>
      <c r="H147" s="19">
        <v>252.04</v>
      </c>
      <c r="I147" s="15">
        <v>7863330</v>
      </c>
      <c r="J147" s="19">
        <f t="shared" si="12"/>
        <v>1.5185080758851177</v>
      </c>
      <c r="K147" s="19">
        <f t="shared" si="8"/>
        <v>258.73649999999998</v>
      </c>
      <c r="L147" s="19">
        <f t="shared" si="9"/>
        <v>252.74400000000006</v>
      </c>
      <c r="M147" s="19">
        <f>MAX(G2:G147)</f>
        <v>275.06</v>
      </c>
      <c r="N147" s="19">
        <f t="shared" si="10"/>
        <v>-8.3690831091398277</v>
      </c>
      <c r="O147" s="9" t="str">
        <f t="shared" si="11"/>
        <v>2024-07</v>
      </c>
    </row>
    <row r="148" spans="1:15" x14ac:dyDescent="0.25">
      <c r="A148" s="9" t="s">
        <v>44</v>
      </c>
      <c r="B148" s="9" t="s">
        <v>45</v>
      </c>
      <c r="C148" s="25" t="s">
        <v>192</v>
      </c>
      <c r="D148" s="19">
        <v>252.04</v>
      </c>
      <c r="E148" s="19">
        <v>255.08</v>
      </c>
      <c r="F148" s="19">
        <v>251.41</v>
      </c>
      <c r="G148" s="19">
        <v>253.35</v>
      </c>
      <c r="H148" s="19">
        <v>253.35</v>
      </c>
      <c r="I148" s="15">
        <v>6996456</v>
      </c>
      <c r="J148" s="19">
        <f t="shared" si="12"/>
        <v>0.51975876844945335</v>
      </c>
      <c r="K148" s="19">
        <f t="shared" si="8"/>
        <v>259.2405</v>
      </c>
      <c r="L148" s="19">
        <f t="shared" si="9"/>
        <v>252.51900000000006</v>
      </c>
      <c r="M148" s="19">
        <f>MAX(G2:G148)</f>
        <v>275.06</v>
      </c>
      <c r="N148" s="19">
        <f t="shared" si="10"/>
        <v>-7.8928233839889508</v>
      </c>
      <c r="O148" s="9" t="str">
        <f t="shared" si="11"/>
        <v>2024-07</v>
      </c>
    </row>
    <row r="149" spans="1:15" x14ac:dyDescent="0.25">
      <c r="A149" s="9" t="s">
        <v>44</v>
      </c>
      <c r="B149" s="9" t="s">
        <v>45</v>
      </c>
      <c r="C149" s="25" t="s">
        <v>193</v>
      </c>
      <c r="D149" s="19">
        <v>253.35</v>
      </c>
      <c r="E149" s="19">
        <v>253.45</v>
      </c>
      <c r="F149" s="19">
        <v>248.41</v>
      </c>
      <c r="G149" s="19">
        <v>248.61</v>
      </c>
      <c r="H149" s="19">
        <v>248.61</v>
      </c>
      <c r="I149" s="15">
        <v>5651905</v>
      </c>
      <c r="J149" s="19">
        <f t="shared" si="12"/>
        <v>-1.8709295441089326</v>
      </c>
      <c r="K149" s="19">
        <f t="shared" ref="K149:K212" si="13">AVERAGE(G130:G149)</f>
        <v>259.46050000000002</v>
      </c>
      <c r="L149" s="19">
        <f t="shared" si="9"/>
        <v>252.19380000000004</v>
      </c>
      <c r="M149" s="19">
        <f>MAX(G2:G149)</f>
        <v>275.06</v>
      </c>
      <c r="N149" s="19">
        <f t="shared" si="10"/>
        <v>-9.6160837635424965</v>
      </c>
      <c r="O149" s="9" t="str">
        <f t="shared" si="11"/>
        <v>2024-07</v>
      </c>
    </row>
    <row r="150" spans="1:15" x14ac:dyDescent="0.25">
      <c r="A150" s="9" t="s">
        <v>44</v>
      </c>
      <c r="B150" s="9" t="s">
        <v>45</v>
      </c>
      <c r="C150" s="25" t="s">
        <v>194</v>
      </c>
      <c r="D150" s="19">
        <v>248.61</v>
      </c>
      <c r="E150" s="19">
        <v>251.98</v>
      </c>
      <c r="F150" s="19">
        <v>248.14</v>
      </c>
      <c r="G150" s="19">
        <v>250.28</v>
      </c>
      <c r="H150" s="19">
        <v>250.28</v>
      </c>
      <c r="I150" s="15">
        <v>9264649</v>
      </c>
      <c r="J150" s="19">
        <f t="shared" si="12"/>
        <v>0.67173484574232234</v>
      </c>
      <c r="K150" s="19">
        <f t="shared" si="13"/>
        <v>259.46500000000003</v>
      </c>
      <c r="L150" s="19">
        <f t="shared" si="9"/>
        <v>252.02640000000002</v>
      </c>
      <c r="M150" s="19">
        <f>MAX(G2:G150)</f>
        <v>275.06</v>
      </c>
      <c r="N150" s="19">
        <f t="shared" si="10"/>
        <v>-9.008943503235658</v>
      </c>
      <c r="O150" s="9" t="str">
        <f t="shared" si="11"/>
        <v>2024-07</v>
      </c>
    </row>
    <row r="151" spans="1:15" x14ac:dyDescent="0.25">
      <c r="A151" s="9" t="s">
        <v>44</v>
      </c>
      <c r="B151" s="9" t="s">
        <v>45</v>
      </c>
      <c r="C151" s="25" t="s">
        <v>195</v>
      </c>
      <c r="D151" s="19">
        <v>250.28</v>
      </c>
      <c r="E151" s="19">
        <v>258.12</v>
      </c>
      <c r="F151" s="19">
        <v>248.44</v>
      </c>
      <c r="G151" s="19">
        <v>256.51</v>
      </c>
      <c r="H151" s="19">
        <v>256.51</v>
      </c>
      <c r="I151" s="15">
        <v>4929015</v>
      </c>
      <c r="J151" s="19">
        <f t="shared" si="12"/>
        <v>2.489212082467632</v>
      </c>
      <c r="K151" s="19">
        <f t="shared" si="13"/>
        <v>259.29700000000003</v>
      </c>
      <c r="L151" s="19">
        <f t="shared" si="9"/>
        <v>252.06280000000004</v>
      </c>
      <c r="M151" s="19">
        <f>MAX(G2:G151)</f>
        <v>275.06</v>
      </c>
      <c r="N151" s="19">
        <f t="shared" si="10"/>
        <v>-6.7439831309532501</v>
      </c>
      <c r="O151" s="9" t="str">
        <f t="shared" si="11"/>
        <v>2024-07</v>
      </c>
    </row>
    <row r="152" spans="1:15" x14ac:dyDescent="0.25">
      <c r="A152" s="9" t="s">
        <v>44</v>
      </c>
      <c r="B152" s="9" t="s">
        <v>45</v>
      </c>
      <c r="C152" s="25" t="s">
        <v>196</v>
      </c>
      <c r="D152" s="19">
        <v>256.51</v>
      </c>
      <c r="E152" s="19">
        <v>256.54000000000002</v>
      </c>
      <c r="F152" s="19">
        <v>253.91</v>
      </c>
      <c r="G152" s="19">
        <v>254.26</v>
      </c>
      <c r="H152" s="19">
        <v>254.26</v>
      </c>
      <c r="I152" s="15">
        <v>8476540</v>
      </c>
      <c r="J152" s="19">
        <f t="shared" si="12"/>
        <v>-0.87715878523254454</v>
      </c>
      <c r="K152" s="19">
        <f t="shared" si="13"/>
        <v>259.20600000000002</v>
      </c>
      <c r="L152" s="19">
        <f t="shared" si="9"/>
        <v>252.05180000000004</v>
      </c>
      <c r="M152" s="19">
        <f>MAX(G2:G152)</f>
        <v>275.06</v>
      </c>
      <c r="N152" s="19">
        <f t="shared" si="10"/>
        <v>-7.5619864756780384</v>
      </c>
      <c r="O152" s="9" t="str">
        <f t="shared" si="11"/>
        <v>2024-07</v>
      </c>
    </row>
    <row r="153" spans="1:15" x14ac:dyDescent="0.25">
      <c r="A153" s="9" t="s">
        <v>44</v>
      </c>
      <c r="B153" s="9" t="s">
        <v>45</v>
      </c>
      <c r="C153" s="25" t="s">
        <v>197</v>
      </c>
      <c r="D153" s="19">
        <v>254.26</v>
      </c>
      <c r="E153" s="19">
        <v>254.85</v>
      </c>
      <c r="F153" s="19">
        <v>248.03</v>
      </c>
      <c r="G153" s="19">
        <v>248.94</v>
      </c>
      <c r="H153" s="19">
        <v>248.94</v>
      </c>
      <c r="I153" s="15">
        <v>4755956</v>
      </c>
      <c r="J153" s="19">
        <f t="shared" si="12"/>
        <v>-2.0923464170534074</v>
      </c>
      <c r="K153" s="19">
        <f t="shared" si="13"/>
        <v>258.59749999999997</v>
      </c>
      <c r="L153" s="19">
        <f t="shared" si="9"/>
        <v>251.96500000000006</v>
      </c>
      <c r="M153" s="19">
        <f>MAX(G2:G153)</f>
        <v>275.06</v>
      </c>
      <c r="N153" s="19">
        <f t="shared" si="10"/>
        <v>-9.4961099396495321</v>
      </c>
      <c r="O153" s="9" t="str">
        <f t="shared" si="11"/>
        <v>2024-07</v>
      </c>
    </row>
    <row r="154" spans="1:15" x14ac:dyDescent="0.25">
      <c r="A154" s="9" t="s">
        <v>44</v>
      </c>
      <c r="B154" s="9" t="s">
        <v>45</v>
      </c>
      <c r="C154" s="25" t="s">
        <v>198</v>
      </c>
      <c r="D154" s="19">
        <v>248.94</v>
      </c>
      <c r="E154" s="19">
        <v>249.99</v>
      </c>
      <c r="F154" s="19">
        <v>243.41</v>
      </c>
      <c r="G154" s="19">
        <v>245.45</v>
      </c>
      <c r="H154" s="19">
        <v>245.45</v>
      </c>
      <c r="I154" s="15">
        <v>7269071</v>
      </c>
      <c r="J154" s="19">
        <f t="shared" si="12"/>
        <v>-1.4019442435928373</v>
      </c>
      <c r="K154" s="19">
        <f t="shared" si="13"/>
        <v>257.85450000000003</v>
      </c>
      <c r="L154" s="19">
        <f t="shared" si="9"/>
        <v>251.7350000000001</v>
      </c>
      <c r="M154" s="19">
        <f>MAX(G2:G154)</f>
        <v>275.06</v>
      </c>
      <c r="N154" s="19">
        <f t="shared" si="10"/>
        <v>-10.764924016578206</v>
      </c>
      <c r="O154" s="9" t="str">
        <f t="shared" si="11"/>
        <v>2024-07</v>
      </c>
    </row>
    <row r="155" spans="1:15" x14ac:dyDescent="0.25">
      <c r="A155" s="9" t="s">
        <v>44</v>
      </c>
      <c r="B155" s="9" t="s">
        <v>45</v>
      </c>
      <c r="C155" s="25" t="s">
        <v>199</v>
      </c>
      <c r="D155" s="19">
        <v>245.45</v>
      </c>
      <c r="E155" s="19">
        <v>246.12</v>
      </c>
      <c r="F155" s="19">
        <v>244.88</v>
      </c>
      <c r="G155" s="19">
        <v>245.95</v>
      </c>
      <c r="H155" s="19">
        <v>245.95</v>
      </c>
      <c r="I155" s="15">
        <v>8292823</v>
      </c>
      <c r="J155" s="19">
        <f t="shared" si="12"/>
        <v>0.20370747606437159</v>
      </c>
      <c r="K155" s="19">
        <f t="shared" si="13"/>
        <v>256.91800000000001</v>
      </c>
      <c r="L155" s="19">
        <f t="shared" si="9"/>
        <v>251.53980000000013</v>
      </c>
      <c r="M155" s="19">
        <f>MAX(G2:G155)</f>
        <v>275.06</v>
      </c>
      <c r="N155" s="19">
        <f t="shared" si="10"/>
        <v>-10.583145495528253</v>
      </c>
      <c r="O155" s="9" t="str">
        <f t="shared" si="11"/>
        <v>2024-08</v>
      </c>
    </row>
    <row r="156" spans="1:15" x14ac:dyDescent="0.25">
      <c r="A156" s="9" t="s">
        <v>44</v>
      </c>
      <c r="B156" s="9" t="s">
        <v>45</v>
      </c>
      <c r="C156" s="25" t="s">
        <v>200</v>
      </c>
      <c r="D156" s="19">
        <v>245.95</v>
      </c>
      <c r="E156" s="19">
        <v>255.64</v>
      </c>
      <c r="F156" s="19">
        <v>245.6</v>
      </c>
      <c r="G156" s="19">
        <v>255.54</v>
      </c>
      <c r="H156" s="19">
        <v>255.54</v>
      </c>
      <c r="I156" s="15">
        <v>8582049</v>
      </c>
      <c r="J156" s="19">
        <f t="shared" si="12"/>
        <v>3.8991664972555413</v>
      </c>
      <c r="K156" s="19">
        <f t="shared" si="13"/>
        <v>255.94199999999995</v>
      </c>
      <c r="L156" s="19">
        <f t="shared" si="9"/>
        <v>251.57880000000014</v>
      </c>
      <c r="M156" s="19">
        <f>MAX(G2:G156)</f>
        <v>275.06</v>
      </c>
      <c r="N156" s="19">
        <f t="shared" si="10"/>
        <v>-7.0966334617901587</v>
      </c>
      <c r="O156" s="9" t="str">
        <f t="shared" si="11"/>
        <v>2024-08</v>
      </c>
    </row>
    <row r="157" spans="1:15" x14ac:dyDescent="0.25">
      <c r="A157" s="9" t="s">
        <v>44</v>
      </c>
      <c r="B157" s="9" t="s">
        <v>45</v>
      </c>
      <c r="C157" s="25" t="s">
        <v>201</v>
      </c>
      <c r="D157" s="19">
        <v>255.54</v>
      </c>
      <c r="E157" s="19">
        <v>256.73</v>
      </c>
      <c r="F157" s="19">
        <v>254.9</v>
      </c>
      <c r="G157" s="19">
        <v>256.38</v>
      </c>
      <c r="H157" s="19">
        <v>256.38</v>
      </c>
      <c r="I157" s="15">
        <v>12349876</v>
      </c>
      <c r="J157" s="19">
        <f t="shared" si="12"/>
        <v>0.32871566095327676</v>
      </c>
      <c r="K157" s="19">
        <f t="shared" si="13"/>
        <v>255.02349999999996</v>
      </c>
      <c r="L157" s="19">
        <f t="shared" si="9"/>
        <v>251.60180000000011</v>
      </c>
      <c r="M157" s="19">
        <f>MAX(G2:G157)</f>
        <v>275.06</v>
      </c>
      <c r="N157" s="19">
        <f t="shared" si="10"/>
        <v>-6.7912455464262358</v>
      </c>
      <c r="O157" s="9" t="str">
        <f t="shared" si="11"/>
        <v>2024-08</v>
      </c>
    </row>
    <row r="158" spans="1:15" x14ac:dyDescent="0.25">
      <c r="A158" s="9" t="s">
        <v>44</v>
      </c>
      <c r="B158" s="9" t="s">
        <v>45</v>
      </c>
      <c r="C158" s="25" t="s">
        <v>202</v>
      </c>
      <c r="D158" s="19">
        <v>256.38</v>
      </c>
      <c r="E158" s="19">
        <v>259.83999999999997</v>
      </c>
      <c r="F158" s="19">
        <v>255.27</v>
      </c>
      <c r="G158" s="19">
        <v>259.26</v>
      </c>
      <c r="H158" s="19">
        <v>259.26</v>
      </c>
      <c r="I158" s="15">
        <v>10230758</v>
      </c>
      <c r="J158" s="19">
        <f t="shared" si="12"/>
        <v>1.1233325532412808</v>
      </c>
      <c r="K158" s="19">
        <f t="shared" si="13"/>
        <v>254.38750000000005</v>
      </c>
      <c r="L158" s="19">
        <f t="shared" si="9"/>
        <v>251.64100000000013</v>
      </c>
      <c r="M158" s="19">
        <f>MAX(G2:G158)</f>
        <v>275.06</v>
      </c>
      <c r="N158" s="19">
        <f t="shared" si="10"/>
        <v>-5.7442012651785106</v>
      </c>
      <c r="O158" s="9" t="str">
        <f t="shared" si="11"/>
        <v>2024-08</v>
      </c>
    </row>
    <row r="159" spans="1:15" x14ac:dyDescent="0.25">
      <c r="A159" s="9" t="s">
        <v>44</v>
      </c>
      <c r="B159" s="9" t="s">
        <v>45</v>
      </c>
      <c r="C159" s="25" t="s">
        <v>203</v>
      </c>
      <c r="D159" s="19">
        <v>259.26</v>
      </c>
      <c r="E159" s="19">
        <v>260.45</v>
      </c>
      <c r="F159" s="19">
        <v>252.48</v>
      </c>
      <c r="G159" s="19">
        <v>252.56</v>
      </c>
      <c r="H159" s="19">
        <v>252.56</v>
      </c>
      <c r="I159" s="15">
        <v>9489613</v>
      </c>
      <c r="J159" s="19">
        <f t="shared" si="12"/>
        <v>-2.5842783306333366</v>
      </c>
      <c r="K159" s="19">
        <f t="shared" si="13"/>
        <v>253.83250000000007</v>
      </c>
      <c r="L159" s="19">
        <f t="shared" si="9"/>
        <v>251.4712000000001</v>
      </c>
      <c r="M159" s="19">
        <f>MAX(G2:G159)</f>
        <v>275.06</v>
      </c>
      <c r="N159" s="19">
        <f t="shared" si="10"/>
        <v>-8.1800334472478724</v>
      </c>
      <c r="O159" s="9" t="str">
        <f t="shared" si="11"/>
        <v>2024-08</v>
      </c>
    </row>
    <row r="160" spans="1:15" x14ac:dyDescent="0.25">
      <c r="A160" s="9" t="s">
        <v>44</v>
      </c>
      <c r="B160" s="9" t="s">
        <v>45</v>
      </c>
      <c r="C160" s="25" t="s">
        <v>204</v>
      </c>
      <c r="D160" s="19">
        <v>252.56</v>
      </c>
      <c r="E160" s="19">
        <v>254.74</v>
      </c>
      <c r="F160" s="19">
        <v>251.73</v>
      </c>
      <c r="G160" s="19">
        <v>253.38</v>
      </c>
      <c r="H160" s="19">
        <v>253.38</v>
      </c>
      <c r="I160" s="15">
        <v>9484788</v>
      </c>
      <c r="J160" s="19">
        <f t="shared" si="12"/>
        <v>0.32467532467532195</v>
      </c>
      <c r="K160" s="19">
        <f t="shared" si="13"/>
        <v>253.58900000000003</v>
      </c>
      <c r="L160" s="19">
        <f t="shared" si="9"/>
        <v>251.44200000000009</v>
      </c>
      <c r="M160" s="19">
        <f>MAX(G2:G160)</f>
        <v>275.06</v>
      </c>
      <c r="N160" s="19">
        <f t="shared" si="10"/>
        <v>-7.8819166727259526</v>
      </c>
      <c r="O160" s="9" t="str">
        <f t="shared" si="11"/>
        <v>2024-08</v>
      </c>
    </row>
    <row r="161" spans="1:15" x14ac:dyDescent="0.25">
      <c r="A161" s="9" t="s">
        <v>44</v>
      </c>
      <c r="B161" s="9" t="s">
        <v>45</v>
      </c>
      <c r="C161" s="25" t="s">
        <v>205</v>
      </c>
      <c r="D161" s="19">
        <v>253.38</v>
      </c>
      <c r="E161" s="19">
        <v>259.52</v>
      </c>
      <c r="F161" s="19">
        <v>253.31</v>
      </c>
      <c r="G161" s="19">
        <v>258.42</v>
      </c>
      <c r="H161" s="19">
        <v>258.42</v>
      </c>
      <c r="I161" s="15">
        <v>4013693</v>
      </c>
      <c r="J161" s="19">
        <f t="shared" si="12"/>
        <v>1.9891072697134817</v>
      </c>
      <c r="K161" s="19">
        <f t="shared" si="13"/>
        <v>253.49549999999999</v>
      </c>
      <c r="L161" s="19">
        <f t="shared" si="9"/>
        <v>251.59760000000009</v>
      </c>
      <c r="M161" s="19">
        <f>MAX(G2:G161)</f>
        <v>275.06</v>
      </c>
      <c r="N161" s="19">
        <f t="shared" si="10"/>
        <v>-6.049589180542422</v>
      </c>
      <c r="O161" s="9" t="str">
        <f t="shared" si="11"/>
        <v>2024-08</v>
      </c>
    </row>
    <row r="162" spans="1:15" x14ac:dyDescent="0.25">
      <c r="A162" s="9" t="s">
        <v>44</v>
      </c>
      <c r="B162" s="9" t="s">
        <v>45</v>
      </c>
      <c r="C162" s="25" t="s">
        <v>206</v>
      </c>
      <c r="D162" s="19">
        <v>258.42</v>
      </c>
      <c r="E162" s="19">
        <v>260.45999999999998</v>
      </c>
      <c r="F162" s="19">
        <v>257.58</v>
      </c>
      <c r="G162" s="19">
        <v>260.24</v>
      </c>
      <c r="H162" s="19">
        <v>260.24</v>
      </c>
      <c r="I162" s="15">
        <v>8321234</v>
      </c>
      <c r="J162" s="19">
        <f t="shared" si="12"/>
        <v>0.70427985450042296</v>
      </c>
      <c r="K162" s="19">
        <f t="shared" si="13"/>
        <v>253.58750000000001</v>
      </c>
      <c r="L162" s="19">
        <f t="shared" si="9"/>
        <v>251.85140000000007</v>
      </c>
      <c r="M162" s="19">
        <f>MAX(G2:G162)</f>
        <v>275.06</v>
      </c>
      <c r="N162" s="19">
        <f t="shared" si="10"/>
        <v>-5.3879153639205963</v>
      </c>
      <c r="O162" s="9" t="str">
        <f t="shared" si="11"/>
        <v>2024-08</v>
      </c>
    </row>
    <row r="163" spans="1:15" x14ac:dyDescent="0.25">
      <c r="A163" s="9" t="s">
        <v>44</v>
      </c>
      <c r="B163" s="9" t="s">
        <v>45</v>
      </c>
      <c r="C163" s="25" t="s">
        <v>207</v>
      </c>
      <c r="D163" s="19">
        <v>260.24</v>
      </c>
      <c r="E163" s="19">
        <v>262.37</v>
      </c>
      <c r="F163" s="19">
        <v>260.2</v>
      </c>
      <c r="G163" s="19">
        <v>262.14</v>
      </c>
      <c r="H163" s="19">
        <v>262.14</v>
      </c>
      <c r="I163" s="15">
        <v>9635601</v>
      </c>
      <c r="J163" s="19">
        <f t="shared" si="12"/>
        <v>0.73009529664923811</v>
      </c>
      <c r="K163" s="19">
        <f t="shared" si="13"/>
        <v>253.60899999999998</v>
      </c>
      <c r="L163" s="19">
        <f t="shared" si="9"/>
        <v>252.05800000000002</v>
      </c>
      <c r="M163" s="19">
        <f>MAX(G2:G163)</f>
        <v>275.06</v>
      </c>
      <c r="N163" s="19">
        <f t="shared" si="10"/>
        <v>-4.6971569839307845</v>
      </c>
      <c r="O163" s="9" t="str">
        <f t="shared" si="11"/>
        <v>2024-08</v>
      </c>
    </row>
    <row r="164" spans="1:15" x14ac:dyDescent="0.25">
      <c r="A164" s="9" t="s">
        <v>44</v>
      </c>
      <c r="B164" s="9" t="s">
        <v>45</v>
      </c>
      <c r="C164" s="25" t="s">
        <v>208</v>
      </c>
      <c r="D164" s="19">
        <v>262.14</v>
      </c>
      <c r="E164" s="19">
        <v>262.44</v>
      </c>
      <c r="F164" s="19">
        <v>260.67</v>
      </c>
      <c r="G164" s="19">
        <v>262.41000000000003</v>
      </c>
      <c r="H164" s="19">
        <v>262.41000000000003</v>
      </c>
      <c r="I164" s="15">
        <v>9202480</v>
      </c>
      <c r="J164" s="19">
        <f t="shared" si="12"/>
        <v>0.10299839780271559</v>
      </c>
      <c r="K164" s="19">
        <f t="shared" si="13"/>
        <v>253.84849999999997</v>
      </c>
      <c r="L164" s="19">
        <f t="shared" si="9"/>
        <v>252.22340000000003</v>
      </c>
      <c r="M164" s="19">
        <f>MAX(G2:G164)</f>
        <v>275.06</v>
      </c>
      <c r="N164" s="19">
        <f t="shared" si="10"/>
        <v>-4.598996582563796</v>
      </c>
      <c r="O164" s="9" t="str">
        <f t="shared" si="11"/>
        <v>2024-08</v>
      </c>
    </row>
    <row r="165" spans="1:15" x14ac:dyDescent="0.25">
      <c r="A165" s="9" t="s">
        <v>44</v>
      </c>
      <c r="B165" s="9" t="s">
        <v>45</v>
      </c>
      <c r="C165" s="25" t="s">
        <v>209</v>
      </c>
      <c r="D165" s="19">
        <v>262.41000000000003</v>
      </c>
      <c r="E165" s="19">
        <v>263.75</v>
      </c>
      <c r="F165" s="19">
        <v>258.27</v>
      </c>
      <c r="G165" s="19">
        <v>258.47000000000003</v>
      </c>
      <c r="H165" s="19">
        <v>258.47000000000003</v>
      </c>
      <c r="I165" s="15">
        <v>6944645</v>
      </c>
      <c r="J165" s="19">
        <f t="shared" si="12"/>
        <v>-1.5014671696962758</v>
      </c>
      <c r="K165" s="19">
        <f t="shared" si="13"/>
        <v>254.12300000000005</v>
      </c>
      <c r="L165" s="19">
        <f t="shared" si="9"/>
        <v>252.26980000000003</v>
      </c>
      <c r="M165" s="19">
        <f>MAX(G2:G165)</f>
        <v>275.06</v>
      </c>
      <c r="N165" s="19">
        <f t="shared" si="10"/>
        <v>-6.0314113284374224</v>
      </c>
      <c r="O165" s="9" t="str">
        <f t="shared" si="11"/>
        <v>2024-08</v>
      </c>
    </row>
    <row r="166" spans="1:15" x14ac:dyDescent="0.25">
      <c r="A166" s="9" t="s">
        <v>44</v>
      </c>
      <c r="B166" s="9" t="s">
        <v>45</v>
      </c>
      <c r="C166" s="25" t="s">
        <v>210</v>
      </c>
      <c r="D166" s="19">
        <v>258.47000000000003</v>
      </c>
      <c r="E166" s="19">
        <v>264.44</v>
      </c>
      <c r="F166" s="19">
        <v>257.57</v>
      </c>
      <c r="G166" s="19">
        <v>264.23</v>
      </c>
      <c r="H166" s="19">
        <v>264.23</v>
      </c>
      <c r="I166" s="15">
        <v>8679277</v>
      </c>
      <c r="J166" s="19">
        <f t="shared" si="12"/>
        <v>2.2284984717762182</v>
      </c>
      <c r="K166" s="19">
        <f t="shared" si="13"/>
        <v>254.92099999999999</v>
      </c>
      <c r="L166" s="19">
        <f t="shared" si="9"/>
        <v>252.46580000000003</v>
      </c>
      <c r="M166" s="19">
        <f>MAX(G2:G166)</f>
        <v>275.06</v>
      </c>
      <c r="N166" s="19">
        <f t="shared" si="10"/>
        <v>-3.9373227659419703</v>
      </c>
      <c r="O166" s="9" t="str">
        <f t="shared" si="11"/>
        <v>2024-08</v>
      </c>
    </row>
    <row r="167" spans="1:15" x14ac:dyDescent="0.25">
      <c r="A167" s="9" t="s">
        <v>44</v>
      </c>
      <c r="B167" s="9" t="s">
        <v>45</v>
      </c>
      <c r="C167" s="25" t="s">
        <v>211</v>
      </c>
      <c r="D167" s="19">
        <v>264.23</v>
      </c>
      <c r="E167" s="19">
        <v>264.85000000000002</v>
      </c>
      <c r="F167" s="19">
        <v>258.95999999999998</v>
      </c>
      <c r="G167" s="19">
        <v>259.04000000000002</v>
      </c>
      <c r="H167" s="19">
        <v>259.04000000000002</v>
      </c>
      <c r="I167" s="15">
        <v>10557152</v>
      </c>
      <c r="J167" s="19">
        <f t="shared" si="12"/>
        <v>-1.9641978579268051</v>
      </c>
      <c r="K167" s="19">
        <f t="shared" si="13"/>
        <v>255.27100000000004</v>
      </c>
      <c r="L167" s="19">
        <f t="shared" si="9"/>
        <v>252.7234</v>
      </c>
      <c r="M167" s="19">
        <f>MAX(G2:G167)</f>
        <v>275.06</v>
      </c>
      <c r="N167" s="19">
        <f t="shared" si="10"/>
        <v>-5.8241838144404792</v>
      </c>
      <c r="O167" s="9" t="str">
        <f t="shared" si="11"/>
        <v>2024-08</v>
      </c>
    </row>
    <row r="168" spans="1:15" x14ac:dyDescent="0.25">
      <c r="A168" s="9" t="s">
        <v>44</v>
      </c>
      <c r="B168" s="9" t="s">
        <v>45</v>
      </c>
      <c r="C168" s="25" t="s">
        <v>212</v>
      </c>
      <c r="D168" s="19">
        <v>259.04000000000002</v>
      </c>
      <c r="E168" s="19">
        <v>260.5</v>
      </c>
      <c r="F168" s="19">
        <v>256.24</v>
      </c>
      <c r="G168" s="19">
        <v>257.19</v>
      </c>
      <c r="H168" s="19">
        <v>257.19</v>
      </c>
      <c r="I168" s="15">
        <v>8753268</v>
      </c>
      <c r="J168" s="19">
        <f t="shared" si="12"/>
        <v>-0.71417541692403586</v>
      </c>
      <c r="K168" s="19">
        <f t="shared" si="13"/>
        <v>255.46300000000002</v>
      </c>
      <c r="L168" s="19">
        <f t="shared" si="9"/>
        <v>253.0916</v>
      </c>
      <c r="M168" s="19">
        <f>MAX(G2:G168)</f>
        <v>275.06</v>
      </c>
      <c r="N168" s="19">
        <f t="shared" si="10"/>
        <v>-6.4967643423253119</v>
      </c>
      <c r="O168" s="9" t="str">
        <f t="shared" si="11"/>
        <v>2024-08</v>
      </c>
    </row>
    <row r="169" spans="1:15" x14ac:dyDescent="0.25">
      <c r="A169" s="9" t="s">
        <v>44</v>
      </c>
      <c r="B169" s="9" t="s">
        <v>45</v>
      </c>
      <c r="C169" s="25" t="s">
        <v>213</v>
      </c>
      <c r="D169" s="19">
        <v>257.19</v>
      </c>
      <c r="E169" s="19">
        <v>259</v>
      </c>
      <c r="F169" s="19">
        <v>250.43</v>
      </c>
      <c r="G169" s="19">
        <v>250.85</v>
      </c>
      <c r="H169" s="19">
        <v>250.85</v>
      </c>
      <c r="I169" s="15">
        <v>7323716</v>
      </c>
      <c r="J169" s="19">
        <f t="shared" si="12"/>
        <v>-2.4651036198919103</v>
      </c>
      <c r="K169" s="19">
        <f t="shared" si="13"/>
        <v>255.57499999999999</v>
      </c>
      <c r="L169" s="19">
        <f t="shared" si="9"/>
        <v>253.4434</v>
      </c>
      <c r="M169" s="19">
        <f>MAX(G2:G169)</f>
        <v>275.06</v>
      </c>
      <c r="N169" s="19">
        <f t="shared" si="10"/>
        <v>-8.8017159892387156</v>
      </c>
      <c r="O169" s="9" t="str">
        <f t="shared" si="11"/>
        <v>2024-08</v>
      </c>
    </row>
    <row r="170" spans="1:15" x14ac:dyDescent="0.25">
      <c r="A170" s="9" t="s">
        <v>44</v>
      </c>
      <c r="B170" s="9" t="s">
        <v>45</v>
      </c>
      <c r="C170" s="25" t="s">
        <v>214</v>
      </c>
      <c r="D170" s="19">
        <v>250.85</v>
      </c>
      <c r="E170" s="19">
        <v>251.78</v>
      </c>
      <c r="F170" s="19">
        <v>244.04</v>
      </c>
      <c r="G170" s="19">
        <v>245.95</v>
      </c>
      <c r="H170" s="19">
        <v>245.95</v>
      </c>
      <c r="I170" s="15">
        <v>5102250</v>
      </c>
      <c r="J170" s="19">
        <f t="shared" si="12"/>
        <v>-1.9533585808251968</v>
      </c>
      <c r="K170" s="19">
        <f t="shared" si="13"/>
        <v>255.35849999999999</v>
      </c>
      <c r="L170" s="19">
        <f t="shared" si="9"/>
        <v>253.67780000000002</v>
      </c>
      <c r="M170" s="19">
        <f>MAX(G2:G170)</f>
        <v>275.06</v>
      </c>
      <c r="N170" s="19">
        <f t="shared" si="10"/>
        <v>-10.583145495528253</v>
      </c>
      <c r="O170" s="9" t="str">
        <f t="shared" si="11"/>
        <v>2024-08</v>
      </c>
    </row>
    <row r="171" spans="1:15" x14ac:dyDescent="0.25">
      <c r="A171" s="9" t="s">
        <v>44</v>
      </c>
      <c r="B171" s="9" t="s">
        <v>45</v>
      </c>
      <c r="C171" s="25" t="s">
        <v>215</v>
      </c>
      <c r="D171" s="19">
        <v>245.95</v>
      </c>
      <c r="E171" s="19">
        <v>246.62</v>
      </c>
      <c r="F171" s="19">
        <v>241.19</v>
      </c>
      <c r="G171" s="19">
        <v>242.14</v>
      </c>
      <c r="H171" s="19">
        <v>242.14</v>
      </c>
      <c r="I171" s="15">
        <v>7486426</v>
      </c>
      <c r="J171" s="19">
        <f t="shared" si="12"/>
        <v>-1.5490953445822333</v>
      </c>
      <c r="K171" s="19">
        <f t="shared" si="13"/>
        <v>254.64000000000001</v>
      </c>
      <c r="L171" s="19">
        <f t="shared" si="9"/>
        <v>253.89459999999997</v>
      </c>
      <c r="M171" s="19">
        <f>MAX(G2:G171)</f>
        <v>275.06</v>
      </c>
      <c r="N171" s="19">
        <f t="shared" si="10"/>
        <v>-11.968297825928893</v>
      </c>
      <c r="O171" s="9" t="str">
        <f t="shared" si="11"/>
        <v>2024-08</v>
      </c>
    </row>
    <row r="172" spans="1:15" x14ac:dyDescent="0.25">
      <c r="A172" s="9" t="s">
        <v>44</v>
      </c>
      <c r="B172" s="9" t="s">
        <v>45</v>
      </c>
      <c r="C172" s="25" t="s">
        <v>216</v>
      </c>
      <c r="D172" s="19">
        <v>242.14</v>
      </c>
      <c r="E172" s="19">
        <v>242.8</v>
      </c>
      <c r="F172" s="19">
        <v>240.98</v>
      </c>
      <c r="G172" s="19">
        <v>242.11</v>
      </c>
      <c r="H172" s="19">
        <v>242.11</v>
      </c>
      <c r="I172" s="15">
        <v>11890660</v>
      </c>
      <c r="J172" s="19">
        <f t="shared" si="12"/>
        <v>-1.2389526720068026E-2</v>
      </c>
      <c r="K172" s="19">
        <f t="shared" si="13"/>
        <v>254.03249999999997</v>
      </c>
      <c r="L172" s="19">
        <f t="shared" si="9"/>
        <v>254.09559999999999</v>
      </c>
      <c r="M172" s="19">
        <f>MAX(G2:G172)</f>
        <v>275.06</v>
      </c>
      <c r="N172" s="19">
        <f t="shared" si="10"/>
        <v>-11.979204537191881</v>
      </c>
      <c r="O172" s="9" t="str">
        <f t="shared" si="11"/>
        <v>2024-08</v>
      </c>
    </row>
    <row r="173" spans="1:15" x14ac:dyDescent="0.25">
      <c r="A173" s="9" t="s">
        <v>44</v>
      </c>
      <c r="B173" s="9" t="s">
        <v>45</v>
      </c>
      <c r="C173" s="25" t="s">
        <v>217</v>
      </c>
      <c r="D173" s="19">
        <v>242.11</v>
      </c>
      <c r="E173" s="19">
        <v>242.18</v>
      </c>
      <c r="F173" s="19">
        <v>235.96</v>
      </c>
      <c r="G173" s="19">
        <v>236.55</v>
      </c>
      <c r="H173" s="19">
        <v>236.55</v>
      </c>
      <c r="I173" s="15">
        <v>6666854</v>
      </c>
      <c r="J173" s="19">
        <f t="shared" si="12"/>
        <v>-2.2964768080624518</v>
      </c>
      <c r="K173" s="19">
        <f t="shared" si="13"/>
        <v>253.41300000000001</v>
      </c>
      <c r="L173" s="19">
        <f t="shared" si="9"/>
        <v>254.07739999999995</v>
      </c>
      <c r="M173" s="19">
        <f>MAX(G2:G173)</f>
        <v>275.06</v>
      </c>
      <c r="N173" s="19">
        <f t="shared" si="10"/>
        <v>-14.000581691267355</v>
      </c>
      <c r="O173" s="9" t="str">
        <f t="shared" si="11"/>
        <v>2024-08</v>
      </c>
    </row>
    <row r="174" spans="1:15" x14ac:dyDescent="0.25">
      <c r="A174" s="9" t="s">
        <v>44</v>
      </c>
      <c r="B174" s="9" t="s">
        <v>45</v>
      </c>
      <c r="C174" s="25" t="s">
        <v>218</v>
      </c>
      <c r="D174" s="19">
        <v>236.55</v>
      </c>
      <c r="E174" s="19">
        <v>237.68</v>
      </c>
      <c r="F174" s="19">
        <v>234.08</v>
      </c>
      <c r="G174" s="19">
        <v>234.43</v>
      </c>
      <c r="H174" s="19">
        <v>234.43</v>
      </c>
      <c r="I174" s="15">
        <v>5183431</v>
      </c>
      <c r="J174" s="19">
        <f t="shared" si="12"/>
        <v>-0.89621644472627549</v>
      </c>
      <c r="K174" s="19">
        <f t="shared" si="13"/>
        <v>252.86200000000002</v>
      </c>
      <c r="L174" s="19">
        <f t="shared" si="9"/>
        <v>254.03319999999997</v>
      </c>
      <c r="M174" s="19">
        <f>MAX(G2:G174)</f>
        <v>275.06</v>
      </c>
      <c r="N174" s="19">
        <f t="shared" si="10"/>
        <v>-14.771322620519159</v>
      </c>
      <c r="O174" s="9" t="str">
        <f t="shared" si="11"/>
        <v>2024-08</v>
      </c>
    </row>
    <row r="175" spans="1:15" x14ac:dyDescent="0.25">
      <c r="A175" s="9" t="s">
        <v>44</v>
      </c>
      <c r="B175" s="9" t="s">
        <v>45</v>
      </c>
      <c r="C175" s="25" t="s">
        <v>219</v>
      </c>
      <c r="D175" s="19">
        <v>234.43</v>
      </c>
      <c r="E175" s="19">
        <v>238.37</v>
      </c>
      <c r="F175" s="19">
        <v>233.91</v>
      </c>
      <c r="G175" s="19">
        <v>237.37</v>
      </c>
      <c r="H175" s="19">
        <v>237.37</v>
      </c>
      <c r="I175" s="15">
        <v>9519036</v>
      </c>
      <c r="J175" s="19">
        <f t="shared" si="12"/>
        <v>1.2541057031949827</v>
      </c>
      <c r="K175" s="19">
        <f t="shared" si="13"/>
        <v>252.43299999999999</v>
      </c>
      <c r="L175" s="19">
        <f t="shared" si="9"/>
        <v>253.97659999999996</v>
      </c>
      <c r="M175" s="19">
        <f>MAX(G2:G175)</f>
        <v>275.06</v>
      </c>
      <c r="N175" s="19">
        <f t="shared" si="10"/>
        <v>-13.702464916745436</v>
      </c>
      <c r="O175" s="9" t="str">
        <f t="shared" si="11"/>
        <v>2024-08</v>
      </c>
    </row>
    <row r="176" spans="1:15" x14ac:dyDescent="0.25">
      <c r="A176" s="9" t="s">
        <v>44</v>
      </c>
      <c r="B176" s="9" t="s">
        <v>45</v>
      </c>
      <c r="C176" s="25" t="s">
        <v>220</v>
      </c>
      <c r="D176" s="19">
        <v>237.37</v>
      </c>
      <c r="E176" s="19">
        <v>239.68</v>
      </c>
      <c r="F176" s="19">
        <v>236.57</v>
      </c>
      <c r="G176" s="19">
        <v>238.24</v>
      </c>
      <c r="H176" s="19">
        <v>238.24</v>
      </c>
      <c r="I176" s="15">
        <v>8395274</v>
      </c>
      <c r="J176" s="19">
        <f t="shared" si="12"/>
        <v>0.3665164089817603</v>
      </c>
      <c r="K176" s="19">
        <f t="shared" si="13"/>
        <v>251.56799999999998</v>
      </c>
      <c r="L176" s="19">
        <f t="shared" si="9"/>
        <v>253.99019999999996</v>
      </c>
      <c r="M176" s="19">
        <f>MAX(G2:G176)</f>
        <v>275.06</v>
      </c>
      <c r="N176" s="19">
        <f t="shared" si="10"/>
        <v>-13.386170290118518</v>
      </c>
      <c r="O176" s="9" t="str">
        <f t="shared" si="11"/>
        <v>2024-08</v>
      </c>
    </row>
    <row r="177" spans="1:15" x14ac:dyDescent="0.25">
      <c r="A177" s="9" t="s">
        <v>44</v>
      </c>
      <c r="B177" s="9" t="s">
        <v>45</v>
      </c>
      <c r="C177" s="25" t="s">
        <v>221</v>
      </c>
      <c r="D177" s="19">
        <v>238.24</v>
      </c>
      <c r="E177" s="19">
        <v>238.79</v>
      </c>
      <c r="F177" s="19">
        <v>236.81</v>
      </c>
      <c r="G177" s="19">
        <v>237.08</v>
      </c>
      <c r="H177" s="19">
        <v>237.08</v>
      </c>
      <c r="I177" s="15">
        <v>8802696</v>
      </c>
      <c r="J177" s="19">
        <f t="shared" si="12"/>
        <v>-0.48690396239086492</v>
      </c>
      <c r="K177" s="19">
        <f t="shared" si="13"/>
        <v>250.60299999999998</v>
      </c>
      <c r="L177" s="19">
        <f t="shared" si="9"/>
        <v>254.0412</v>
      </c>
      <c r="M177" s="19">
        <f>MAX(G2:G177)</f>
        <v>275.06</v>
      </c>
      <c r="N177" s="19">
        <f t="shared" si="10"/>
        <v>-13.807896458954405</v>
      </c>
      <c r="O177" s="9" t="str">
        <f t="shared" si="11"/>
        <v>2024-09</v>
      </c>
    </row>
    <row r="178" spans="1:15" x14ac:dyDescent="0.25">
      <c r="A178" s="9" t="s">
        <v>44</v>
      </c>
      <c r="B178" s="9" t="s">
        <v>45</v>
      </c>
      <c r="C178" s="25" t="s">
        <v>222</v>
      </c>
      <c r="D178" s="19">
        <v>237.08</v>
      </c>
      <c r="E178" s="19">
        <v>241.5</v>
      </c>
      <c r="F178" s="19">
        <v>235.43</v>
      </c>
      <c r="G178" s="19">
        <v>239.57</v>
      </c>
      <c r="H178" s="19">
        <v>239.57</v>
      </c>
      <c r="I178" s="15">
        <v>4982383</v>
      </c>
      <c r="J178" s="19">
        <f t="shared" si="12"/>
        <v>1.0502783870423404</v>
      </c>
      <c r="K178" s="19">
        <f t="shared" si="13"/>
        <v>249.61849999999995</v>
      </c>
      <c r="L178" s="19">
        <f t="shared" si="9"/>
        <v>253.96720000000002</v>
      </c>
      <c r="M178" s="19">
        <f>MAX(G2:G178)</f>
        <v>275.06</v>
      </c>
      <c r="N178" s="19">
        <f t="shared" si="10"/>
        <v>-12.902639424125647</v>
      </c>
      <c r="O178" s="9" t="str">
        <f t="shared" si="11"/>
        <v>2024-09</v>
      </c>
    </row>
    <row r="179" spans="1:15" x14ac:dyDescent="0.25">
      <c r="A179" s="9" t="s">
        <v>44</v>
      </c>
      <c r="B179" s="9" t="s">
        <v>45</v>
      </c>
      <c r="C179" s="25" t="s">
        <v>223</v>
      </c>
      <c r="D179" s="19">
        <v>239.57</v>
      </c>
      <c r="E179" s="19">
        <v>243.81</v>
      </c>
      <c r="F179" s="19">
        <v>239.07</v>
      </c>
      <c r="G179" s="19">
        <v>242.89</v>
      </c>
      <c r="H179" s="19">
        <v>242.89</v>
      </c>
      <c r="I179" s="15">
        <v>8537091</v>
      </c>
      <c r="J179" s="19">
        <f t="shared" si="12"/>
        <v>1.3858162541219659</v>
      </c>
      <c r="K179" s="19">
        <f t="shared" si="13"/>
        <v>249.13499999999999</v>
      </c>
      <c r="L179" s="19">
        <f t="shared" ref="L179:L242" si="14">AVERAGE(G130:G179)</f>
        <v>253.94079999999997</v>
      </c>
      <c r="M179" s="19">
        <f>MAX(G2:G179)</f>
        <v>275.06</v>
      </c>
      <c r="N179" s="19">
        <f t="shared" si="10"/>
        <v>-11.695630044353965</v>
      </c>
      <c r="O179" s="9" t="str">
        <f t="shared" si="11"/>
        <v>2024-09</v>
      </c>
    </row>
    <row r="180" spans="1:15" x14ac:dyDescent="0.25">
      <c r="A180" s="9" t="s">
        <v>44</v>
      </c>
      <c r="B180" s="9" t="s">
        <v>45</v>
      </c>
      <c r="C180" s="25" t="s">
        <v>224</v>
      </c>
      <c r="D180" s="19">
        <v>242.89</v>
      </c>
      <c r="E180" s="19">
        <v>244.13</v>
      </c>
      <c r="F180" s="19">
        <v>241.72</v>
      </c>
      <c r="G180" s="19">
        <v>242.98</v>
      </c>
      <c r="H180" s="19">
        <v>242.98</v>
      </c>
      <c r="I180" s="15">
        <v>8823524</v>
      </c>
      <c r="J180" s="19">
        <f t="shared" si="12"/>
        <v>3.7053810366834125E-2</v>
      </c>
      <c r="K180" s="19">
        <f t="shared" si="13"/>
        <v>248.61499999999995</v>
      </c>
      <c r="L180" s="19">
        <f t="shared" si="14"/>
        <v>253.79660000000001</v>
      </c>
      <c r="M180" s="19">
        <f>MAX(G2:G180)</f>
        <v>275.06</v>
      </c>
      <c r="N180" s="19">
        <f t="shared" si="10"/>
        <v>-11.662909910564972</v>
      </c>
      <c r="O180" s="9" t="str">
        <f t="shared" si="11"/>
        <v>2024-09</v>
      </c>
    </row>
    <row r="181" spans="1:15" x14ac:dyDescent="0.25">
      <c r="A181" s="9" t="s">
        <v>44</v>
      </c>
      <c r="B181" s="9" t="s">
        <v>45</v>
      </c>
      <c r="C181" s="25" t="s">
        <v>225</v>
      </c>
      <c r="D181" s="19">
        <v>242.98</v>
      </c>
      <c r="E181" s="19">
        <v>249.07</v>
      </c>
      <c r="F181" s="19">
        <v>242.41</v>
      </c>
      <c r="G181" s="19">
        <v>247.95</v>
      </c>
      <c r="H181" s="19">
        <v>247.95</v>
      </c>
      <c r="I181" s="15">
        <v>7137698</v>
      </c>
      <c r="J181" s="19">
        <f t="shared" si="12"/>
        <v>2.0454358383406039</v>
      </c>
      <c r="K181" s="19">
        <f t="shared" si="13"/>
        <v>248.09149999999994</v>
      </c>
      <c r="L181" s="19">
        <f t="shared" si="14"/>
        <v>253.55820000000003</v>
      </c>
      <c r="M181" s="19">
        <f>MAX(G2:G181)</f>
        <v>275.06</v>
      </c>
      <c r="N181" s="19">
        <f t="shared" si="10"/>
        <v>-9.8560314113284413</v>
      </c>
      <c r="O181" s="9" t="str">
        <f t="shared" si="11"/>
        <v>2024-09</v>
      </c>
    </row>
    <row r="182" spans="1:15" x14ac:dyDescent="0.25">
      <c r="A182" s="9" t="s">
        <v>44</v>
      </c>
      <c r="B182" s="9" t="s">
        <v>45</v>
      </c>
      <c r="C182" s="25" t="s">
        <v>226</v>
      </c>
      <c r="D182" s="19">
        <v>247.95</v>
      </c>
      <c r="E182" s="19">
        <v>251.4</v>
      </c>
      <c r="F182" s="19">
        <v>247.54</v>
      </c>
      <c r="G182" s="19">
        <v>250.29</v>
      </c>
      <c r="H182" s="19">
        <v>250.29</v>
      </c>
      <c r="I182" s="15">
        <v>9716016</v>
      </c>
      <c r="J182" s="19">
        <f t="shared" si="12"/>
        <v>0.9437386569872972</v>
      </c>
      <c r="K182" s="19">
        <f t="shared" si="13"/>
        <v>247.59399999999997</v>
      </c>
      <c r="L182" s="19">
        <f t="shared" si="14"/>
        <v>253.44240000000005</v>
      </c>
      <c r="M182" s="19">
        <f>MAX(G2:G182)</f>
        <v>275.06</v>
      </c>
      <c r="N182" s="19">
        <f t="shared" si="10"/>
        <v>-9.005307932814663</v>
      </c>
      <c r="O182" s="9" t="str">
        <f t="shared" si="11"/>
        <v>2024-09</v>
      </c>
    </row>
    <row r="183" spans="1:15" x14ac:dyDescent="0.25">
      <c r="A183" s="9" t="s">
        <v>44</v>
      </c>
      <c r="B183" s="9" t="s">
        <v>45</v>
      </c>
      <c r="C183" s="25" t="s">
        <v>227</v>
      </c>
      <c r="D183" s="19">
        <v>250.29</v>
      </c>
      <c r="E183" s="19">
        <v>253.19</v>
      </c>
      <c r="F183" s="19">
        <v>248.91</v>
      </c>
      <c r="G183" s="19">
        <v>252.33</v>
      </c>
      <c r="H183" s="19">
        <v>252.33</v>
      </c>
      <c r="I183" s="15">
        <v>9556903</v>
      </c>
      <c r="J183" s="19">
        <f t="shared" si="12"/>
        <v>0.81505453673739281</v>
      </c>
      <c r="K183" s="19">
        <f t="shared" si="13"/>
        <v>247.1035</v>
      </c>
      <c r="L183" s="19">
        <f t="shared" si="14"/>
        <v>253.26680000000005</v>
      </c>
      <c r="M183" s="19">
        <f>MAX(G2:G183)</f>
        <v>275.06</v>
      </c>
      <c r="N183" s="19">
        <f t="shared" si="10"/>
        <v>-8.2636515669308483</v>
      </c>
      <c r="O183" s="9" t="str">
        <f t="shared" si="11"/>
        <v>2024-09</v>
      </c>
    </row>
    <row r="184" spans="1:15" x14ac:dyDescent="0.25">
      <c r="A184" s="9" t="s">
        <v>44</v>
      </c>
      <c r="B184" s="9" t="s">
        <v>45</v>
      </c>
      <c r="C184" s="25" t="s">
        <v>228</v>
      </c>
      <c r="D184" s="19">
        <v>252.33</v>
      </c>
      <c r="E184" s="19">
        <v>252.48</v>
      </c>
      <c r="F184" s="19">
        <v>251.15</v>
      </c>
      <c r="G184" s="19">
        <v>251.85</v>
      </c>
      <c r="H184" s="19">
        <v>251.85</v>
      </c>
      <c r="I184" s="15">
        <v>9187893</v>
      </c>
      <c r="J184" s="19">
        <f t="shared" si="12"/>
        <v>-0.19022708358103205</v>
      </c>
      <c r="K184" s="19">
        <f t="shared" si="13"/>
        <v>246.57550000000001</v>
      </c>
      <c r="L184" s="19">
        <f t="shared" si="14"/>
        <v>253.09760000000009</v>
      </c>
      <c r="M184" s="19">
        <f>MAX(G2:G184)</f>
        <v>275.06</v>
      </c>
      <c r="N184" s="19">
        <f t="shared" si="10"/>
        <v>-8.4381589471388097</v>
      </c>
      <c r="O184" s="9" t="str">
        <f t="shared" si="11"/>
        <v>2024-09</v>
      </c>
    </row>
    <row r="185" spans="1:15" x14ac:dyDescent="0.25">
      <c r="A185" s="9" t="s">
        <v>44</v>
      </c>
      <c r="B185" s="9" t="s">
        <v>45</v>
      </c>
      <c r="C185" s="25" t="s">
        <v>229</v>
      </c>
      <c r="D185" s="19">
        <v>251.85</v>
      </c>
      <c r="E185" s="19">
        <v>253.98</v>
      </c>
      <c r="F185" s="19">
        <v>251.65</v>
      </c>
      <c r="G185" s="19">
        <v>253.58</v>
      </c>
      <c r="H185" s="19">
        <v>253.58</v>
      </c>
      <c r="I185" s="15">
        <v>8111447</v>
      </c>
      <c r="J185" s="19">
        <f t="shared" si="12"/>
        <v>0.68691681556482753</v>
      </c>
      <c r="K185" s="19">
        <f t="shared" si="13"/>
        <v>246.33100000000005</v>
      </c>
      <c r="L185" s="19">
        <f t="shared" si="14"/>
        <v>252.87560000000008</v>
      </c>
      <c r="M185" s="19">
        <f>MAX(G2:G185)</f>
        <v>275.06</v>
      </c>
      <c r="N185" s="19">
        <f t="shared" si="10"/>
        <v>-7.809205264305966</v>
      </c>
      <c r="O185" s="9" t="str">
        <f t="shared" si="11"/>
        <v>2024-09</v>
      </c>
    </row>
    <row r="186" spans="1:15" x14ac:dyDescent="0.25">
      <c r="A186" s="9" t="s">
        <v>44</v>
      </c>
      <c r="B186" s="9" t="s">
        <v>45</v>
      </c>
      <c r="C186" s="25" t="s">
        <v>230</v>
      </c>
      <c r="D186" s="19">
        <v>253.58</v>
      </c>
      <c r="E186" s="19">
        <v>254.34</v>
      </c>
      <c r="F186" s="19">
        <v>247.07</v>
      </c>
      <c r="G186" s="19">
        <v>248.56</v>
      </c>
      <c r="H186" s="19">
        <v>248.56</v>
      </c>
      <c r="I186" s="15">
        <v>8512713</v>
      </c>
      <c r="J186" s="19">
        <f t="shared" si="12"/>
        <v>-1.9796513920656245</v>
      </c>
      <c r="K186" s="19">
        <f t="shared" si="13"/>
        <v>245.54750000000004</v>
      </c>
      <c r="L186" s="19">
        <f t="shared" si="14"/>
        <v>252.34560000000002</v>
      </c>
      <c r="M186" s="19">
        <f>MAX(G2:G186)</f>
        <v>275.06</v>
      </c>
      <c r="N186" s="19">
        <f t="shared" si="10"/>
        <v>-9.6342616156474943</v>
      </c>
      <c r="O186" s="9" t="str">
        <f t="shared" si="11"/>
        <v>2024-09</v>
      </c>
    </row>
    <row r="187" spans="1:15" x14ac:dyDescent="0.25">
      <c r="A187" s="9" t="s">
        <v>44</v>
      </c>
      <c r="B187" s="9" t="s">
        <v>45</v>
      </c>
      <c r="C187" s="25" t="s">
        <v>231</v>
      </c>
      <c r="D187" s="19">
        <v>248.56</v>
      </c>
      <c r="E187" s="19">
        <v>250.1</v>
      </c>
      <c r="F187" s="19">
        <v>248.46</v>
      </c>
      <c r="G187" s="19">
        <v>249.7</v>
      </c>
      <c r="H187" s="19">
        <v>249.7</v>
      </c>
      <c r="I187" s="15">
        <v>8669651</v>
      </c>
      <c r="J187" s="19">
        <f t="shared" si="12"/>
        <v>0.45864177663340289</v>
      </c>
      <c r="K187" s="19">
        <f t="shared" si="13"/>
        <v>245.08049999999997</v>
      </c>
      <c r="L187" s="19">
        <f t="shared" si="14"/>
        <v>251.84460000000001</v>
      </c>
      <c r="M187" s="19">
        <f>MAX(G2:G187)</f>
        <v>275.06</v>
      </c>
      <c r="N187" s="19">
        <f t="shared" si="10"/>
        <v>-9.2198065876536077</v>
      </c>
      <c r="O187" s="9" t="str">
        <f t="shared" si="11"/>
        <v>2024-09</v>
      </c>
    </row>
    <row r="188" spans="1:15" x14ac:dyDescent="0.25">
      <c r="A188" s="9" t="s">
        <v>44</v>
      </c>
      <c r="B188" s="9" t="s">
        <v>45</v>
      </c>
      <c r="C188" s="25" t="s">
        <v>232</v>
      </c>
      <c r="D188" s="19">
        <v>249.7</v>
      </c>
      <c r="E188" s="19">
        <v>252.32</v>
      </c>
      <c r="F188" s="19">
        <v>249.53</v>
      </c>
      <c r="G188" s="19">
        <v>252.13</v>
      </c>
      <c r="H188" s="19">
        <v>252.13</v>
      </c>
      <c r="I188" s="15">
        <v>8980429</v>
      </c>
      <c r="J188" s="19">
        <f t="shared" si="12"/>
        <v>0.97316780136163672</v>
      </c>
      <c r="K188" s="19">
        <f t="shared" si="13"/>
        <v>244.82750000000001</v>
      </c>
      <c r="L188" s="19">
        <f t="shared" si="14"/>
        <v>251.44760000000005</v>
      </c>
      <c r="M188" s="19">
        <f>MAX(G2:G188)</f>
        <v>275.06</v>
      </c>
      <c r="N188" s="19">
        <f t="shared" si="10"/>
        <v>-8.3363629753508341</v>
      </c>
      <c r="O188" s="9" t="str">
        <f t="shared" si="11"/>
        <v>2024-09</v>
      </c>
    </row>
    <row r="189" spans="1:15" x14ac:dyDescent="0.25">
      <c r="A189" s="9" t="s">
        <v>44</v>
      </c>
      <c r="B189" s="9" t="s">
        <v>45</v>
      </c>
      <c r="C189" s="25" t="s">
        <v>233</v>
      </c>
      <c r="D189" s="19">
        <v>252.13</v>
      </c>
      <c r="E189" s="19">
        <v>252.54</v>
      </c>
      <c r="F189" s="19">
        <v>251.44</v>
      </c>
      <c r="G189" s="19">
        <v>251.57</v>
      </c>
      <c r="H189" s="19">
        <v>251.57</v>
      </c>
      <c r="I189" s="15">
        <v>6319710</v>
      </c>
      <c r="J189" s="19">
        <f t="shared" si="12"/>
        <v>-0.22210764288264082</v>
      </c>
      <c r="K189" s="19">
        <f t="shared" si="13"/>
        <v>244.86349999999999</v>
      </c>
      <c r="L189" s="19">
        <f t="shared" si="14"/>
        <v>251.20580000000007</v>
      </c>
      <c r="M189" s="19">
        <f>MAX(G2:G189)</f>
        <v>275.06</v>
      </c>
      <c r="N189" s="19">
        <f t="shared" si="10"/>
        <v>-8.5399549189267834</v>
      </c>
      <c r="O189" s="9" t="str">
        <f t="shared" si="11"/>
        <v>2024-09</v>
      </c>
    </row>
    <row r="190" spans="1:15" x14ac:dyDescent="0.25">
      <c r="A190" s="9" t="s">
        <v>44</v>
      </c>
      <c r="B190" s="9" t="s">
        <v>45</v>
      </c>
      <c r="C190" s="25" t="s">
        <v>234</v>
      </c>
      <c r="D190" s="19">
        <v>251.57</v>
      </c>
      <c r="E190" s="19">
        <v>257.8</v>
      </c>
      <c r="F190" s="19">
        <v>251.2</v>
      </c>
      <c r="G190" s="19">
        <v>256.23</v>
      </c>
      <c r="H190" s="19">
        <v>256.23</v>
      </c>
      <c r="I190" s="15">
        <v>6738067</v>
      </c>
      <c r="J190" s="19">
        <f t="shared" si="12"/>
        <v>1.8523671343960033</v>
      </c>
      <c r="K190" s="19">
        <f t="shared" si="13"/>
        <v>245.37749999999997</v>
      </c>
      <c r="L190" s="19">
        <f t="shared" si="14"/>
        <v>251.16540000000001</v>
      </c>
      <c r="M190" s="19">
        <f>MAX(G2:G190)</f>
        <v>275.06</v>
      </c>
      <c r="N190" s="19">
        <f t="shared" si="10"/>
        <v>-6.8457791027412149</v>
      </c>
      <c r="O190" s="9" t="str">
        <f t="shared" si="11"/>
        <v>2024-09</v>
      </c>
    </row>
    <row r="191" spans="1:15" x14ac:dyDescent="0.25">
      <c r="A191" s="9" t="s">
        <v>44</v>
      </c>
      <c r="B191" s="9" t="s">
        <v>45</v>
      </c>
      <c r="C191" s="25" t="s">
        <v>235</v>
      </c>
      <c r="D191" s="19">
        <v>256.23</v>
      </c>
      <c r="E191" s="19">
        <v>258.32</v>
      </c>
      <c r="F191" s="19">
        <v>255.32</v>
      </c>
      <c r="G191" s="19">
        <v>255.88</v>
      </c>
      <c r="H191" s="19">
        <v>255.88</v>
      </c>
      <c r="I191" s="15">
        <v>12514776</v>
      </c>
      <c r="J191" s="19">
        <f t="shared" si="12"/>
        <v>-0.13659602700699477</v>
      </c>
      <c r="K191" s="19">
        <f t="shared" si="13"/>
        <v>246.0644999999999</v>
      </c>
      <c r="L191" s="19">
        <f t="shared" si="14"/>
        <v>251.07719999999998</v>
      </c>
      <c r="M191" s="19">
        <f>MAX(G2:G191)</f>
        <v>275.06</v>
      </c>
      <c r="N191" s="19">
        <f t="shared" si="10"/>
        <v>-6.9730240674761896</v>
      </c>
      <c r="O191" s="9" t="str">
        <f t="shared" si="11"/>
        <v>2024-09</v>
      </c>
    </row>
    <row r="192" spans="1:15" x14ac:dyDescent="0.25">
      <c r="A192" s="9" t="s">
        <v>44</v>
      </c>
      <c r="B192" s="9" t="s">
        <v>45</v>
      </c>
      <c r="C192" s="25" t="s">
        <v>236</v>
      </c>
      <c r="D192" s="19">
        <v>255.88</v>
      </c>
      <c r="E192" s="19">
        <v>258.14</v>
      </c>
      <c r="F192" s="19">
        <v>249.83</v>
      </c>
      <c r="G192" s="19">
        <v>250.48</v>
      </c>
      <c r="H192" s="19">
        <v>250.48</v>
      </c>
      <c r="I192" s="15">
        <v>10369541</v>
      </c>
      <c r="J192" s="19">
        <f t="shared" si="12"/>
        <v>-2.1103642332343306</v>
      </c>
      <c r="K192" s="19">
        <f t="shared" si="13"/>
        <v>246.48299999999995</v>
      </c>
      <c r="L192" s="19">
        <f t="shared" si="14"/>
        <v>250.91879999999998</v>
      </c>
      <c r="M192" s="19">
        <f>MAX(G2:G192)</f>
        <v>275.06</v>
      </c>
      <c r="N192" s="19">
        <f t="shared" si="10"/>
        <v>-8.936232094815681</v>
      </c>
      <c r="O192" s="9" t="str">
        <f t="shared" si="11"/>
        <v>2024-09</v>
      </c>
    </row>
    <row r="193" spans="1:15" x14ac:dyDescent="0.25">
      <c r="A193" s="9" t="s">
        <v>44</v>
      </c>
      <c r="B193" s="9" t="s">
        <v>45</v>
      </c>
      <c r="C193" s="25" t="s">
        <v>237</v>
      </c>
      <c r="D193" s="19">
        <v>250.48</v>
      </c>
      <c r="E193" s="19">
        <v>256.18</v>
      </c>
      <c r="F193" s="19">
        <v>249.83</v>
      </c>
      <c r="G193" s="19">
        <v>254.85</v>
      </c>
      <c r="H193" s="19">
        <v>254.85</v>
      </c>
      <c r="I193" s="15">
        <v>7761977</v>
      </c>
      <c r="J193" s="19">
        <f t="shared" si="12"/>
        <v>1.7446502714787628</v>
      </c>
      <c r="K193" s="19">
        <f t="shared" si="13"/>
        <v>247.398</v>
      </c>
      <c r="L193" s="19">
        <f t="shared" si="14"/>
        <v>250.78159999999997</v>
      </c>
      <c r="M193" s="19">
        <f>MAX(G2:G193)</f>
        <v>275.06</v>
      </c>
      <c r="N193" s="19">
        <f t="shared" si="10"/>
        <v>-7.3474878208390919</v>
      </c>
      <c r="O193" s="9" t="str">
        <f t="shared" si="11"/>
        <v>2024-09</v>
      </c>
    </row>
    <row r="194" spans="1:15" x14ac:dyDescent="0.25">
      <c r="A194" s="9" t="s">
        <v>44</v>
      </c>
      <c r="B194" s="9" t="s">
        <v>45</v>
      </c>
      <c r="C194" s="25" t="s">
        <v>238</v>
      </c>
      <c r="D194" s="19">
        <v>254.85</v>
      </c>
      <c r="E194" s="19">
        <v>263.18</v>
      </c>
      <c r="F194" s="19">
        <v>253.93</v>
      </c>
      <c r="G194" s="19">
        <v>262.06</v>
      </c>
      <c r="H194" s="19">
        <v>262.06</v>
      </c>
      <c r="I194" s="15">
        <v>7504238</v>
      </c>
      <c r="J194" s="19">
        <f t="shared" si="12"/>
        <v>2.8291151657837976</v>
      </c>
      <c r="K194" s="19">
        <f t="shared" si="13"/>
        <v>248.77950000000001</v>
      </c>
      <c r="L194" s="19">
        <f t="shared" si="14"/>
        <v>250.87039999999996</v>
      </c>
      <c r="M194" s="19">
        <f>MAX(G2:G194)</f>
        <v>275.06</v>
      </c>
      <c r="N194" s="19">
        <f t="shared" ref="N194:N257" si="15">(G194-M194)/M194*100</f>
        <v>-4.7262415472987716</v>
      </c>
      <c r="O194" s="9" t="str">
        <f t="shared" ref="O194:O257" si="16">TEXT(C194,"yyyy-mm")</f>
        <v>2024-09</v>
      </c>
    </row>
    <row r="195" spans="1:15" x14ac:dyDescent="0.25">
      <c r="A195" s="9" t="s">
        <v>44</v>
      </c>
      <c r="B195" s="9" t="s">
        <v>45</v>
      </c>
      <c r="C195" s="25" t="s">
        <v>239</v>
      </c>
      <c r="D195" s="19">
        <v>262.06</v>
      </c>
      <c r="E195" s="19">
        <v>262.76</v>
      </c>
      <c r="F195" s="19">
        <v>258.12</v>
      </c>
      <c r="G195" s="19">
        <v>259.42</v>
      </c>
      <c r="H195" s="19">
        <v>259.42</v>
      </c>
      <c r="I195" s="15">
        <v>11465035</v>
      </c>
      <c r="J195" s="19">
        <f t="shared" ref="J195:J263" si="17">IFERROR((G195-G194)/G194*100,"")</f>
        <v>-1.0074028848355285</v>
      </c>
      <c r="K195" s="19">
        <f t="shared" si="13"/>
        <v>249.88200000000001</v>
      </c>
      <c r="L195" s="19">
        <f t="shared" si="14"/>
        <v>250.99919999999997</v>
      </c>
      <c r="M195" s="19">
        <f>MAX(G2:G195)</f>
        <v>275.06</v>
      </c>
      <c r="N195" s="19">
        <f t="shared" si="15"/>
        <v>-5.6860321384425161</v>
      </c>
      <c r="O195" s="9" t="str">
        <f t="shared" si="16"/>
        <v>2024-09</v>
      </c>
    </row>
    <row r="196" spans="1:15" x14ac:dyDescent="0.25">
      <c r="A196" s="9" t="s">
        <v>44</v>
      </c>
      <c r="B196" s="9" t="s">
        <v>45</v>
      </c>
      <c r="C196" s="25" t="s">
        <v>240</v>
      </c>
      <c r="D196" s="19">
        <v>259.42</v>
      </c>
      <c r="E196" s="19">
        <v>260.58</v>
      </c>
      <c r="F196" s="19">
        <v>258.98</v>
      </c>
      <c r="G196" s="19">
        <v>259.26</v>
      </c>
      <c r="H196" s="19">
        <v>259.26</v>
      </c>
      <c r="I196" s="15">
        <v>7447864</v>
      </c>
      <c r="J196" s="19">
        <f t="shared" si="17"/>
        <v>-6.1676046565424796E-2</v>
      </c>
      <c r="K196" s="19">
        <f t="shared" si="13"/>
        <v>250.93300000000005</v>
      </c>
      <c r="L196" s="19">
        <f t="shared" si="14"/>
        <v>251.21899999999997</v>
      </c>
      <c r="M196" s="19">
        <f>MAX(G2:G196)</f>
        <v>275.06</v>
      </c>
      <c r="N196" s="19">
        <f t="shared" si="15"/>
        <v>-5.7442012651785106</v>
      </c>
      <c r="O196" s="9" t="str">
        <f t="shared" si="16"/>
        <v>2024-09</v>
      </c>
    </row>
    <row r="197" spans="1:15" x14ac:dyDescent="0.25">
      <c r="A197" s="9" t="s">
        <v>44</v>
      </c>
      <c r="B197" s="9" t="s">
        <v>45</v>
      </c>
      <c r="C197" s="25" t="s">
        <v>241</v>
      </c>
      <c r="D197" s="19">
        <v>259.26</v>
      </c>
      <c r="E197" s="19">
        <v>262.92</v>
      </c>
      <c r="F197" s="19">
        <v>258.58999999999997</v>
      </c>
      <c r="G197" s="19">
        <v>262.16000000000003</v>
      </c>
      <c r="H197" s="19">
        <v>262.16000000000003</v>
      </c>
      <c r="I197" s="15">
        <v>11189966</v>
      </c>
      <c r="J197" s="19">
        <f t="shared" si="17"/>
        <v>1.1185682326622057</v>
      </c>
      <c r="K197" s="19">
        <f t="shared" si="13"/>
        <v>252.18699999999998</v>
      </c>
      <c r="L197" s="19">
        <f t="shared" si="14"/>
        <v>251.42140000000001</v>
      </c>
      <c r="M197" s="19">
        <f>MAX(G2:G197)</f>
        <v>275.06</v>
      </c>
      <c r="N197" s="19">
        <f t="shared" si="15"/>
        <v>-4.6898858430887724</v>
      </c>
      <c r="O197" s="9" t="str">
        <f t="shared" si="16"/>
        <v>2024-09</v>
      </c>
    </row>
    <row r="198" spans="1:15" x14ac:dyDescent="0.25">
      <c r="A198" s="9" t="s">
        <v>44</v>
      </c>
      <c r="B198" s="9" t="s">
        <v>45</v>
      </c>
      <c r="C198" s="25" t="s">
        <v>242</v>
      </c>
      <c r="D198" s="19">
        <v>262.16000000000003</v>
      </c>
      <c r="E198" s="19">
        <v>263.83999999999997</v>
      </c>
      <c r="F198" s="19">
        <v>261.08</v>
      </c>
      <c r="G198" s="19">
        <v>263.08999999999997</v>
      </c>
      <c r="H198" s="19">
        <v>263.08999999999997</v>
      </c>
      <c r="I198" s="15">
        <v>7880560</v>
      </c>
      <c r="J198" s="19">
        <f t="shared" si="17"/>
        <v>0.35474519377477487</v>
      </c>
      <c r="K198" s="19">
        <f t="shared" si="13"/>
        <v>253.363</v>
      </c>
      <c r="L198" s="19">
        <f t="shared" si="14"/>
        <v>251.61619999999999</v>
      </c>
      <c r="M198" s="19">
        <f>MAX(G2:G198)</f>
        <v>275.06</v>
      </c>
      <c r="N198" s="19">
        <f t="shared" si="15"/>
        <v>-4.3517777939358782</v>
      </c>
      <c r="O198" s="9" t="str">
        <f t="shared" si="16"/>
        <v>2024-10</v>
      </c>
    </row>
    <row r="199" spans="1:15" x14ac:dyDescent="0.25">
      <c r="A199" s="9" t="s">
        <v>44</v>
      </c>
      <c r="B199" s="9" t="s">
        <v>45</v>
      </c>
      <c r="C199" s="25" t="s">
        <v>243</v>
      </c>
      <c r="D199" s="19">
        <v>263.08999999999997</v>
      </c>
      <c r="E199" s="19">
        <v>265.52999999999997</v>
      </c>
      <c r="F199" s="19">
        <v>263.05</v>
      </c>
      <c r="G199" s="19">
        <v>264.73</v>
      </c>
      <c r="H199" s="19">
        <v>264.73</v>
      </c>
      <c r="I199" s="15">
        <v>4566139</v>
      </c>
      <c r="J199" s="19">
        <f t="shared" si="17"/>
        <v>0.62336082709340657</v>
      </c>
      <c r="K199" s="19">
        <f t="shared" si="13"/>
        <v>254.45500000000001</v>
      </c>
      <c r="L199" s="19">
        <f t="shared" si="14"/>
        <v>251.93859999999992</v>
      </c>
      <c r="M199" s="19">
        <f>MAX(G2:G199)</f>
        <v>275.06</v>
      </c>
      <c r="N199" s="19">
        <f t="shared" si="15"/>
        <v>-3.7555442448920182</v>
      </c>
      <c r="O199" s="9" t="str">
        <f t="shared" si="16"/>
        <v>2024-10</v>
      </c>
    </row>
    <row r="200" spans="1:15" x14ac:dyDescent="0.25">
      <c r="A200" s="9" t="s">
        <v>44</v>
      </c>
      <c r="B200" s="9" t="s">
        <v>45</v>
      </c>
      <c r="C200" s="25" t="s">
        <v>244</v>
      </c>
      <c r="D200" s="19">
        <v>264.73</v>
      </c>
      <c r="E200" s="19">
        <v>266.12</v>
      </c>
      <c r="F200" s="19">
        <v>264.06</v>
      </c>
      <c r="G200" s="19">
        <v>265.39999999999998</v>
      </c>
      <c r="H200" s="19">
        <v>265.39999999999998</v>
      </c>
      <c r="I200" s="15">
        <v>10389805</v>
      </c>
      <c r="J200" s="19">
        <f t="shared" si="17"/>
        <v>0.25308805197747103</v>
      </c>
      <c r="K200" s="19">
        <f t="shared" si="13"/>
        <v>255.57600000000002</v>
      </c>
      <c r="L200" s="19">
        <f t="shared" si="14"/>
        <v>252.24099999999996</v>
      </c>
      <c r="M200" s="19">
        <f>MAX(G2:G200)</f>
        <v>275.06</v>
      </c>
      <c r="N200" s="19">
        <f t="shared" si="15"/>
        <v>-3.5119610266850962</v>
      </c>
      <c r="O200" s="9" t="str">
        <f t="shared" si="16"/>
        <v>2024-10</v>
      </c>
    </row>
    <row r="201" spans="1:15" x14ac:dyDescent="0.25">
      <c r="A201" s="9" t="s">
        <v>44</v>
      </c>
      <c r="B201" s="9" t="s">
        <v>45</v>
      </c>
      <c r="C201" s="25" t="s">
        <v>245</v>
      </c>
      <c r="D201" s="19">
        <v>265.39999999999998</v>
      </c>
      <c r="E201" s="19">
        <v>265.43</v>
      </c>
      <c r="F201" s="19">
        <v>263.98</v>
      </c>
      <c r="G201" s="19">
        <v>264.45999999999998</v>
      </c>
      <c r="H201" s="19">
        <v>264.45999999999998</v>
      </c>
      <c r="I201" s="15">
        <v>2182689</v>
      </c>
      <c r="J201" s="19">
        <f t="shared" si="17"/>
        <v>-0.35418236623963745</v>
      </c>
      <c r="K201" s="19">
        <f t="shared" si="13"/>
        <v>256.4015</v>
      </c>
      <c r="L201" s="19">
        <f t="shared" si="14"/>
        <v>252.39999999999989</v>
      </c>
      <c r="M201" s="19">
        <f>MAX(G2:G201)</f>
        <v>275.06</v>
      </c>
      <c r="N201" s="19">
        <f t="shared" si="15"/>
        <v>-3.8537046462590063</v>
      </c>
      <c r="O201" s="9" t="str">
        <f t="shared" si="16"/>
        <v>2024-10</v>
      </c>
    </row>
    <row r="202" spans="1:15" x14ac:dyDescent="0.25">
      <c r="A202" s="9" t="s">
        <v>44</v>
      </c>
      <c r="B202" s="9" t="s">
        <v>45</v>
      </c>
      <c r="C202" s="25" t="s">
        <v>246</v>
      </c>
      <c r="D202" s="19">
        <v>264.45999999999998</v>
      </c>
      <c r="E202" s="19">
        <v>265.26</v>
      </c>
      <c r="F202" s="19">
        <v>257.95</v>
      </c>
      <c r="G202" s="19">
        <v>258.33</v>
      </c>
      <c r="H202" s="19">
        <v>258.33</v>
      </c>
      <c r="I202" s="15">
        <v>9149293</v>
      </c>
      <c r="J202" s="19">
        <f t="shared" si="17"/>
        <v>-2.3179308780155772</v>
      </c>
      <c r="K202" s="19">
        <f t="shared" si="13"/>
        <v>256.80349999999993</v>
      </c>
      <c r="L202" s="19">
        <f t="shared" si="14"/>
        <v>252.48139999999992</v>
      </c>
      <c r="M202" s="19">
        <f>MAX(G2:G202)</f>
        <v>275.06</v>
      </c>
      <c r="N202" s="19">
        <f t="shared" si="15"/>
        <v>-6.0823093143314253</v>
      </c>
      <c r="O202" s="9" t="str">
        <f t="shared" si="16"/>
        <v>2024-10</v>
      </c>
    </row>
    <row r="203" spans="1:15" x14ac:dyDescent="0.25">
      <c r="A203" s="9" t="s">
        <v>44</v>
      </c>
      <c r="B203" s="9" t="s">
        <v>45</v>
      </c>
      <c r="C203" s="25" t="s">
        <v>247</v>
      </c>
      <c r="D203" s="19">
        <v>258.33</v>
      </c>
      <c r="E203" s="19">
        <v>258.98</v>
      </c>
      <c r="F203" s="19">
        <v>258.33</v>
      </c>
      <c r="G203" s="19">
        <v>258.39</v>
      </c>
      <c r="H203" s="19">
        <v>258.39</v>
      </c>
      <c r="I203" s="15">
        <v>5219924</v>
      </c>
      <c r="J203" s="19">
        <f t="shared" si="17"/>
        <v>2.3226106143305957E-2</v>
      </c>
      <c r="K203" s="19">
        <f t="shared" si="13"/>
        <v>257.10649999999998</v>
      </c>
      <c r="L203" s="19">
        <f t="shared" si="14"/>
        <v>252.67039999999989</v>
      </c>
      <c r="M203" s="19">
        <f>MAX(G2:G203)</f>
        <v>275.06</v>
      </c>
      <c r="N203" s="19">
        <f t="shared" si="15"/>
        <v>-6.0604958918054299</v>
      </c>
      <c r="O203" s="9" t="str">
        <f t="shared" si="16"/>
        <v>2024-10</v>
      </c>
    </row>
    <row r="204" spans="1:15" x14ac:dyDescent="0.25">
      <c r="A204" s="9" t="s">
        <v>44</v>
      </c>
      <c r="B204" s="9" t="s">
        <v>45</v>
      </c>
      <c r="C204" s="25" t="s">
        <v>248</v>
      </c>
      <c r="D204" s="19">
        <v>258.39</v>
      </c>
      <c r="E204" s="19">
        <v>265.3</v>
      </c>
      <c r="F204" s="19">
        <v>257.49</v>
      </c>
      <c r="G204" s="19">
        <v>264.38</v>
      </c>
      <c r="H204" s="19">
        <v>264.38</v>
      </c>
      <c r="I204" s="15">
        <v>8090384</v>
      </c>
      <c r="J204" s="19">
        <f t="shared" si="17"/>
        <v>2.318201168775885</v>
      </c>
      <c r="K204" s="19">
        <f t="shared" si="13"/>
        <v>257.73300000000006</v>
      </c>
      <c r="L204" s="19">
        <f t="shared" si="14"/>
        <v>253.04899999999989</v>
      </c>
      <c r="M204" s="19">
        <f>MAX(G2:G204)</f>
        <v>275.06</v>
      </c>
      <c r="N204" s="19">
        <f t="shared" si="15"/>
        <v>-3.8827892096269934</v>
      </c>
      <c r="O204" s="9" t="str">
        <f t="shared" si="16"/>
        <v>2024-10</v>
      </c>
    </row>
    <row r="205" spans="1:15" x14ac:dyDescent="0.25">
      <c r="A205" s="9" t="s">
        <v>44</v>
      </c>
      <c r="B205" s="9" t="s">
        <v>45</v>
      </c>
      <c r="C205" s="25" t="s">
        <v>249</v>
      </c>
      <c r="D205" s="19">
        <v>264.38</v>
      </c>
      <c r="E205" s="19">
        <v>264.47000000000003</v>
      </c>
      <c r="F205" s="19">
        <v>262.41000000000003</v>
      </c>
      <c r="G205" s="19">
        <v>263.47000000000003</v>
      </c>
      <c r="H205" s="19">
        <v>263.47000000000003</v>
      </c>
      <c r="I205" s="15">
        <v>7325359</v>
      </c>
      <c r="J205" s="19">
        <f t="shared" si="17"/>
        <v>-0.34420152810347537</v>
      </c>
      <c r="K205" s="19">
        <f t="shared" si="13"/>
        <v>258.22750000000008</v>
      </c>
      <c r="L205" s="19">
        <f t="shared" si="14"/>
        <v>253.39939999999987</v>
      </c>
      <c r="M205" s="19">
        <f>MAX(G2:G205)</f>
        <v>275.06</v>
      </c>
      <c r="N205" s="19">
        <f t="shared" si="15"/>
        <v>-4.2136261179378947</v>
      </c>
      <c r="O205" s="9" t="str">
        <f t="shared" si="16"/>
        <v>2024-10</v>
      </c>
    </row>
    <row r="206" spans="1:15" x14ac:dyDescent="0.25">
      <c r="A206" s="9" t="s">
        <v>44</v>
      </c>
      <c r="B206" s="9" t="s">
        <v>45</v>
      </c>
      <c r="C206" s="25" t="s">
        <v>250</v>
      </c>
      <c r="D206" s="19">
        <v>263.47000000000003</v>
      </c>
      <c r="E206" s="19">
        <v>271.42</v>
      </c>
      <c r="F206" s="19">
        <v>262.95</v>
      </c>
      <c r="G206" s="19">
        <v>270.73</v>
      </c>
      <c r="H206" s="19">
        <v>270.73</v>
      </c>
      <c r="I206" s="15">
        <v>6932040</v>
      </c>
      <c r="J206" s="19">
        <f t="shared" si="17"/>
        <v>2.7555319391201998</v>
      </c>
      <c r="K206" s="19">
        <f t="shared" si="13"/>
        <v>259.33600000000007</v>
      </c>
      <c r="L206" s="19">
        <f t="shared" si="14"/>
        <v>253.7031999999999</v>
      </c>
      <c r="M206" s="19">
        <f>MAX(G2:G206)</f>
        <v>275.06</v>
      </c>
      <c r="N206" s="19">
        <f t="shared" si="15"/>
        <v>-1.574201992292585</v>
      </c>
      <c r="O206" s="9" t="str">
        <f t="shared" si="16"/>
        <v>2024-10</v>
      </c>
    </row>
    <row r="207" spans="1:15" x14ac:dyDescent="0.25">
      <c r="A207" s="9" t="s">
        <v>44</v>
      </c>
      <c r="B207" s="9" t="s">
        <v>45</v>
      </c>
      <c r="C207" s="25" t="s">
        <v>251</v>
      </c>
      <c r="D207" s="19">
        <v>270.73</v>
      </c>
      <c r="E207" s="19">
        <v>272.88</v>
      </c>
      <c r="F207" s="19">
        <v>270.66000000000003</v>
      </c>
      <c r="G207" s="19">
        <v>272.01</v>
      </c>
      <c r="H207" s="19">
        <v>272.01</v>
      </c>
      <c r="I207" s="15">
        <v>6447351</v>
      </c>
      <c r="J207" s="19">
        <f t="shared" si="17"/>
        <v>0.47279577438775633</v>
      </c>
      <c r="K207" s="19">
        <f t="shared" si="13"/>
        <v>260.45150000000001</v>
      </c>
      <c r="L207" s="19">
        <f t="shared" si="14"/>
        <v>254.01579999999987</v>
      </c>
      <c r="M207" s="19">
        <f>MAX(G2:G207)</f>
        <v>275.06</v>
      </c>
      <c r="N207" s="19">
        <f t="shared" si="15"/>
        <v>-1.108848978404716</v>
      </c>
      <c r="O207" s="9" t="str">
        <f t="shared" si="16"/>
        <v>2024-10</v>
      </c>
    </row>
    <row r="208" spans="1:15" x14ac:dyDescent="0.25">
      <c r="A208" s="9" t="s">
        <v>44</v>
      </c>
      <c r="B208" s="9" t="s">
        <v>45</v>
      </c>
      <c r="C208" s="25" t="s">
        <v>252</v>
      </c>
      <c r="D208" s="19">
        <v>272.01</v>
      </c>
      <c r="E208" s="19">
        <v>275.45999999999998</v>
      </c>
      <c r="F208" s="19">
        <v>271.38</v>
      </c>
      <c r="G208" s="19">
        <v>275.02</v>
      </c>
      <c r="H208" s="19">
        <v>275.02</v>
      </c>
      <c r="I208" s="15">
        <v>10613623</v>
      </c>
      <c r="J208" s="19">
        <f t="shared" si="17"/>
        <v>1.1065769640821996</v>
      </c>
      <c r="K208" s="19">
        <f t="shared" si="13"/>
        <v>261.596</v>
      </c>
      <c r="L208" s="19">
        <f t="shared" si="14"/>
        <v>254.33099999999988</v>
      </c>
      <c r="M208" s="19">
        <f>MAX(G2:G208)</f>
        <v>275.06</v>
      </c>
      <c r="N208" s="19">
        <f t="shared" si="15"/>
        <v>-1.4542281684003658E-2</v>
      </c>
      <c r="O208" s="9" t="str">
        <f t="shared" si="16"/>
        <v>2024-10</v>
      </c>
    </row>
    <row r="209" spans="1:15" x14ac:dyDescent="0.25">
      <c r="A209" s="9" t="s">
        <v>44</v>
      </c>
      <c r="B209" s="9" t="s">
        <v>45</v>
      </c>
      <c r="C209" s="25" t="s">
        <v>253</v>
      </c>
      <c r="D209" s="19">
        <v>275.02</v>
      </c>
      <c r="E209" s="19">
        <v>276.70999999999998</v>
      </c>
      <c r="F209" s="19">
        <v>272.74</v>
      </c>
      <c r="G209" s="19">
        <v>275.66000000000003</v>
      </c>
      <c r="H209" s="19">
        <v>275.66000000000003</v>
      </c>
      <c r="I209" s="15">
        <v>6345949</v>
      </c>
      <c r="J209" s="19">
        <f t="shared" si="17"/>
        <v>0.23271034833831838</v>
      </c>
      <c r="K209" s="19">
        <f t="shared" si="13"/>
        <v>262.8005</v>
      </c>
      <c r="L209" s="19">
        <f t="shared" si="14"/>
        <v>254.79299999999992</v>
      </c>
      <c r="M209" s="19">
        <f>MAX(G2:G209)</f>
        <v>275.66000000000003</v>
      </c>
      <c r="N209" s="19">
        <f t="shared" si="15"/>
        <v>0</v>
      </c>
      <c r="O209" s="9" t="str">
        <f t="shared" si="16"/>
        <v>2024-10</v>
      </c>
    </row>
    <row r="210" spans="1:15" x14ac:dyDescent="0.25">
      <c r="A210" s="9" t="s">
        <v>44</v>
      </c>
      <c r="B210" s="9" t="s">
        <v>45</v>
      </c>
      <c r="C210" s="25" t="s">
        <v>254</v>
      </c>
      <c r="D210" s="19">
        <v>275.66000000000003</v>
      </c>
      <c r="E210" s="19">
        <v>283.23</v>
      </c>
      <c r="F210" s="19">
        <v>274.52</v>
      </c>
      <c r="G210" s="19">
        <v>283</v>
      </c>
      <c r="H210" s="19">
        <v>283</v>
      </c>
      <c r="I210" s="15">
        <v>6729684</v>
      </c>
      <c r="J210" s="19">
        <f t="shared" si="17"/>
        <v>2.6627004280635473</v>
      </c>
      <c r="K210" s="19">
        <f t="shared" si="13"/>
        <v>264.13900000000001</v>
      </c>
      <c r="L210" s="19">
        <f t="shared" si="14"/>
        <v>255.38539999999989</v>
      </c>
      <c r="M210" s="19">
        <f>MAX(G2:G210)</f>
        <v>283</v>
      </c>
      <c r="N210" s="19">
        <f t="shared" si="15"/>
        <v>0</v>
      </c>
      <c r="O210" s="9" t="str">
        <f t="shared" si="16"/>
        <v>2024-10</v>
      </c>
    </row>
    <row r="211" spans="1:15" x14ac:dyDescent="0.25">
      <c r="A211" s="9" t="s">
        <v>44</v>
      </c>
      <c r="B211" s="9" t="s">
        <v>45</v>
      </c>
      <c r="C211" s="25" t="s">
        <v>255</v>
      </c>
      <c r="D211" s="19">
        <v>283</v>
      </c>
      <c r="E211" s="19">
        <v>287.08999999999997</v>
      </c>
      <c r="F211" s="19">
        <v>281.05</v>
      </c>
      <c r="G211" s="19">
        <v>285.8</v>
      </c>
      <c r="H211" s="19">
        <v>285.8</v>
      </c>
      <c r="I211" s="15">
        <v>9047176</v>
      </c>
      <c r="J211" s="19">
        <f t="shared" si="17"/>
        <v>0.98939929328622311</v>
      </c>
      <c r="K211" s="19">
        <f t="shared" si="13"/>
        <v>265.63499999999999</v>
      </c>
      <c r="L211" s="19">
        <f t="shared" si="14"/>
        <v>255.93299999999991</v>
      </c>
      <c r="M211" s="19">
        <f>MAX(G2:G211)</f>
        <v>285.8</v>
      </c>
      <c r="N211" s="19">
        <f t="shared" si="15"/>
        <v>0</v>
      </c>
      <c r="O211" s="9" t="str">
        <f t="shared" si="16"/>
        <v>2024-10</v>
      </c>
    </row>
    <row r="212" spans="1:15" x14ac:dyDescent="0.25">
      <c r="A212" s="9" t="s">
        <v>44</v>
      </c>
      <c r="B212" s="9" t="s">
        <v>45</v>
      </c>
      <c r="C212" s="25" t="s">
        <v>256</v>
      </c>
      <c r="D212" s="19">
        <v>285.8</v>
      </c>
      <c r="E212" s="19">
        <v>286.27</v>
      </c>
      <c r="F212" s="19">
        <v>285.23</v>
      </c>
      <c r="G212" s="19">
        <v>286.13</v>
      </c>
      <c r="H212" s="19">
        <v>286.13</v>
      </c>
      <c r="I212" s="15">
        <v>8507827</v>
      </c>
      <c r="J212" s="19">
        <f t="shared" si="17"/>
        <v>0.11546536039187685</v>
      </c>
      <c r="K212" s="19">
        <f t="shared" si="13"/>
        <v>267.41750000000002</v>
      </c>
      <c r="L212" s="19">
        <f t="shared" si="14"/>
        <v>256.4507999999999</v>
      </c>
      <c r="M212" s="19">
        <f>MAX(G2:G212)</f>
        <v>286.13</v>
      </c>
      <c r="N212" s="19">
        <f t="shared" si="15"/>
        <v>0</v>
      </c>
      <c r="O212" s="9" t="str">
        <f t="shared" si="16"/>
        <v>2024-10</v>
      </c>
    </row>
    <row r="213" spans="1:15" x14ac:dyDescent="0.25">
      <c r="A213" s="9" t="s">
        <v>44</v>
      </c>
      <c r="B213" s="9" t="s">
        <v>45</v>
      </c>
      <c r="C213" s="25" t="s">
        <v>257</v>
      </c>
      <c r="D213" s="19">
        <v>286.13</v>
      </c>
      <c r="E213" s="19">
        <v>291.12</v>
      </c>
      <c r="F213" s="19">
        <v>285.58</v>
      </c>
      <c r="G213" s="19">
        <v>290.99</v>
      </c>
      <c r="H213" s="19">
        <v>290.99</v>
      </c>
      <c r="I213" s="15">
        <v>11777568</v>
      </c>
      <c r="J213" s="19">
        <f t="shared" si="17"/>
        <v>1.6985286408276006</v>
      </c>
      <c r="K213" s="19">
        <f t="shared" ref="K213:K276" si="18">AVERAGE(G194:G213)</f>
        <v>269.22449999999998</v>
      </c>
      <c r="L213" s="19">
        <f t="shared" si="14"/>
        <v>257.0277999999999</v>
      </c>
      <c r="M213" s="19">
        <f>MAX(G2:G213)</f>
        <v>290.99</v>
      </c>
      <c r="N213" s="19">
        <f t="shared" si="15"/>
        <v>0</v>
      </c>
      <c r="O213" s="9" t="str">
        <f t="shared" si="16"/>
        <v>2024-10</v>
      </c>
    </row>
    <row r="214" spans="1:15" x14ac:dyDescent="0.25">
      <c r="A214" s="9" t="s">
        <v>44</v>
      </c>
      <c r="B214" s="9" t="s">
        <v>45</v>
      </c>
      <c r="C214" s="25" t="s">
        <v>258</v>
      </c>
      <c r="D214" s="19">
        <v>290.99</v>
      </c>
      <c r="E214" s="19">
        <v>292.69</v>
      </c>
      <c r="F214" s="19">
        <v>284.02999999999997</v>
      </c>
      <c r="G214" s="19">
        <v>285.81</v>
      </c>
      <c r="H214" s="19">
        <v>285.81</v>
      </c>
      <c r="I214" s="15">
        <v>12804169</v>
      </c>
      <c r="J214" s="19">
        <f t="shared" si="17"/>
        <v>-1.7801299013711833</v>
      </c>
      <c r="K214" s="19">
        <f t="shared" si="18"/>
        <v>270.41200000000003</v>
      </c>
      <c r="L214" s="19">
        <f t="shared" si="14"/>
        <v>257.49579999999992</v>
      </c>
      <c r="M214" s="19">
        <f>MAX(G2:G214)</f>
        <v>290.99</v>
      </c>
      <c r="N214" s="19">
        <f t="shared" si="15"/>
        <v>-1.7801299013711833</v>
      </c>
      <c r="O214" s="9" t="str">
        <f t="shared" si="16"/>
        <v>2024-10</v>
      </c>
    </row>
    <row r="215" spans="1:15" x14ac:dyDescent="0.25">
      <c r="A215" s="9" t="s">
        <v>44</v>
      </c>
      <c r="B215" s="9" t="s">
        <v>45</v>
      </c>
      <c r="C215" s="25" t="s">
        <v>259</v>
      </c>
      <c r="D215" s="19">
        <v>285.81</v>
      </c>
      <c r="E215" s="19">
        <v>287.85000000000002</v>
      </c>
      <c r="F215" s="19">
        <v>285.33999999999997</v>
      </c>
      <c r="G215" s="19">
        <v>285.52999999999997</v>
      </c>
      <c r="H215" s="19">
        <v>285.52999999999997</v>
      </c>
      <c r="I215" s="15">
        <v>10120783</v>
      </c>
      <c r="J215" s="19">
        <f t="shared" si="17"/>
        <v>-9.7967180994377234E-2</v>
      </c>
      <c r="K215" s="19">
        <f t="shared" si="18"/>
        <v>271.71749999999997</v>
      </c>
      <c r="L215" s="19">
        <f t="shared" si="14"/>
        <v>258.03699999999992</v>
      </c>
      <c r="M215" s="19">
        <f>MAX(G2:G215)</f>
        <v>290.99</v>
      </c>
      <c r="N215" s="19">
        <f t="shared" si="15"/>
        <v>-1.8763531392831494</v>
      </c>
      <c r="O215" s="9" t="str">
        <f t="shared" si="16"/>
        <v>2024-10</v>
      </c>
    </row>
    <row r="216" spans="1:15" x14ac:dyDescent="0.25">
      <c r="A216" s="9" t="s">
        <v>44</v>
      </c>
      <c r="B216" s="9" t="s">
        <v>45</v>
      </c>
      <c r="C216" s="25" t="s">
        <v>260</v>
      </c>
      <c r="D216" s="19">
        <v>285.52999999999997</v>
      </c>
      <c r="E216" s="19">
        <v>290.32</v>
      </c>
      <c r="F216" s="19">
        <v>284.92</v>
      </c>
      <c r="G216" s="19">
        <v>288.5</v>
      </c>
      <c r="H216" s="19">
        <v>288.5</v>
      </c>
      <c r="I216" s="15">
        <v>4990860</v>
      </c>
      <c r="J216" s="19">
        <f t="shared" si="17"/>
        <v>1.0401709102371126</v>
      </c>
      <c r="K216" s="19">
        <f t="shared" si="18"/>
        <v>273.17949999999996</v>
      </c>
      <c r="L216" s="19">
        <f t="shared" si="14"/>
        <v>258.52239999999989</v>
      </c>
      <c r="M216" s="19">
        <f>MAX(G2:G216)</f>
        <v>290.99</v>
      </c>
      <c r="N216" s="19">
        <f t="shared" si="15"/>
        <v>-0.85569950857418087</v>
      </c>
      <c r="O216" s="9" t="str">
        <f t="shared" si="16"/>
        <v>2024-10</v>
      </c>
    </row>
    <row r="217" spans="1:15" x14ac:dyDescent="0.25">
      <c r="A217" s="9" t="s">
        <v>44</v>
      </c>
      <c r="B217" s="9" t="s">
        <v>45</v>
      </c>
      <c r="C217" s="25" t="s">
        <v>261</v>
      </c>
      <c r="D217" s="19">
        <v>288.5</v>
      </c>
      <c r="E217" s="19">
        <v>295.54000000000002</v>
      </c>
      <c r="F217" s="19">
        <v>287.93</v>
      </c>
      <c r="G217" s="19">
        <v>294.63</v>
      </c>
      <c r="H217" s="19">
        <v>294.63</v>
      </c>
      <c r="I217" s="15">
        <v>8625617</v>
      </c>
      <c r="J217" s="19">
        <f t="shared" si="17"/>
        <v>2.1247833622183694</v>
      </c>
      <c r="K217" s="19">
        <f t="shared" si="18"/>
        <v>274.803</v>
      </c>
      <c r="L217" s="19">
        <f t="shared" si="14"/>
        <v>259.23419999999987</v>
      </c>
      <c r="M217" s="19">
        <f>MAX(G2:G217)</f>
        <v>294.63</v>
      </c>
      <c r="N217" s="19">
        <f t="shared" si="15"/>
        <v>0</v>
      </c>
      <c r="O217" s="9" t="str">
        <f t="shared" si="16"/>
        <v>2024-10</v>
      </c>
    </row>
    <row r="218" spans="1:15" x14ac:dyDescent="0.25">
      <c r="A218" s="9" t="s">
        <v>44</v>
      </c>
      <c r="B218" s="9" t="s">
        <v>45</v>
      </c>
      <c r="C218" s="25" t="s">
        <v>262</v>
      </c>
      <c r="D218" s="19">
        <v>294.63</v>
      </c>
      <c r="E218" s="19">
        <v>295.42</v>
      </c>
      <c r="F218" s="19">
        <v>291.99</v>
      </c>
      <c r="G218" s="19">
        <v>292.37</v>
      </c>
      <c r="H218" s="19">
        <v>292.37</v>
      </c>
      <c r="I218" s="15">
        <v>7300424</v>
      </c>
      <c r="J218" s="19">
        <f t="shared" si="17"/>
        <v>-0.76706377490411393</v>
      </c>
      <c r="K218" s="19">
        <f t="shared" si="18"/>
        <v>276.26700000000005</v>
      </c>
      <c r="L218" s="19">
        <f t="shared" si="14"/>
        <v>259.93779999999992</v>
      </c>
      <c r="M218" s="19">
        <f>MAX(G2:G218)</f>
        <v>294.63</v>
      </c>
      <c r="N218" s="19">
        <f t="shared" si="15"/>
        <v>-0.76706377490411393</v>
      </c>
      <c r="O218" s="9" t="str">
        <f t="shared" si="16"/>
        <v>2024-10</v>
      </c>
    </row>
    <row r="219" spans="1:15" x14ac:dyDescent="0.25">
      <c r="A219" s="9" t="s">
        <v>44</v>
      </c>
      <c r="B219" s="9" t="s">
        <v>45</v>
      </c>
      <c r="C219" s="25" t="s">
        <v>263</v>
      </c>
      <c r="D219" s="19">
        <v>292.37</v>
      </c>
      <c r="E219" s="19">
        <v>292.43</v>
      </c>
      <c r="F219" s="19">
        <v>284.43</v>
      </c>
      <c r="G219" s="19">
        <v>285.31</v>
      </c>
      <c r="H219" s="19">
        <v>285.31</v>
      </c>
      <c r="I219" s="15">
        <v>1163497</v>
      </c>
      <c r="J219" s="19">
        <f t="shared" si="17"/>
        <v>-2.4147484352019708</v>
      </c>
      <c r="K219" s="19">
        <f t="shared" si="18"/>
        <v>277.29600000000005</v>
      </c>
      <c r="L219" s="19">
        <f t="shared" si="14"/>
        <v>260.62699999999995</v>
      </c>
      <c r="M219" s="19">
        <f>MAX(G2:G219)</f>
        <v>294.63</v>
      </c>
      <c r="N219" s="19">
        <f t="shared" si="15"/>
        <v>-3.1632895496045865</v>
      </c>
      <c r="O219" s="9" t="str">
        <f t="shared" si="16"/>
        <v>2024-10</v>
      </c>
    </row>
    <row r="220" spans="1:15" x14ac:dyDescent="0.25">
      <c r="A220" s="9" t="s">
        <v>44</v>
      </c>
      <c r="B220" s="9" t="s">
        <v>45</v>
      </c>
      <c r="C220" s="25" t="s">
        <v>264</v>
      </c>
      <c r="D220" s="19">
        <v>285.31</v>
      </c>
      <c r="E220" s="19">
        <v>292.42</v>
      </c>
      <c r="F220" s="19">
        <v>284.88</v>
      </c>
      <c r="G220" s="19">
        <v>290.39999999999998</v>
      </c>
      <c r="H220" s="19">
        <v>290.39999999999998</v>
      </c>
      <c r="I220" s="15">
        <v>7791572</v>
      </c>
      <c r="J220" s="19">
        <f t="shared" si="17"/>
        <v>1.7840243945182344</v>
      </c>
      <c r="K220" s="19">
        <f t="shared" si="18"/>
        <v>278.54599999999999</v>
      </c>
      <c r="L220" s="19">
        <f t="shared" si="14"/>
        <v>261.51599999999991</v>
      </c>
      <c r="M220" s="19">
        <f>MAX(G2:G220)</f>
        <v>294.63</v>
      </c>
      <c r="N220" s="19">
        <f t="shared" si="15"/>
        <v>-1.435699012320544</v>
      </c>
      <c r="O220" s="9" t="str">
        <f t="shared" si="16"/>
        <v>2024-10</v>
      </c>
    </row>
    <row r="221" spans="1:15" x14ac:dyDescent="0.25">
      <c r="A221" s="9" t="s">
        <v>44</v>
      </c>
      <c r="B221" s="9" t="s">
        <v>45</v>
      </c>
      <c r="C221" s="25" t="s">
        <v>265</v>
      </c>
      <c r="D221" s="19">
        <v>290.39999999999998</v>
      </c>
      <c r="E221" s="19">
        <v>295.55</v>
      </c>
      <c r="F221" s="19">
        <v>289.85000000000002</v>
      </c>
      <c r="G221" s="19">
        <v>294.08999999999997</v>
      </c>
      <c r="H221" s="19">
        <v>294.08999999999997</v>
      </c>
      <c r="I221" s="15">
        <v>8831609</v>
      </c>
      <c r="J221" s="19">
        <f t="shared" si="17"/>
        <v>1.2706611570247928</v>
      </c>
      <c r="K221" s="19">
        <f t="shared" si="18"/>
        <v>280.02750000000003</v>
      </c>
      <c r="L221" s="19">
        <f t="shared" si="14"/>
        <v>262.55499999999989</v>
      </c>
      <c r="M221" s="19">
        <f>MAX(G2:G221)</f>
        <v>294.63</v>
      </c>
      <c r="N221" s="19">
        <f t="shared" si="15"/>
        <v>-0.18328072497709685</v>
      </c>
      <c r="O221" s="9" t="str">
        <f t="shared" si="16"/>
        <v>2024-11</v>
      </c>
    </row>
    <row r="222" spans="1:15" x14ac:dyDescent="0.25">
      <c r="A222" s="9" t="s">
        <v>44</v>
      </c>
      <c r="B222" s="9" t="s">
        <v>45</v>
      </c>
      <c r="C222" s="25" t="s">
        <v>266</v>
      </c>
      <c r="D222" s="19">
        <v>294.08999999999997</v>
      </c>
      <c r="E222" s="19">
        <v>294.64999999999998</v>
      </c>
      <c r="F222" s="19">
        <v>291.58999999999997</v>
      </c>
      <c r="G222" s="19">
        <v>294.06</v>
      </c>
      <c r="H222" s="19">
        <v>294.06</v>
      </c>
      <c r="I222" s="15">
        <v>8610017</v>
      </c>
      <c r="J222" s="19">
        <f t="shared" si="17"/>
        <v>-1.0200958890126396E-2</v>
      </c>
      <c r="K222" s="19">
        <f t="shared" si="18"/>
        <v>281.81400000000002</v>
      </c>
      <c r="L222" s="19">
        <f t="shared" si="14"/>
        <v>263.59399999999994</v>
      </c>
      <c r="M222" s="19">
        <f>MAX(G2:G222)</f>
        <v>294.63</v>
      </c>
      <c r="N222" s="19">
        <f t="shared" si="15"/>
        <v>-0.19346298747581481</v>
      </c>
      <c r="O222" s="9" t="str">
        <f t="shared" si="16"/>
        <v>2024-11</v>
      </c>
    </row>
    <row r="223" spans="1:15" x14ac:dyDescent="0.25">
      <c r="A223" s="9" t="s">
        <v>44</v>
      </c>
      <c r="B223" s="9" t="s">
        <v>45</v>
      </c>
      <c r="C223" s="25" t="s">
        <v>267</v>
      </c>
      <c r="D223" s="19">
        <v>294.06</v>
      </c>
      <c r="E223" s="19">
        <v>295.51</v>
      </c>
      <c r="F223" s="19">
        <v>291.33</v>
      </c>
      <c r="G223" s="19">
        <v>293.08999999999997</v>
      </c>
      <c r="H223" s="19">
        <v>293.08999999999997</v>
      </c>
      <c r="I223" s="15">
        <v>10040532</v>
      </c>
      <c r="J223" s="19">
        <f t="shared" si="17"/>
        <v>-0.32986465347208976</v>
      </c>
      <c r="K223" s="19">
        <f t="shared" si="18"/>
        <v>283.54900000000009</v>
      </c>
      <c r="L223" s="19">
        <f t="shared" si="14"/>
        <v>264.72479999999996</v>
      </c>
      <c r="M223" s="19">
        <f>MAX(G2:G223)</f>
        <v>294.63</v>
      </c>
      <c r="N223" s="19">
        <f t="shared" si="15"/>
        <v>-0.52268947493467077</v>
      </c>
      <c r="O223" s="9" t="str">
        <f t="shared" si="16"/>
        <v>2024-11</v>
      </c>
    </row>
    <row r="224" spans="1:15" x14ac:dyDescent="0.25">
      <c r="A224" s="9" t="s">
        <v>44</v>
      </c>
      <c r="B224" s="9" t="s">
        <v>45</v>
      </c>
      <c r="C224" s="25" t="s">
        <v>268</v>
      </c>
      <c r="D224" s="19">
        <v>293.08999999999997</v>
      </c>
      <c r="E224" s="19">
        <v>293.5</v>
      </c>
      <c r="F224" s="19">
        <v>290.75</v>
      </c>
      <c r="G224" s="19">
        <v>291.73</v>
      </c>
      <c r="H224" s="19">
        <v>291.73</v>
      </c>
      <c r="I224" s="15">
        <v>10934002</v>
      </c>
      <c r="J224" s="19">
        <f t="shared" si="17"/>
        <v>-0.46402129038860312</v>
      </c>
      <c r="K224" s="19">
        <f t="shared" si="18"/>
        <v>284.9165000000001</v>
      </c>
      <c r="L224" s="19">
        <f t="shared" si="14"/>
        <v>265.87079999999992</v>
      </c>
      <c r="M224" s="19">
        <f>MAX(G2:G224)</f>
        <v>294.63</v>
      </c>
      <c r="N224" s="19">
        <f t="shared" si="15"/>
        <v>-0.98428537487695655</v>
      </c>
      <c r="O224" s="9" t="str">
        <f t="shared" si="16"/>
        <v>2024-11</v>
      </c>
    </row>
    <row r="225" spans="1:15" x14ac:dyDescent="0.25">
      <c r="A225" s="9" t="s">
        <v>44</v>
      </c>
      <c r="B225" s="9" t="s">
        <v>45</v>
      </c>
      <c r="C225" s="25" t="s">
        <v>269</v>
      </c>
      <c r="D225" s="19">
        <v>291.73</v>
      </c>
      <c r="E225" s="19">
        <v>297.33</v>
      </c>
      <c r="F225" s="19">
        <v>290.52999999999997</v>
      </c>
      <c r="G225" s="19">
        <v>297.22000000000003</v>
      </c>
      <c r="H225" s="19">
        <v>297.22000000000003</v>
      </c>
      <c r="I225" s="15">
        <v>8573093</v>
      </c>
      <c r="J225" s="19">
        <f t="shared" si="17"/>
        <v>1.8818770781201828</v>
      </c>
      <c r="K225" s="19">
        <f t="shared" si="18"/>
        <v>286.60400000000004</v>
      </c>
      <c r="L225" s="19">
        <f t="shared" si="14"/>
        <v>267.06779999999998</v>
      </c>
      <c r="M225" s="19">
        <f>MAX(G2:G225)</f>
        <v>297.22000000000003</v>
      </c>
      <c r="N225" s="19">
        <f t="shared" si="15"/>
        <v>0</v>
      </c>
      <c r="O225" s="9" t="str">
        <f t="shared" si="16"/>
        <v>2024-11</v>
      </c>
    </row>
    <row r="226" spans="1:15" x14ac:dyDescent="0.25">
      <c r="A226" s="9" t="s">
        <v>44</v>
      </c>
      <c r="B226" s="9" t="s">
        <v>45</v>
      </c>
      <c r="C226" s="25" t="s">
        <v>270</v>
      </c>
      <c r="D226" s="19">
        <v>297.22000000000003</v>
      </c>
      <c r="E226" s="19">
        <v>297.45999999999998</v>
      </c>
      <c r="F226" s="19">
        <v>296.19</v>
      </c>
      <c r="G226" s="19">
        <v>296.25</v>
      </c>
      <c r="H226" s="19">
        <v>296.25</v>
      </c>
      <c r="I226" s="15">
        <v>6349895</v>
      </c>
      <c r="J226" s="19">
        <f t="shared" si="17"/>
        <v>-0.32635758024359979</v>
      </c>
      <c r="K226" s="19">
        <f t="shared" si="18"/>
        <v>287.88000000000005</v>
      </c>
      <c r="L226" s="19">
        <f t="shared" si="14"/>
        <v>268.22799999999995</v>
      </c>
      <c r="M226" s="19">
        <f>MAX(G2:G226)</f>
        <v>297.22000000000003</v>
      </c>
      <c r="N226" s="19">
        <f t="shared" si="15"/>
        <v>-0.32635758024359979</v>
      </c>
      <c r="O226" s="9" t="str">
        <f t="shared" si="16"/>
        <v>2024-11</v>
      </c>
    </row>
    <row r="227" spans="1:15" x14ac:dyDescent="0.25">
      <c r="A227" s="9" t="s">
        <v>44</v>
      </c>
      <c r="B227" s="9" t="s">
        <v>45</v>
      </c>
      <c r="C227" s="25" t="s">
        <v>271</v>
      </c>
      <c r="D227" s="19">
        <v>296.25</v>
      </c>
      <c r="E227" s="19">
        <v>297.47000000000003</v>
      </c>
      <c r="F227" s="19">
        <v>295.75</v>
      </c>
      <c r="G227" s="19">
        <v>295.83999999999997</v>
      </c>
      <c r="H227" s="19">
        <v>295.83999999999997</v>
      </c>
      <c r="I227" s="15">
        <v>3204318</v>
      </c>
      <c r="J227" s="19">
        <f t="shared" si="17"/>
        <v>-0.13839662447258227</v>
      </c>
      <c r="K227" s="19">
        <f t="shared" si="18"/>
        <v>289.07150000000007</v>
      </c>
      <c r="L227" s="19">
        <f t="shared" si="14"/>
        <v>269.40319999999991</v>
      </c>
      <c r="M227" s="19">
        <f>MAX(G2:G227)</f>
        <v>297.22000000000003</v>
      </c>
      <c r="N227" s="19">
        <f t="shared" si="15"/>
        <v>-0.46430253684141448</v>
      </c>
      <c r="O227" s="9" t="str">
        <f t="shared" si="16"/>
        <v>2024-11</v>
      </c>
    </row>
    <row r="228" spans="1:15" x14ac:dyDescent="0.25">
      <c r="A228" s="9" t="s">
        <v>44</v>
      </c>
      <c r="B228" s="9" t="s">
        <v>45</v>
      </c>
      <c r="C228" s="25" t="s">
        <v>272</v>
      </c>
      <c r="D228" s="19">
        <v>295.83999999999997</v>
      </c>
      <c r="E228" s="19">
        <v>300.5</v>
      </c>
      <c r="F228" s="19">
        <v>293.36</v>
      </c>
      <c r="G228" s="19">
        <v>300.08999999999997</v>
      </c>
      <c r="H228" s="19">
        <v>300.08999999999997</v>
      </c>
      <c r="I228" s="15">
        <v>15050606</v>
      </c>
      <c r="J228" s="19">
        <f t="shared" si="17"/>
        <v>1.4365873445105464</v>
      </c>
      <c r="K228" s="19">
        <f t="shared" si="18"/>
        <v>290.32500000000005</v>
      </c>
      <c r="L228" s="19">
        <f t="shared" si="14"/>
        <v>270.61359999999991</v>
      </c>
      <c r="M228" s="19">
        <f>MAX(G2:G228)</f>
        <v>300.08999999999997</v>
      </c>
      <c r="N228" s="19">
        <f t="shared" si="15"/>
        <v>0</v>
      </c>
      <c r="O228" s="9" t="str">
        <f t="shared" si="16"/>
        <v>2024-11</v>
      </c>
    </row>
    <row r="229" spans="1:15" x14ac:dyDescent="0.25">
      <c r="A229" s="9" t="s">
        <v>44</v>
      </c>
      <c r="B229" s="9" t="s">
        <v>45</v>
      </c>
      <c r="C229" s="25" t="s">
        <v>273</v>
      </c>
      <c r="D229" s="19">
        <v>300.08999999999997</v>
      </c>
      <c r="E229" s="19">
        <v>300.57</v>
      </c>
      <c r="F229" s="19">
        <v>295.02999999999997</v>
      </c>
      <c r="G229" s="19">
        <v>296.35000000000002</v>
      </c>
      <c r="H229" s="19">
        <v>296.35000000000002</v>
      </c>
      <c r="I229" s="15">
        <v>5504225</v>
      </c>
      <c r="J229" s="19">
        <f t="shared" si="17"/>
        <v>-1.2462927788330009</v>
      </c>
      <c r="K229" s="19">
        <f t="shared" si="18"/>
        <v>291.35950000000008</v>
      </c>
      <c r="L229" s="19">
        <f t="shared" si="14"/>
        <v>271.68279999999993</v>
      </c>
      <c r="M229" s="19">
        <f>MAX(G2:G229)</f>
        <v>300.08999999999997</v>
      </c>
      <c r="N229" s="19">
        <f t="shared" si="15"/>
        <v>-1.2462927788330009</v>
      </c>
      <c r="O229" s="9" t="str">
        <f t="shared" si="16"/>
        <v>2024-11</v>
      </c>
    </row>
    <row r="230" spans="1:15" x14ac:dyDescent="0.25">
      <c r="A230" s="9" t="s">
        <v>44</v>
      </c>
      <c r="B230" s="9" t="s">
        <v>45</v>
      </c>
      <c r="C230" s="25" t="s">
        <v>274</v>
      </c>
      <c r="D230" s="19">
        <v>296.35000000000002</v>
      </c>
      <c r="E230" s="19">
        <v>300.51</v>
      </c>
      <c r="F230" s="19">
        <v>296.02</v>
      </c>
      <c r="G230" s="19">
        <v>299.25</v>
      </c>
      <c r="H230" s="19">
        <v>299.25</v>
      </c>
      <c r="I230" s="15">
        <v>6438287</v>
      </c>
      <c r="J230" s="19">
        <f t="shared" si="17"/>
        <v>0.97857263371013226</v>
      </c>
      <c r="K230" s="19">
        <f t="shared" si="18"/>
        <v>292.17200000000003</v>
      </c>
      <c r="L230" s="19">
        <f t="shared" si="14"/>
        <v>272.8082</v>
      </c>
      <c r="M230" s="19">
        <f>MAX(G2:G230)</f>
        <v>300.08999999999997</v>
      </c>
      <c r="N230" s="19">
        <f t="shared" si="15"/>
        <v>-0.27991602519243397</v>
      </c>
      <c r="O230" s="9" t="str">
        <f t="shared" si="16"/>
        <v>2024-11</v>
      </c>
    </row>
    <row r="231" spans="1:15" x14ac:dyDescent="0.25">
      <c r="A231" s="9" t="s">
        <v>44</v>
      </c>
      <c r="B231" s="9" t="s">
        <v>45</v>
      </c>
      <c r="C231" s="25" t="s">
        <v>275</v>
      </c>
      <c r="D231" s="19">
        <v>299.25</v>
      </c>
      <c r="E231" s="19">
        <v>304.44</v>
      </c>
      <c r="F231" s="19">
        <v>298.20999999999998</v>
      </c>
      <c r="G231" s="19">
        <v>304.24</v>
      </c>
      <c r="H231" s="19">
        <v>304.24</v>
      </c>
      <c r="I231" s="15">
        <v>9189636</v>
      </c>
      <c r="J231" s="19">
        <f t="shared" si="17"/>
        <v>1.6675020885547231</v>
      </c>
      <c r="K231" s="19">
        <f t="shared" si="18"/>
        <v>293.09400000000005</v>
      </c>
      <c r="L231" s="19">
        <f t="shared" si="14"/>
        <v>273.93399999999997</v>
      </c>
      <c r="M231" s="19">
        <f>MAX(G2:G231)</f>
        <v>304.24</v>
      </c>
      <c r="N231" s="19">
        <f t="shared" si="15"/>
        <v>0</v>
      </c>
      <c r="O231" s="9" t="str">
        <f t="shared" si="16"/>
        <v>2024-11</v>
      </c>
    </row>
    <row r="232" spans="1:15" x14ac:dyDescent="0.25">
      <c r="A232" s="9" t="s">
        <v>44</v>
      </c>
      <c r="B232" s="9" t="s">
        <v>45</v>
      </c>
      <c r="C232" s="25" t="s">
        <v>276</v>
      </c>
      <c r="D232" s="19">
        <v>304.24</v>
      </c>
      <c r="E232" s="19">
        <v>305.56</v>
      </c>
      <c r="F232" s="19">
        <v>303.07</v>
      </c>
      <c r="G232" s="19">
        <v>305.11</v>
      </c>
      <c r="H232" s="19">
        <v>305.11</v>
      </c>
      <c r="I232" s="15">
        <v>8738289</v>
      </c>
      <c r="J232" s="19">
        <f t="shared" si="17"/>
        <v>0.2859584538522234</v>
      </c>
      <c r="K232" s="19">
        <f t="shared" si="18"/>
        <v>294.04300000000001</v>
      </c>
      <c r="L232" s="19">
        <f t="shared" si="14"/>
        <v>275.03039999999999</v>
      </c>
      <c r="M232" s="19">
        <f>MAX(G2:G232)</f>
        <v>305.11</v>
      </c>
      <c r="N232" s="19">
        <f t="shared" si="15"/>
        <v>0</v>
      </c>
      <c r="O232" s="9" t="str">
        <f t="shared" si="16"/>
        <v>2024-11</v>
      </c>
    </row>
    <row r="233" spans="1:15" x14ac:dyDescent="0.25">
      <c r="A233" s="9" t="s">
        <v>44</v>
      </c>
      <c r="B233" s="9" t="s">
        <v>45</v>
      </c>
      <c r="C233" s="25" t="s">
        <v>277</v>
      </c>
      <c r="D233" s="19">
        <v>305.11</v>
      </c>
      <c r="E233" s="19">
        <v>305.2</v>
      </c>
      <c r="F233" s="19">
        <v>301.89999999999998</v>
      </c>
      <c r="G233" s="19">
        <v>303.24</v>
      </c>
      <c r="H233" s="19">
        <v>303.24</v>
      </c>
      <c r="I233" s="15">
        <v>10848872</v>
      </c>
      <c r="J233" s="19">
        <f t="shared" si="17"/>
        <v>-0.61289371046507957</v>
      </c>
      <c r="K233" s="19">
        <f t="shared" si="18"/>
        <v>294.65549999999996</v>
      </c>
      <c r="L233" s="19">
        <f t="shared" si="14"/>
        <v>276.04860000000002</v>
      </c>
      <c r="M233" s="19">
        <f>MAX(G2:G233)</f>
        <v>305.11</v>
      </c>
      <c r="N233" s="19">
        <f t="shared" si="15"/>
        <v>-0.61289371046507957</v>
      </c>
      <c r="O233" s="9" t="str">
        <f t="shared" si="16"/>
        <v>2024-11</v>
      </c>
    </row>
    <row r="234" spans="1:15" x14ac:dyDescent="0.25">
      <c r="A234" s="9" t="s">
        <v>44</v>
      </c>
      <c r="B234" s="9" t="s">
        <v>45</v>
      </c>
      <c r="C234" s="25" t="s">
        <v>278</v>
      </c>
      <c r="D234" s="19">
        <v>303.24</v>
      </c>
      <c r="E234" s="19">
        <v>307.73</v>
      </c>
      <c r="F234" s="19">
        <v>302.31</v>
      </c>
      <c r="G234" s="19">
        <v>306.33</v>
      </c>
      <c r="H234" s="19">
        <v>306.33</v>
      </c>
      <c r="I234" s="15">
        <v>8711907</v>
      </c>
      <c r="J234" s="19">
        <f t="shared" si="17"/>
        <v>1.0189948555599442</v>
      </c>
      <c r="K234" s="19">
        <f t="shared" si="18"/>
        <v>295.68150000000003</v>
      </c>
      <c r="L234" s="19">
        <f t="shared" si="14"/>
        <v>277.13819999999998</v>
      </c>
      <c r="M234" s="19">
        <f>MAX(G2:G234)</f>
        <v>306.33</v>
      </c>
      <c r="N234" s="19">
        <f t="shared" si="15"/>
        <v>0</v>
      </c>
      <c r="O234" s="9" t="str">
        <f t="shared" si="16"/>
        <v>2024-11</v>
      </c>
    </row>
    <row r="235" spans="1:15" x14ac:dyDescent="0.25">
      <c r="A235" s="9" t="s">
        <v>44</v>
      </c>
      <c r="B235" s="9" t="s">
        <v>45</v>
      </c>
      <c r="C235" s="25" t="s">
        <v>279</v>
      </c>
      <c r="D235" s="19">
        <v>306.33</v>
      </c>
      <c r="E235" s="19">
        <v>311.45</v>
      </c>
      <c r="F235" s="19">
        <v>304.35000000000002</v>
      </c>
      <c r="G235" s="19">
        <v>311.13</v>
      </c>
      <c r="H235" s="19">
        <v>311.13</v>
      </c>
      <c r="I235" s="15">
        <v>9088482</v>
      </c>
      <c r="J235" s="19">
        <f t="shared" si="17"/>
        <v>1.566937616296155</v>
      </c>
      <c r="K235" s="19">
        <f t="shared" si="18"/>
        <v>296.9615</v>
      </c>
      <c r="L235" s="19">
        <f t="shared" si="14"/>
        <v>278.28919999999999</v>
      </c>
      <c r="M235" s="19">
        <f>MAX(G2:G235)</f>
        <v>311.13</v>
      </c>
      <c r="N235" s="19">
        <f t="shared" si="15"/>
        <v>0</v>
      </c>
      <c r="O235" s="9" t="str">
        <f t="shared" si="16"/>
        <v>2024-11</v>
      </c>
    </row>
    <row r="236" spans="1:15" x14ac:dyDescent="0.25">
      <c r="A236" s="9" t="s">
        <v>44</v>
      </c>
      <c r="B236" s="9" t="s">
        <v>45</v>
      </c>
      <c r="C236" s="25" t="s">
        <v>280</v>
      </c>
      <c r="D236" s="19">
        <v>311.13</v>
      </c>
      <c r="E236" s="19">
        <v>312.33</v>
      </c>
      <c r="F236" s="19">
        <v>308.88</v>
      </c>
      <c r="G236" s="19">
        <v>310.18</v>
      </c>
      <c r="H236" s="19">
        <v>310.18</v>
      </c>
      <c r="I236" s="15">
        <v>9367880</v>
      </c>
      <c r="J236" s="19">
        <f t="shared" si="17"/>
        <v>-0.3053386044418695</v>
      </c>
      <c r="K236" s="19">
        <f t="shared" si="18"/>
        <v>298.0455</v>
      </c>
      <c r="L236" s="19">
        <f t="shared" si="14"/>
        <v>279.52159999999998</v>
      </c>
      <c r="M236" s="19">
        <f>MAX(G2:G236)</f>
        <v>311.13</v>
      </c>
      <c r="N236" s="19">
        <f t="shared" si="15"/>
        <v>-0.3053386044418695</v>
      </c>
      <c r="O236" s="9" t="str">
        <f t="shared" si="16"/>
        <v>2024-11</v>
      </c>
    </row>
    <row r="237" spans="1:15" x14ac:dyDescent="0.25">
      <c r="A237" s="9" t="s">
        <v>44</v>
      </c>
      <c r="B237" s="9" t="s">
        <v>45</v>
      </c>
      <c r="C237" s="25" t="s">
        <v>281</v>
      </c>
      <c r="D237" s="19">
        <v>310.18</v>
      </c>
      <c r="E237" s="19">
        <v>314.52</v>
      </c>
      <c r="F237" s="19">
        <v>309.99</v>
      </c>
      <c r="G237" s="19">
        <v>313.72000000000003</v>
      </c>
      <c r="H237" s="19">
        <v>313.72000000000003</v>
      </c>
      <c r="I237" s="15">
        <v>8301383</v>
      </c>
      <c r="J237" s="19">
        <f t="shared" si="17"/>
        <v>1.1412728093365208</v>
      </c>
      <c r="K237" s="19">
        <f t="shared" si="18"/>
        <v>299</v>
      </c>
      <c r="L237" s="19">
        <f t="shared" si="14"/>
        <v>280.80199999999996</v>
      </c>
      <c r="M237" s="19">
        <f>MAX(G2:G237)</f>
        <v>313.72000000000003</v>
      </c>
      <c r="N237" s="19">
        <f t="shared" si="15"/>
        <v>0</v>
      </c>
      <c r="O237" s="9" t="str">
        <f t="shared" si="16"/>
        <v>2024-11</v>
      </c>
    </row>
    <row r="238" spans="1:15" x14ac:dyDescent="0.25">
      <c r="A238" s="9" t="s">
        <v>44</v>
      </c>
      <c r="B238" s="9" t="s">
        <v>45</v>
      </c>
      <c r="C238" s="25" t="s">
        <v>282</v>
      </c>
      <c r="D238" s="19">
        <v>313.72000000000003</v>
      </c>
      <c r="E238" s="19">
        <v>313.74</v>
      </c>
      <c r="F238" s="19">
        <v>311.49</v>
      </c>
      <c r="G238" s="19">
        <v>313.10000000000002</v>
      </c>
      <c r="H238" s="19">
        <v>313.10000000000002</v>
      </c>
      <c r="I238" s="15">
        <v>4055022</v>
      </c>
      <c r="J238" s="19">
        <f t="shared" si="17"/>
        <v>-0.19762845849802513</v>
      </c>
      <c r="K238" s="19">
        <f t="shared" si="18"/>
        <v>300.03650000000005</v>
      </c>
      <c r="L238" s="19">
        <f t="shared" si="14"/>
        <v>282.02139999999997</v>
      </c>
      <c r="M238" s="19">
        <f>MAX(G2:G238)</f>
        <v>313.72000000000003</v>
      </c>
      <c r="N238" s="19">
        <f t="shared" si="15"/>
        <v>-0.19762845849802513</v>
      </c>
      <c r="O238" s="9" t="str">
        <f t="shared" si="16"/>
        <v>2024-11</v>
      </c>
    </row>
    <row r="239" spans="1:15" x14ac:dyDescent="0.25">
      <c r="A239" s="9" t="s">
        <v>44</v>
      </c>
      <c r="B239" s="9" t="s">
        <v>45</v>
      </c>
      <c r="C239" s="25" t="s">
        <v>283</v>
      </c>
      <c r="D239" s="19">
        <v>313.10000000000002</v>
      </c>
      <c r="E239" s="19">
        <v>315.04000000000002</v>
      </c>
      <c r="F239" s="19">
        <v>308.33999999999997</v>
      </c>
      <c r="G239" s="19">
        <v>309.13</v>
      </c>
      <c r="H239" s="19">
        <v>309.13</v>
      </c>
      <c r="I239" s="15">
        <v>4824584</v>
      </c>
      <c r="J239" s="19">
        <f t="shared" si="17"/>
        <v>-1.2679655062280508</v>
      </c>
      <c r="K239" s="19">
        <f t="shared" si="18"/>
        <v>301.22750000000008</v>
      </c>
      <c r="L239" s="19">
        <f t="shared" si="14"/>
        <v>283.17259999999999</v>
      </c>
      <c r="M239" s="19">
        <f>MAX(G2:G239)</f>
        <v>313.72000000000003</v>
      </c>
      <c r="N239" s="19">
        <f t="shared" si="15"/>
        <v>-1.4630881040418309</v>
      </c>
      <c r="O239" s="9" t="str">
        <f t="shared" si="16"/>
        <v>2024-11</v>
      </c>
    </row>
    <row r="240" spans="1:15" x14ac:dyDescent="0.25">
      <c r="A240" s="9" t="s">
        <v>44</v>
      </c>
      <c r="B240" s="9" t="s">
        <v>45</v>
      </c>
      <c r="C240" s="25" t="s">
        <v>284</v>
      </c>
      <c r="D240" s="19">
        <v>309.13</v>
      </c>
      <c r="E240" s="19">
        <v>318.20999999999998</v>
      </c>
      <c r="F240" s="19">
        <v>306.35000000000002</v>
      </c>
      <c r="G240" s="19">
        <v>316.93</v>
      </c>
      <c r="H240" s="19">
        <v>316.93</v>
      </c>
      <c r="I240" s="15">
        <v>6360818</v>
      </c>
      <c r="J240" s="19">
        <f t="shared" si="17"/>
        <v>2.5232102998738433</v>
      </c>
      <c r="K240" s="19">
        <f t="shared" si="18"/>
        <v>302.55400000000009</v>
      </c>
      <c r="L240" s="19">
        <f t="shared" si="14"/>
        <v>284.38659999999999</v>
      </c>
      <c r="M240" s="19">
        <f>MAX(G2:G240)</f>
        <v>316.93</v>
      </c>
      <c r="N240" s="19">
        <f t="shared" si="15"/>
        <v>0</v>
      </c>
      <c r="O240" s="9" t="str">
        <f t="shared" si="16"/>
        <v>2024-11</v>
      </c>
    </row>
    <row r="241" spans="1:15" x14ac:dyDescent="0.25">
      <c r="A241" s="9" t="s">
        <v>44</v>
      </c>
      <c r="B241" s="9" t="s">
        <v>45</v>
      </c>
      <c r="C241" s="25" t="s">
        <v>285</v>
      </c>
      <c r="D241" s="19">
        <v>316.93</v>
      </c>
      <c r="E241" s="19">
        <v>318.83</v>
      </c>
      <c r="F241" s="19">
        <v>315.16000000000003</v>
      </c>
      <c r="G241" s="19">
        <v>317.39999999999998</v>
      </c>
      <c r="H241" s="19">
        <v>317.39999999999998</v>
      </c>
      <c r="I241" s="15">
        <v>4051043</v>
      </c>
      <c r="J241" s="19">
        <f t="shared" si="17"/>
        <v>0.14829773136022795</v>
      </c>
      <c r="K241" s="19">
        <f t="shared" si="18"/>
        <v>303.71950000000004</v>
      </c>
      <c r="L241" s="19">
        <f t="shared" si="14"/>
        <v>285.61699999999996</v>
      </c>
      <c r="M241" s="19">
        <f>MAX(G2:G241)</f>
        <v>317.39999999999998</v>
      </c>
      <c r="N241" s="19">
        <f t="shared" si="15"/>
        <v>0</v>
      </c>
      <c r="O241" s="9" t="str">
        <f t="shared" si="16"/>
        <v>2024-11</v>
      </c>
    </row>
    <row r="242" spans="1:15" x14ac:dyDescent="0.25">
      <c r="A242" s="9" t="s">
        <v>44</v>
      </c>
      <c r="B242" s="9" t="s">
        <v>45</v>
      </c>
      <c r="C242" s="25" t="s">
        <v>286</v>
      </c>
      <c r="D242" s="19">
        <v>317.39999999999998</v>
      </c>
      <c r="E242" s="19">
        <v>325.60000000000002</v>
      </c>
      <c r="F242" s="19">
        <v>316.52999999999997</v>
      </c>
      <c r="G242" s="19">
        <v>322.45999999999998</v>
      </c>
      <c r="H242" s="19">
        <v>322.45999999999998</v>
      </c>
      <c r="I242" s="15">
        <v>9381124</v>
      </c>
      <c r="J242" s="19">
        <f t="shared" si="17"/>
        <v>1.5942028985507255</v>
      </c>
      <c r="K242" s="19">
        <f t="shared" si="18"/>
        <v>305.13950000000006</v>
      </c>
      <c r="L242" s="19">
        <f t="shared" si="14"/>
        <v>287.05659999999995</v>
      </c>
      <c r="M242" s="19">
        <f>MAX(G2:G242)</f>
        <v>322.45999999999998</v>
      </c>
      <c r="N242" s="19">
        <f t="shared" si="15"/>
        <v>0</v>
      </c>
      <c r="O242" s="9" t="str">
        <f t="shared" si="16"/>
        <v>2024-12</v>
      </c>
    </row>
    <row r="243" spans="1:15" x14ac:dyDescent="0.25">
      <c r="A243" s="9" t="s">
        <v>44</v>
      </c>
      <c r="B243" s="9" t="s">
        <v>45</v>
      </c>
      <c r="C243" s="25" t="s">
        <v>287</v>
      </c>
      <c r="D243" s="19">
        <v>322.45999999999998</v>
      </c>
      <c r="E243" s="19">
        <v>322.95999999999998</v>
      </c>
      <c r="F243" s="19">
        <v>320.45999999999998</v>
      </c>
      <c r="G243" s="19">
        <v>321.43</v>
      </c>
      <c r="H243" s="19">
        <v>321.43</v>
      </c>
      <c r="I243" s="15">
        <v>7326379</v>
      </c>
      <c r="J243" s="19">
        <f t="shared" si="17"/>
        <v>-0.31941946287910833</v>
      </c>
      <c r="K243" s="19">
        <f t="shared" si="18"/>
        <v>306.55650000000003</v>
      </c>
      <c r="L243" s="19">
        <f t="shared" ref="L243:L306" si="19">AVERAGE(G194:G243)</f>
        <v>288.38819999999998</v>
      </c>
      <c r="M243" s="19">
        <f>MAX(G2:G243)</f>
        <v>322.45999999999998</v>
      </c>
      <c r="N243" s="19">
        <f t="shared" si="15"/>
        <v>-0.31941946287910833</v>
      </c>
      <c r="O243" s="9" t="str">
        <f t="shared" si="16"/>
        <v>2024-12</v>
      </c>
    </row>
    <row r="244" spans="1:15" x14ac:dyDescent="0.25">
      <c r="A244" s="9" t="s">
        <v>44</v>
      </c>
      <c r="B244" s="9" t="s">
        <v>45</v>
      </c>
      <c r="C244" s="25" t="s">
        <v>288</v>
      </c>
      <c r="D244" s="19">
        <v>321.43</v>
      </c>
      <c r="E244" s="19">
        <v>321.55</v>
      </c>
      <c r="F244" s="19">
        <v>312.24</v>
      </c>
      <c r="G244" s="19">
        <v>313.45999999999998</v>
      </c>
      <c r="H244" s="19">
        <v>313.45999999999998</v>
      </c>
      <c r="I244" s="15">
        <v>6518128</v>
      </c>
      <c r="J244" s="19">
        <f t="shared" si="17"/>
        <v>-2.4795445353576291</v>
      </c>
      <c r="K244" s="19">
        <f t="shared" si="18"/>
        <v>307.64300000000003</v>
      </c>
      <c r="L244" s="19">
        <f t="shared" si="19"/>
        <v>289.41619999999995</v>
      </c>
      <c r="M244" s="19">
        <f>MAX(G2:G244)</f>
        <v>322.45999999999998</v>
      </c>
      <c r="N244" s="19">
        <f t="shared" si="15"/>
        <v>-2.7910438504000497</v>
      </c>
      <c r="O244" s="9" t="str">
        <f t="shared" si="16"/>
        <v>2024-12</v>
      </c>
    </row>
    <row r="245" spans="1:15" x14ac:dyDescent="0.25">
      <c r="A245" s="9" t="s">
        <v>44</v>
      </c>
      <c r="B245" s="9" t="s">
        <v>45</v>
      </c>
      <c r="C245" s="25" t="s">
        <v>289</v>
      </c>
      <c r="D245" s="19">
        <v>313.45999999999998</v>
      </c>
      <c r="E245" s="19">
        <v>313.95</v>
      </c>
      <c r="F245" s="19">
        <v>303.45</v>
      </c>
      <c r="G245" s="19">
        <v>304.64999999999998</v>
      </c>
      <c r="H245" s="19">
        <v>304.64999999999998</v>
      </c>
      <c r="I245" s="15">
        <v>10257850</v>
      </c>
      <c r="J245" s="19">
        <f t="shared" si="17"/>
        <v>-2.8105659414279343</v>
      </c>
      <c r="K245" s="19">
        <f t="shared" si="18"/>
        <v>308.01449999999994</v>
      </c>
      <c r="L245" s="19">
        <f t="shared" si="19"/>
        <v>290.32079999999996</v>
      </c>
      <c r="M245" s="19">
        <f>MAX(G2:G245)</f>
        <v>322.45999999999998</v>
      </c>
      <c r="N245" s="19">
        <f t="shared" si="15"/>
        <v>-5.5231656639583218</v>
      </c>
      <c r="O245" s="9" t="str">
        <f t="shared" si="16"/>
        <v>2024-12</v>
      </c>
    </row>
    <row r="246" spans="1:15" x14ac:dyDescent="0.25">
      <c r="A246" s="9" t="s">
        <v>44</v>
      </c>
      <c r="B246" s="9" t="s">
        <v>45</v>
      </c>
      <c r="C246" s="25" t="s">
        <v>290</v>
      </c>
      <c r="D246" s="19">
        <v>304.64999999999998</v>
      </c>
      <c r="E246" s="19">
        <v>304.93</v>
      </c>
      <c r="F246" s="19">
        <v>299.18</v>
      </c>
      <c r="G246" s="19">
        <v>300.35000000000002</v>
      </c>
      <c r="H246" s="19">
        <v>300.35000000000002</v>
      </c>
      <c r="I246" s="15">
        <v>9322489</v>
      </c>
      <c r="J246" s="19">
        <f t="shared" si="17"/>
        <v>-1.4114557689151337</v>
      </c>
      <c r="K246" s="19">
        <f t="shared" si="18"/>
        <v>308.21949999999998</v>
      </c>
      <c r="L246" s="19">
        <f t="shared" si="19"/>
        <v>291.14259999999996</v>
      </c>
      <c r="M246" s="19">
        <f>MAX(G2:G246)</f>
        <v>322.45999999999998</v>
      </c>
      <c r="N246" s="19">
        <f t="shared" si="15"/>
        <v>-6.8566643924827755</v>
      </c>
      <c r="O246" s="9" t="str">
        <f t="shared" si="16"/>
        <v>2024-12</v>
      </c>
    </row>
    <row r="247" spans="1:15" x14ac:dyDescent="0.25">
      <c r="A247" s="9" t="s">
        <v>44</v>
      </c>
      <c r="B247" s="9" t="s">
        <v>45</v>
      </c>
      <c r="C247" s="25" t="s">
        <v>291</v>
      </c>
      <c r="D247" s="19">
        <v>300.35000000000002</v>
      </c>
      <c r="E247" s="19">
        <v>309.12</v>
      </c>
      <c r="F247" s="19">
        <v>298.43</v>
      </c>
      <c r="G247" s="19">
        <v>308.85000000000002</v>
      </c>
      <c r="H247" s="19">
        <v>308.85000000000002</v>
      </c>
      <c r="I247" s="15">
        <v>9057139</v>
      </c>
      <c r="J247" s="19">
        <f t="shared" si="17"/>
        <v>2.8300316297652737</v>
      </c>
      <c r="K247" s="19">
        <f t="shared" si="18"/>
        <v>308.87</v>
      </c>
      <c r="L247" s="19">
        <f t="shared" si="19"/>
        <v>292.07639999999998</v>
      </c>
      <c r="M247" s="19">
        <f>MAX(G2:G247)</f>
        <v>322.45999999999998</v>
      </c>
      <c r="N247" s="19">
        <f t="shared" si="15"/>
        <v>-4.2206785337716175</v>
      </c>
      <c r="O247" s="9" t="str">
        <f t="shared" si="16"/>
        <v>2024-12</v>
      </c>
    </row>
    <row r="248" spans="1:15" x14ac:dyDescent="0.25">
      <c r="A248" s="9" t="s">
        <v>44</v>
      </c>
      <c r="B248" s="9" t="s">
        <v>45</v>
      </c>
      <c r="C248" s="25" t="s">
        <v>292</v>
      </c>
      <c r="D248" s="19">
        <v>308.85000000000002</v>
      </c>
      <c r="E248" s="19">
        <v>309.62</v>
      </c>
      <c r="F248" s="19">
        <v>308.13</v>
      </c>
      <c r="G248" s="19">
        <v>308.94</v>
      </c>
      <c r="H248" s="19">
        <v>308.94</v>
      </c>
      <c r="I248" s="15">
        <v>8152852</v>
      </c>
      <c r="J248" s="19">
        <f t="shared" si="17"/>
        <v>2.9140359397757803E-2</v>
      </c>
      <c r="K248" s="19">
        <f t="shared" si="18"/>
        <v>309.3125</v>
      </c>
      <c r="L248" s="19">
        <f t="shared" si="19"/>
        <v>292.99340000000001</v>
      </c>
      <c r="M248" s="19">
        <f>MAX(G2:G248)</f>
        <v>322.45999999999998</v>
      </c>
      <c r="N248" s="19">
        <f t="shared" si="15"/>
        <v>-4.192768095267625</v>
      </c>
      <c r="O248" s="9" t="str">
        <f t="shared" si="16"/>
        <v>2024-12</v>
      </c>
    </row>
    <row r="249" spans="1:15" x14ac:dyDescent="0.25">
      <c r="A249" s="9" t="s">
        <v>44</v>
      </c>
      <c r="B249" s="9" t="s">
        <v>45</v>
      </c>
      <c r="C249" s="25" t="s">
        <v>293</v>
      </c>
      <c r="D249" s="19">
        <v>308.94</v>
      </c>
      <c r="E249" s="19">
        <v>311.49</v>
      </c>
      <c r="F249" s="19">
        <v>308.88</v>
      </c>
      <c r="G249" s="19">
        <v>311.31</v>
      </c>
      <c r="H249" s="19">
        <v>311.31</v>
      </c>
      <c r="I249" s="15">
        <v>8097420</v>
      </c>
      <c r="J249" s="19">
        <f t="shared" si="17"/>
        <v>0.76713925033987329</v>
      </c>
      <c r="K249" s="19">
        <f t="shared" si="18"/>
        <v>310.06049999999999</v>
      </c>
      <c r="L249" s="19">
        <f t="shared" si="19"/>
        <v>293.92499999999995</v>
      </c>
      <c r="M249" s="19">
        <f>MAX(G2:G249)</f>
        <v>322.45999999999998</v>
      </c>
      <c r="N249" s="19">
        <f t="shared" si="15"/>
        <v>-3.457793214662277</v>
      </c>
      <c r="O249" s="9" t="str">
        <f t="shared" si="16"/>
        <v>2024-12</v>
      </c>
    </row>
    <row r="250" spans="1:15" x14ac:dyDescent="0.25">
      <c r="A250" s="9" t="s">
        <v>44</v>
      </c>
      <c r="B250" s="9" t="s">
        <v>45</v>
      </c>
      <c r="C250" s="25" t="s">
        <v>294</v>
      </c>
      <c r="D250" s="19">
        <v>311.31</v>
      </c>
      <c r="E250" s="19">
        <v>312.14</v>
      </c>
      <c r="F250" s="19">
        <v>306.81</v>
      </c>
      <c r="G250" s="19">
        <v>308.22000000000003</v>
      </c>
      <c r="H250" s="19">
        <v>308.22000000000003</v>
      </c>
      <c r="I250" s="15">
        <v>7277830</v>
      </c>
      <c r="J250" s="19">
        <f t="shared" si="17"/>
        <v>-0.99257974366386403</v>
      </c>
      <c r="K250" s="19">
        <f t="shared" si="18"/>
        <v>310.50900000000001</v>
      </c>
      <c r="L250" s="19">
        <f t="shared" si="19"/>
        <v>294.78139999999996</v>
      </c>
      <c r="M250" s="19">
        <f>MAX(G2:G250)</f>
        <v>322.45999999999998</v>
      </c>
      <c r="N250" s="19">
        <f t="shared" si="15"/>
        <v>-4.4160516032996195</v>
      </c>
      <c r="O250" s="9" t="str">
        <f t="shared" si="16"/>
        <v>2024-12</v>
      </c>
    </row>
    <row r="251" spans="1:15" x14ac:dyDescent="0.25">
      <c r="A251" s="9" t="s">
        <v>44</v>
      </c>
      <c r="B251" s="9" t="s">
        <v>45</v>
      </c>
      <c r="C251" s="25" t="s">
        <v>295</v>
      </c>
      <c r="D251" s="19">
        <v>308.22000000000003</v>
      </c>
      <c r="E251" s="19">
        <v>309.14999999999998</v>
      </c>
      <c r="F251" s="19">
        <v>306.25</v>
      </c>
      <c r="G251" s="19">
        <v>307.14</v>
      </c>
      <c r="H251" s="19">
        <v>307.14</v>
      </c>
      <c r="I251" s="15">
        <v>10147818</v>
      </c>
      <c r="J251" s="19">
        <f t="shared" si="17"/>
        <v>-0.35039906560250494</v>
      </c>
      <c r="K251" s="19">
        <f t="shared" si="18"/>
        <v>310.65400000000005</v>
      </c>
      <c r="L251" s="19">
        <f t="shared" si="19"/>
        <v>295.63499999999999</v>
      </c>
      <c r="M251" s="19">
        <f>MAX(G2:G251)</f>
        <v>322.45999999999998</v>
      </c>
      <c r="N251" s="19">
        <f t="shared" si="15"/>
        <v>-4.7509768653476385</v>
      </c>
      <c r="O251" s="9" t="str">
        <f t="shared" si="16"/>
        <v>2024-12</v>
      </c>
    </row>
    <row r="252" spans="1:15" x14ac:dyDescent="0.25">
      <c r="A252" s="9" t="s">
        <v>44</v>
      </c>
      <c r="B252" s="9" t="s">
        <v>45</v>
      </c>
      <c r="C252" s="25" t="s">
        <v>296</v>
      </c>
      <c r="D252" s="19">
        <v>307.14</v>
      </c>
      <c r="E252" s="19">
        <v>308.67</v>
      </c>
      <c r="F252" s="19">
        <v>305.67</v>
      </c>
      <c r="G252" s="19">
        <v>305.95999999999998</v>
      </c>
      <c r="H252" s="19">
        <v>305.95999999999998</v>
      </c>
      <c r="I252" s="15">
        <v>6123157</v>
      </c>
      <c r="J252" s="19">
        <f t="shared" si="17"/>
        <v>-0.3841896203685638</v>
      </c>
      <c r="K252" s="19">
        <f t="shared" si="18"/>
        <v>310.69650000000007</v>
      </c>
      <c r="L252" s="19">
        <f t="shared" si="19"/>
        <v>296.58759999999995</v>
      </c>
      <c r="M252" s="19">
        <f>MAX(G2:G252)</f>
        <v>322.45999999999998</v>
      </c>
      <c r="N252" s="19">
        <f t="shared" si="15"/>
        <v>-5.1169137257334247</v>
      </c>
      <c r="O252" s="9" t="str">
        <f t="shared" si="16"/>
        <v>2024-12</v>
      </c>
    </row>
    <row r="253" spans="1:15" x14ac:dyDescent="0.25">
      <c r="A253" s="9" t="s">
        <v>44</v>
      </c>
      <c r="B253" s="9" t="s">
        <v>45</v>
      </c>
      <c r="C253" s="25" t="s">
        <v>297</v>
      </c>
      <c r="D253" s="19">
        <v>305.95999999999998</v>
      </c>
      <c r="E253" s="19">
        <v>317.91000000000003</v>
      </c>
      <c r="F253" s="19">
        <v>305.18</v>
      </c>
      <c r="G253" s="19">
        <v>316.33999999999997</v>
      </c>
      <c r="H253" s="19">
        <v>316.33999999999997</v>
      </c>
      <c r="I253" s="15">
        <v>8993117</v>
      </c>
      <c r="J253" s="19">
        <f t="shared" si="17"/>
        <v>3.392600339913713</v>
      </c>
      <c r="K253" s="19">
        <f t="shared" si="18"/>
        <v>311.35150000000004</v>
      </c>
      <c r="L253" s="19">
        <f t="shared" si="19"/>
        <v>297.74659999999994</v>
      </c>
      <c r="M253" s="19">
        <f>MAX(G2:G253)</f>
        <v>322.45999999999998</v>
      </c>
      <c r="N253" s="19">
        <f t="shared" si="15"/>
        <v>-1.8979098182720353</v>
      </c>
      <c r="O253" s="9" t="str">
        <f t="shared" si="16"/>
        <v>2024-12</v>
      </c>
    </row>
    <row r="254" spans="1:15" x14ac:dyDescent="0.25">
      <c r="A254" s="9" t="s">
        <v>44</v>
      </c>
      <c r="B254" s="9" t="s">
        <v>45</v>
      </c>
      <c r="C254" s="25" t="s">
        <v>298</v>
      </c>
      <c r="D254" s="19">
        <v>316.33999999999997</v>
      </c>
      <c r="E254" s="19">
        <v>316.51</v>
      </c>
      <c r="F254" s="19">
        <v>314.11</v>
      </c>
      <c r="G254" s="19">
        <v>315.66000000000003</v>
      </c>
      <c r="H254" s="19">
        <v>315.66000000000003</v>
      </c>
      <c r="I254" s="15">
        <v>11896151</v>
      </c>
      <c r="J254" s="19">
        <f t="shared" si="17"/>
        <v>-0.21495858886007146</v>
      </c>
      <c r="K254" s="19">
        <f t="shared" si="18"/>
        <v>311.81800000000004</v>
      </c>
      <c r="L254" s="19">
        <f t="shared" si="19"/>
        <v>298.77219999999994</v>
      </c>
      <c r="M254" s="19">
        <f>MAX(G2:G254)</f>
        <v>322.45999999999998</v>
      </c>
      <c r="N254" s="19">
        <f t="shared" si="15"/>
        <v>-2.1087886869689121</v>
      </c>
      <c r="O254" s="9" t="str">
        <f t="shared" si="16"/>
        <v>2024-12</v>
      </c>
    </row>
    <row r="255" spans="1:15" x14ac:dyDescent="0.25">
      <c r="A255" s="9" t="s">
        <v>44</v>
      </c>
      <c r="B255" s="9" t="s">
        <v>45</v>
      </c>
      <c r="C255" s="25" t="s">
        <v>299</v>
      </c>
      <c r="D255" s="19">
        <v>315.66000000000003</v>
      </c>
      <c r="E255" s="19">
        <v>315.99</v>
      </c>
      <c r="F255" s="19">
        <v>308.45999999999998</v>
      </c>
      <c r="G255" s="19">
        <v>308.57</v>
      </c>
      <c r="H255" s="19">
        <v>308.57</v>
      </c>
      <c r="I255" s="15">
        <v>14191302</v>
      </c>
      <c r="J255" s="19">
        <f t="shared" si="17"/>
        <v>-2.2460875625673293</v>
      </c>
      <c r="K255" s="19">
        <f t="shared" si="18"/>
        <v>311.69</v>
      </c>
      <c r="L255" s="19">
        <f t="shared" si="19"/>
        <v>299.67419999999993</v>
      </c>
      <c r="M255" s="19">
        <f>MAX(G2:G255)</f>
        <v>322.45999999999998</v>
      </c>
      <c r="N255" s="19">
        <f t="shared" si="15"/>
        <v>-4.3075110091174063</v>
      </c>
      <c r="O255" s="9" t="str">
        <f t="shared" si="16"/>
        <v>2024-12</v>
      </c>
    </row>
    <row r="256" spans="1:15" x14ac:dyDescent="0.25">
      <c r="A256" s="9" t="s">
        <v>44</v>
      </c>
      <c r="B256" s="9" t="s">
        <v>45</v>
      </c>
      <c r="C256" s="25" t="s">
        <v>300</v>
      </c>
      <c r="D256" s="19">
        <v>308.57</v>
      </c>
      <c r="E256" s="19">
        <v>310.58999999999997</v>
      </c>
      <c r="F256" s="19">
        <v>303.83999999999997</v>
      </c>
      <c r="G256" s="19">
        <v>305.02999999999997</v>
      </c>
      <c r="H256" s="19">
        <v>305.02999999999997</v>
      </c>
      <c r="I256" s="15">
        <v>10649717</v>
      </c>
      <c r="J256" s="19">
        <f t="shared" si="17"/>
        <v>-1.1472275334608097</v>
      </c>
      <c r="K256" s="19">
        <f t="shared" si="18"/>
        <v>311.4325</v>
      </c>
      <c r="L256" s="19">
        <f t="shared" si="19"/>
        <v>300.36019999999991</v>
      </c>
      <c r="M256" s="19">
        <f>MAX(G2:G256)</f>
        <v>322.45999999999998</v>
      </c>
      <c r="N256" s="19">
        <f t="shared" si="15"/>
        <v>-5.4053215902747649</v>
      </c>
      <c r="O256" s="9" t="str">
        <f t="shared" si="16"/>
        <v>2024-12</v>
      </c>
    </row>
    <row r="257" spans="1:15" x14ac:dyDescent="0.25">
      <c r="A257" s="9" t="s">
        <v>44</v>
      </c>
      <c r="B257" s="9" t="s">
        <v>45</v>
      </c>
      <c r="C257" s="25" t="s">
        <v>301</v>
      </c>
      <c r="D257" s="19">
        <v>305.02999999999997</v>
      </c>
      <c r="E257" s="19">
        <v>307.26</v>
      </c>
      <c r="F257" s="19">
        <v>304.57</v>
      </c>
      <c r="G257" s="19">
        <v>306.60000000000002</v>
      </c>
      <c r="H257" s="19">
        <v>306.60000000000002</v>
      </c>
      <c r="I257" s="15">
        <v>7511407</v>
      </c>
      <c r="J257" s="19">
        <f t="shared" si="17"/>
        <v>0.51470347178967646</v>
      </c>
      <c r="K257" s="19">
        <f t="shared" si="18"/>
        <v>311.07650000000001</v>
      </c>
      <c r="L257" s="19">
        <f t="shared" si="19"/>
        <v>301.05199999999991</v>
      </c>
      <c r="M257" s="19">
        <f>MAX(G2:G257)</f>
        <v>322.45999999999998</v>
      </c>
      <c r="N257" s="19">
        <f t="shared" si="15"/>
        <v>-4.9184394963716302</v>
      </c>
      <c r="O257" s="9" t="str">
        <f t="shared" si="16"/>
        <v>2024-12</v>
      </c>
    </row>
    <row r="258" spans="1:15" x14ac:dyDescent="0.25">
      <c r="A258" s="9" t="s">
        <v>44</v>
      </c>
      <c r="B258" s="9" t="s">
        <v>45</v>
      </c>
      <c r="C258" s="25" t="s">
        <v>302</v>
      </c>
      <c r="D258" s="19">
        <v>306.60000000000002</v>
      </c>
      <c r="E258" s="19">
        <v>307.85000000000002</v>
      </c>
      <c r="F258" s="19">
        <v>303.39999999999998</v>
      </c>
      <c r="G258" s="19">
        <v>304.11</v>
      </c>
      <c r="H258" s="19">
        <v>304.11</v>
      </c>
      <c r="I258" s="15">
        <v>7525915</v>
      </c>
      <c r="J258" s="19">
        <f t="shared" si="17"/>
        <v>-0.8121330724070478</v>
      </c>
      <c r="K258" s="19">
        <f t="shared" si="18"/>
        <v>310.62699999999995</v>
      </c>
      <c r="L258" s="19">
        <f t="shared" si="19"/>
        <v>301.63379999999995</v>
      </c>
      <c r="M258" s="19">
        <f>MAX(G2:G258)</f>
        <v>322.45999999999998</v>
      </c>
      <c r="N258" s="19">
        <f t="shared" ref="N258:N321" si="20">(G258-M258)/M258*100</f>
        <v>-5.6906282949823135</v>
      </c>
      <c r="O258" s="9" t="str">
        <f t="shared" ref="O258:O321" si="21">TEXT(C258,"yyyy-mm")</f>
        <v>2024-12</v>
      </c>
    </row>
    <row r="259" spans="1:15" x14ac:dyDescent="0.25">
      <c r="A259" s="9" t="s">
        <v>44</v>
      </c>
      <c r="B259" s="9" t="s">
        <v>45</v>
      </c>
      <c r="C259" s="25" t="s">
        <v>303</v>
      </c>
      <c r="D259" s="19">
        <v>304.11</v>
      </c>
      <c r="E259" s="19">
        <v>304.14999999999998</v>
      </c>
      <c r="F259" s="19">
        <v>300.55</v>
      </c>
      <c r="G259" s="19">
        <v>300.83</v>
      </c>
      <c r="H259" s="19">
        <v>300.83</v>
      </c>
      <c r="I259" s="15">
        <v>4265850</v>
      </c>
      <c r="J259" s="19">
        <f t="shared" si="17"/>
        <v>-1.0785571010489723</v>
      </c>
      <c r="K259" s="19">
        <f t="shared" si="18"/>
        <v>310.21199999999993</v>
      </c>
      <c r="L259" s="19">
        <f t="shared" si="19"/>
        <v>302.13719999999995</v>
      </c>
      <c r="M259" s="19">
        <f>MAX(G2:G259)</f>
        <v>322.45999999999998</v>
      </c>
      <c r="N259" s="19">
        <f t="shared" si="20"/>
        <v>-6.7078087204614514</v>
      </c>
      <c r="O259" s="9" t="str">
        <f t="shared" si="21"/>
        <v>2024-12</v>
      </c>
    </row>
    <row r="260" spans="1:15" x14ac:dyDescent="0.25">
      <c r="A260" s="9" t="s">
        <v>44</v>
      </c>
      <c r="B260" s="9" t="s">
        <v>45</v>
      </c>
      <c r="C260" s="25" t="s">
        <v>304</v>
      </c>
      <c r="D260" s="19">
        <v>300.83</v>
      </c>
      <c r="E260" s="19">
        <v>303.51</v>
      </c>
      <c r="F260" s="19">
        <v>299.42</v>
      </c>
      <c r="G260" s="19">
        <v>302.5</v>
      </c>
      <c r="H260" s="19">
        <v>302.5</v>
      </c>
      <c r="I260" s="15">
        <v>5039676</v>
      </c>
      <c r="J260" s="19">
        <f t="shared" si="17"/>
        <v>0.55513080477346544</v>
      </c>
      <c r="K260" s="19">
        <f t="shared" si="18"/>
        <v>309.4905</v>
      </c>
      <c r="L260" s="19">
        <f t="shared" si="19"/>
        <v>302.52719999999994</v>
      </c>
      <c r="M260" s="19">
        <f>MAX(G2:G260)</f>
        <v>322.45999999999998</v>
      </c>
      <c r="N260" s="19">
        <f t="shared" si="20"/>
        <v>-6.1899150282205486</v>
      </c>
      <c r="O260" s="9" t="str">
        <f t="shared" si="21"/>
        <v>2024-12</v>
      </c>
    </row>
    <row r="261" spans="1:15" x14ac:dyDescent="0.25">
      <c r="A261" s="9" t="s">
        <v>44</v>
      </c>
      <c r="B261" s="9" t="s">
        <v>45</v>
      </c>
      <c r="C261" s="25" t="s">
        <v>305</v>
      </c>
      <c r="D261" s="19">
        <v>302.5</v>
      </c>
      <c r="E261" s="19">
        <v>308.22000000000003</v>
      </c>
      <c r="F261" s="19">
        <v>301.64999999999998</v>
      </c>
      <c r="G261" s="19">
        <v>305.83999999999997</v>
      </c>
      <c r="H261" s="19">
        <v>305.83999999999997</v>
      </c>
      <c r="I261" s="15">
        <v>7866154</v>
      </c>
      <c r="J261" s="19">
        <f t="shared" si="17"/>
        <v>1.1041322314049504</v>
      </c>
      <c r="K261" s="19">
        <f t="shared" si="18"/>
        <v>308.91250000000002</v>
      </c>
      <c r="L261" s="19">
        <f t="shared" si="19"/>
        <v>302.928</v>
      </c>
      <c r="M261" s="19">
        <f>MAX(G2:G261)</f>
        <v>322.45999999999998</v>
      </c>
      <c r="N261" s="19">
        <f t="shared" si="20"/>
        <v>-5.15412764373876</v>
      </c>
      <c r="O261" s="9" t="str">
        <f t="shared" si="21"/>
        <v>2024-12</v>
      </c>
    </row>
    <row r="262" spans="1:15" x14ac:dyDescent="0.25">
      <c r="A262" s="9" t="s">
        <v>44</v>
      </c>
      <c r="B262" s="9" t="s">
        <v>45</v>
      </c>
      <c r="C262" s="25" t="s">
        <v>306</v>
      </c>
      <c r="D262" s="19">
        <v>305.83999999999997</v>
      </c>
      <c r="E262" s="19">
        <v>308.68</v>
      </c>
      <c r="F262" s="19">
        <v>304.63</v>
      </c>
      <c r="G262" s="19">
        <v>308.58</v>
      </c>
      <c r="H262" s="19">
        <v>308.58</v>
      </c>
      <c r="I262" s="15">
        <v>9510592</v>
      </c>
      <c r="J262" s="19">
        <f t="shared" si="17"/>
        <v>0.895893277530738</v>
      </c>
      <c r="K262" s="19">
        <f t="shared" si="18"/>
        <v>308.21850000000001</v>
      </c>
      <c r="L262" s="19">
        <f t="shared" si="19"/>
        <v>303.37699999999995</v>
      </c>
      <c r="M262" s="19">
        <f>MAX(G2:G262)</f>
        <v>322.45999999999998</v>
      </c>
      <c r="N262" s="19">
        <f t="shared" si="20"/>
        <v>-4.3044098492836307</v>
      </c>
      <c r="O262" s="9" t="str">
        <f t="shared" si="21"/>
        <v>2024-12</v>
      </c>
    </row>
    <row r="263" spans="1:15" x14ac:dyDescent="0.25">
      <c r="A263" s="9" t="s">
        <v>44</v>
      </c>
      <c r="B263" s="9" t="s">
        <v>45</v>
      </c>
      <c r="C263" s="25" t="s">
        <v>307</v>
      </c>
      <c r="D263" s="19">
        <v>308.58</v>
      </c>
      <c r="E263" s="19">
        <v>308.68</v>
      </c>
      <c r="F263" s="19">
        <v>303.64</v>
      </c>
      <c r="G263" s="19">
        <v>304.52999999999997</v>
      </c>
      <c r="H263" s="19">
        <v>304.52999999999997</v>
      </c>
      <c r="I263" s="15">
        <v>10966623</v>
      </c>
      <c r="J263" s="19">
        <f t="shared" si="17"/>
        <v>-1.3124635426793738</v>
      </c>
      <c r="K263" s="19">
        <f t="shared" si="18"/>
        <v>307.37349999999998</v>
      </c>
      <c r="L263" s="19">
        <f t="shared" si="19"/>
        <v>303.64779999999996</v>
      </c>
      <c r="M263" s="19">
        <f>MAX(G2:G263)</f>
        <v>322.45999999999998</v>
      </c>
      <c r="N263" s="19">
        <f t="shared" si="20"/>
        <v>-5.560379581963657</v>
      </c>
      <c r="O263" s="9" t="str">
        <f t="shared" si="21"/>
        <v>2024-12</v>
      </c>
    </row>
    <row r="264" spans="1:15" x14ac:dyDescent="0.25">
      <c r="A264" s="9" t="s">
        <v>308</v>
      </c>
      <c r="B264" s="9" t="s">
        <v>309</v>
      </c>
      <c r="C264" s="25" t="s">
        <v>46</v>
      </c>
      <c r="D264" s="19">
        <v>160</v>
      </c>
      <c r="E264" s="19">
        <v>160.77000000000001</v>
      </c>
      <c r="F264" s="19">
        <v>159.53</v>
      </c>
      <c r="G264" s="19">
        <v>160.59</v>
      </c>
      <c r="H264" s="19">
        <v>160.59</v>
      </c>
      <c r="I264" s="15">
        <v>5053252</v>
      </c>
      <c r="J264" s="19"/>
      <c r="K264" s="19"/>
      <c r="L264" s="19"/>
      <c r="M264" s="19">
        <f>MAX(G264:G264)</f>
        <v>160.59</v>
      </c>
      <c r="N264" s="19">
        <f t="shared" si="20"/>
        <v>0</v>
      </c>
      <c r="O264" s="9" t="str">
        <f t="shared" si="21"/>
        <v>2024-01</v>
      </c>
    </row>
    <row r="265" spans="1:15" x14ac:dyDescent="0.25">
      <c r="A265" s="9" t="s">
        <v>308</v>
      </c>
      <c r="B265" s="9" t="s">
        <v>309</v>
      </c>
      <c r="C265" s="25" t="s">
        <v>47</v>
      </c>
      <c r="D265" s="19">
        <v>160.59</v>
      </c>
      <c r="E265" s="19">
        <v>161.72999999999999</v>
      </c>
      <c r="F265" s="19">
        <v>160.15</v>
      </c>
      <c r="G265" s="19">
        <v>160.86000000000001</v>
      </c>
      <c r="H265" s="19">
        <v>160.86000000000001</v>
      </c>
      <c r="I265" s="15">
        <v>3920013</v>
      </c>
      <c r="J265" s="19">
        <f t="shared" ref="J265:J328" si="22">IFERROR((G265-G264)/G264*100,"")</f>
        <v>0.1681300205492311</v>
      </c>
      <c r="K265" s="19"/>
      <c r="L265" s="19"/>
      <c r="M265" s="19">
        <f>MAX(G264:G265)</f>
        <v>160.86000000000001</v>
      </c>
      <c r="N265" s="19">
        <f t="shared" si="20"/>
        <v>0</v>
      </c>
      <c r="O265" s="9" t="str">
        <f t="shared" si="21"/>
        <v>2024-01</v>
      </c>
    </row>
    <row r="266" spans="1:15" x14ac:dyDescent="0.25">
      <c r="A266" s="9" t="s">
        <v>308</v>
      </c>
      <c r="B266" s="9" t="s">
        <v>309</v>
      </c>
      <c r="C266" s="25" t="s">
        <v>48</v>
      </c>
      <c r="D266" s="19">
        <v>160.86000000000001</v>
      </c>
      <c r="E266" s="19">
        <v>162.53</v>
      </c>
      <c r="F266" s="19">
        <v>159.68</v>
      </c>
      <c r="G266" s="19">
        <v>162.13</v>
      </c>
      <c r="H266" s="19">
        <v>162.13</v>
      </c>
      <c r="I266" s="15">
        <v>3704245</v>
      </c>
      <c r="J266" s="19">
        <f t="shared" si="22"/>
        <v>0.78950640308341513</v>
      </c>
      <c r="K266" s="19"/>
      <c r="L266" s="19"/>
      <c r="M266" s="19">
        <f>MAX(G264:G266)</f>
        <v>162.13</v>
      </c>
      <c r="N266" s="19">
        <f t="shared" si="20"/>
        <v>0</v>
      </c>
      <c r="O266" s="9" t="str">
        <f t="shared" si="21"/>
        <v>2024-01</v>
      </c>
    </row>
    <row r="267" spans="1:15" x14ac:dyDescent="0.25">
      <c r="A267" s="9" t="s">
        <v>308</v>
      </c>
      <c r="B267" s="9" t="s">
        <v>309</v>
      </c>
      <c r="C267" s="25" t="s">
        <v>49</v>
      </c>
      <c r="D267" s="19">
        <v>162.13</v>
      </c>
      <c r="E267" s="19">
        <v>162.22999999999999</v>
      </c>
      <c r="F267" s="19">
        <v>160.41999999999999</v>
      </c>
      <c r="G267" s="19">
        <v>160.59</v>
      </c>
      <c r="H267" s="19">
        <v>160.59</v>
      </c>
      <c r="I267" s="15">
        <v>4811972</v>
      </c>
      <c r="J267" s="19">
        <f t="shared" si="22"/>
        <v>-0.9498550545858212</v>
      </c>
      <c r="K267" s="19"/>
      <c r="L267" s="19"/>
      <c r="M267" s="19">
        <f>MAX(G264:G267)</f>
        <v>162.13</v>
      </c>
      <c r="N267" s="19">
        <f t="shared" si="20"/>
        <v>-0.9498550545858212</v>
      </c>
      <c r="O267" s="9" t="str">
        <f t="shared" si="21"/>
        <v>2024-01</v>
      </c>
    </row>
    <row r="268" spans="1:15" x14ac:dyDescent="0.25">
      <c r="A268" s="9" t="s">
        <v>308</v>
      </c>
      <c r="B268" s="9" t="s">
        <v>309</v>
      </c>
      <c r="C268" s="25" t="s">
        <v>50</v>
      </c>
      <c r="D268" s="19">
        <v>160.59</v>
      </c>
      <c r="E268" s="19">
        <v>161.38</v>
      </c>
      <c r="F268" s="19">
        <v>158.71</v>
      </c>
      <c r="G268" s="19">
        <v>159.59</v>
      </c>
      <c r="H268" s="19">
        <v>159.59</v>
      </c>
      <c r="I268" s="15">
        <v>5373615</v>
      </c>
      <c r="J268" s="19">
        <f t="shared" si="22"/>
        <v>-0.62270377981194347</v>
      </c>
      <c r="K268" s="19"/>
      <c r="L268" s="19"/>
      <c r="M268" s="19">
        <f>MAX(G264:G268)</f>
        <v>162.13</v>
      </c>
      <c r="N268" s="19">
        <f t="shared" si="20"/>
        <v>-1.5666440510701243</v>
      </c>
      <c r="O268" s="9" t="str">
        <f t="shared" si="21"/>
        <v>2024-01</v>
      </c>
    </row>
    <row r="269" spans="1:15" x14ac:dyDescent="0.25">
      <c r="A269" s="9" t="s">
        <v>308</v>
      </c>
      <c r="B269" s="9" t="s">
        <v>309</v>
      </c>
      <c r="C269" s="25" t="s">
        <v>51</v>
      </c>
      <c r="D269" s="19">
        <v>159.59</v>
      </c>
      <c r="E269" s="19">
        <v>160.41</v>
      </c>
      <c r="F269" s="19">
        <v>156.02000000000001</v>
      </c>
      <c r="G269" s="19">
        <v>156.44</v>
      </c>
      <c r="H269" s="19">
        <v>156.44</v>
      </c>
      <c r="I269" s="15">
        <v>3338821</v>
      </c>
      <c r="J269" s="19">
        <f t="shared" si="22"/>
        <v>-1.9738078826994208</v>
      </c>
      <c r="K269" s="19"/>
      <c r="L269" s="19"/>
      <c r="M269" s="19">
        <f>MAX(G264:G269)</f>
        <v>162.13</v>
      </c>
      <c r="N269" s="19">
        <f t="shared" si="20"/>
        <v>-3.5095293899956812</v>
      </c>
      <c r="O269" s="9" t="str">
        <f t="shared" si="21"/>
        <v>2024-01</v>
      </c>
    </row>
    <row r="270" spans="1:15" x14ac:dyDescent="0.25">
      <c r="A270" s="9" t="s">
        <v>308</v>
      </c>
      <c r="B270" s="9" t="s">
        <v>309</v>
      </c>
      <c r="C270" s="25" t="s">
        <v>52</v>
      </c>
      <c r="D270" s="19">
        <v>156.44</v>
      </c>
      <c r="E270" s="19">
        <v>156.91</v>
      </c>
      <c r="F270" s="19">
        <v>155.22</v>
      </c>
      <c r="G270" s="19">
        <v>155.43</v>
      </c>
      <c r="H270" s="19">
        <v>155.43</v>
      </c>
      <c r="I270" s="15">
        <v>4207339</v>
      </c>
      <c r="J270" s="19">
        <f t="shared" si="22"/>
        <v>-0.64561493224238742</v>
      </c>
      <c r="K270" s="19"/>
      <c r="L270" s="19"/>
      <c r="M270" s="19">
        <f>MAX(G264:G270)</f>
        <v>162.13</v>
      </c>
      <c r="N270" s="19">
        <f t="shared" si="20"/>
        <v>-4.1324862764448209</v>
      </c>
      <c r="O270" s="9" t="str">
        <f t="shared" si="21"/>
        <v>2024-01</v>
      </c>
    </row>
    <row r="271" spans="1:15" x14ac:dyDescent="0.25">
      <c r="A271" s="9" t="s">
        <v>308</v>
      </c>
      <c r="B271" s="9" t="s">
        <v>309</v>
      </c>
      <c r="C271" s="25" t="s">
        <v>53</v>
      </c>
      <c r="D271" s="19">
        <v>155.43</v>
      </c>
      <c r="E271" s="19">
        <v>156.02000000000001</v>
      </c>
      <c r="F271" s="19">
        <v>153.41999999999999</v>
      </c>
      <c r="G271" s="19">
        <v>153.57</v>
      </c>
      <c r="H271" s="19">
        <v>153.57</v>
      </c>
      <c r="I271" s="15">
        <v>6077611</v>
      </c>
      <c r="J271" s="19">
        <f t="shared" si="22"/>
        <v>-1.196680177571906</v>
      </c>
      <c r="K271" s="19"/>
      <c r="L271" s="19"/>
      <c r="M271" s="19">
        <f>MAX(G264:G271)</f>
        <v>162.13</v>
      </c>
      <c r="N271" s="19">
        <f t="shared" si="20"/>
        <v>-5.2797138099056324</v>
      </c>
      <c r="O271" s="9" t="str">
        <f t="shared" si="21"/>
        <v>2024-01</v>
      </c>
    </row>
    <row r="272" spans="1:15" x14ac:dyDescent="0.25">
      <c r="A272" s="9" t="s">
        <v>308</v>
      </c>
      <c r="B272" s="9" t="s">
        <v>309</v>
      </c>
      <c r="C272" s="25" t="s">
        <v>54</v>
      </c>
      <c r="D272" s="19">
        <v>153.57</v>
      </c>
      <c r="E272" s="19">
        <v>155.88</v>
      </c>
      <c r="F272" s="19">
        <v>153.49</v>
      </c>
      <c r="G272" s="19">
        <v>155.5</v>
      </c>
      <c r="H272" s="19">
        <v>155.5</v>
      </c>
      <c r="I272" s="15">
        <v>5146451</v>
      </c>
      <c r="J272" s="19">
        <f t="shared" si="22"/>
        <v>1.2567558767988585</v>
      </c>
      <c r="K272" s="19"/>
      <c r="L272" s="19"/>
      <c r="M272" s="19">
        <f>MAX(G264:G272)</f>
        <v>162.13</v>
      </c>
      <c r="N272" s="19">
        <f t="shared" si="20"/>
        <v>-4.0893110466909244</v>
      </c>
      <c r="O272" s="9" t="str">
        <f t="shared" si="21"/>
        <v>2024-01</v>
      </c>
    </row>
    <row r="273" spans="1:15" x14ac:dyDescent="0.25">
      <c r="A273" s="9" t="s">
        <v>308</v>
      </c>
      <c r="B273" s="9" t="s">
        <v>309</v>
      </c>
      <c r="C273" s="25" t="s">
        <v>55</v>
      </c>
      <c r="D273" s="19">
        <v>155.5</v>
      </c>
      <c r="E273" s="19">
        <v>156.05000000000001</v>
      </c>
      <c r="F273" s="19">
        <v>151.24</v>
      </c>
      <c r="G273" s="19">
        <v>151.69</v>
      </c>
      <c r="H273" s="19">
        <v>151.69</v>
      </c>
      <c r="I273" s="15">
        <v>3073837</v>
      </c>
      <c r="J273" s="19">
        <f t="shared" si="22"/>
        <v>-2.4501607717041818</v>
      </c>
      <c r="K273" s="19"/>
      <c r="L273" s="19"/>
      <c r="M273" s="19">
        <f>MAX(G264:G273)</f>
        <v>162.13</v>
      </c>
      <c r="N273" s="19">
        <f t="shared" si="20"/>
        <v>-6.4392771232961197</v>
      </c>
      <c r="O273" s="9" t="str">
        <f t="shared" si="21"/>
        <v>2024-01</v>
      </c>
    </row>
    <row r="274" spans="1:15" x14ac:dyDescent="0.25">
      <c r="A274" s="9" t="s">
        <v>308</v>
      </c>
      <c r="B274" s="9" t="s">
        <v>309</v>
      </c>
      <c r="C274" s="25" t="s">
        <v>56</v>
      </c>
      <c r="D274" s="19">
        <v>151.69</v>
      </c>
      <c r="E274" s="19">
        <v>152.07</v>
      </c>
      <c r="F274" s="19">
        <v>149.51</v>
      </c>
      <c r="G274" s="19">
        <v>149.75</v>
      </c>
      <c r="H274" s="19">
        <v>149.75</v>
      </c>
      <c r="I274" s="15">
        <v>3025084</v>
      </c>
      <c r="J274" s="19">
        <f t="shared" si="22"/>
        <v>-1.2789241215637139</v>
      </c>
      <c r="K274" s="19"/>
      <c r="L274" s="19"/>
      <c r="M274" s="19">
        <f>MAX(G264:G274)</f>
        <v>162.13</v>
      </c>
      <c r="N274" s="19">
        <f t="shared" si="20"/>
        <v>-7.6358477764756651</v>
      </c>
      <c r="O274" s="9" t="str">
        <f t="shared" si="21"/>
        <v>2024-01</v>
      </c>
    </row>
    <row r="275" spans="1:15" x14ac:dyDescent="0.25">
      <c r="A275" s="9" t="s">
        <v>308</v>
      </c>
      <c r="B275" s="9" t="s">
        <v>309</v>
      </c>
      <c r="C275" s="25" t="s">
        <v>57</v>
      </c>
      <c r="D275" s="19">
        <v>149.75</v>
      </c>
      <c r="E275" s="19">
        <v>150.22999999999999</v>
      </c>
      <c r="F275" s="19">
        <v>149.34</v>
      </c>
      <c r="G275" s="19">
        <v>149.52000000000001</v>
      </c>
      <c r="H275" s="19">
        <v>149.52000000000001</v>
      </c>
      <c r="I275" s="15">
        <v>3432471</v>
      </c>
      <c r="J275" s="19">
        <f t="shared" si="22"/>
        <v>-0.15358931552586963</v>
      </c>
      <c r="K275" s="19"/>
      <c r="L275" s="19"/>
      <c r="M275" s="19">
        <f>MAX(G264:G275)</f>
        <v>162.13</v>
      </c>
      <c r="N275" s="19">
        <f t="shared" si="20"/>
        <v>-7.7777092456670482</v>
      </c>
      <c r="O275" s="9" t="str">
        <f t="shared" si="21"/>
        <v>2024-01</v>
      </c>
    </row>
    <row r="276" spans="1:15" x14ac:dyDescent="0.25">
      <c r="A276" s="9" t="s">
        <v>308</v>
      </c>
      <c r="B276" s="9" t="s">
        <v>309</v>
      </c>
      <c r="C276" s="25" t="s">
        <v>58</v>
      </c>
      <c r="D276" s="19">
        <v>149.52000000000001</v>
      </c>
      <c r="E276" s="19">
        <v>150.87</v>
      </c>
      <c r="F276" s="19">
        <v>149.47</v>
      </c>
      <c r="G276" s="19">
        <v>150.44999999999999</v>
      </c>
      <c r="H276" s="19">
        <v>150.44999999999999</v>
      </c>
      <c r="I276" s="15">
        <v>4610966</v>
      </c>
      <c r="J276" s="19">
        <f t="shared" si="22"/>
        <v>0.62199036918136585</v>
      </c>
      <c r="K276" s="19"/>
      <c r="L276" s="19"/>
      <c r="M276" s="19">
        <f>MAX(G264:G276)</f>
        <v>162.13</v>
      </c>
      <c r="N276" s="19">
        <f t="shared" si="20"/>
        <v>-7.2040954789366607</v>
      </c>
      <c r="O276" s="9" t="str">
        <f t="shared" si="21"/>
        <v>2024-01</v>
      </c>
    </row>
    <row r="277" spans="1:15" x14ac:dyDescent="0.25">
      <c r="A277" s="9" t="s">
        <v>308</v>
      </c>
      <c r="B277" s="9" t="s">
        <v>309</v>
      </c>
      <c r="C277" s="25" t="s">
        <v>59</v>
      </c>
      <c r="D277" s="19">
        <v>150.44999999999999</v>
      </c>
      <c r="E277" s="19">
        <v>151.94999999999999</v>
      </c>
      <c r="F277" s="19">
        <v>150.27000000000001</v>
      </c>
      <c r="G277" s="19">
        <v>151.22999999999999</v>
      </c>
      <c r="H277" s="19">
        <v>151.22999999999999</v>
      </c>
      <c r="I277" s="15">
        <v>3538657</v>
      </c>
      <c r="J277" s="19">
        <f t="shared" si="22"/>
        <v>0.51844466600199479</v>
      </c>
      <c r="K277" s="19"/>
      <c r="L277" s="19"/>
      <c r="M277" s="19">
        <f>MAX(G264:G277)</f>
        <v>162.13</v>
      </c>
      <c r="N277" s="19">
        <f t="shared" si="20"/>
        <v>-6.7230000616789036</v>
      </c>
      <c r="O277" s="9" t="str">
        <f t="shared" si="21"/>
        <v>2024-01</v>
      </c>
    </row>
    <row r="278" spans="1:15" x14ac:dyDescent="0.25">
      <c r="A278" s="9" t="s">
        <v>308</v>
      </c>
      <c r="B278" s="9" t="s">
        <v>309</v>
      </c>
      <c r="C278" s="25" t="s">
        <v>60</v>
      </c>
      <c r="D278" s="19">
        <v>151.22999999999999</v>
      </c>
      <c r="E278" s="19">
        <v>151.47</v>
      </c>
      <c r="F278" s="19">
        <v>150.71</v>
      </c>
      <c r="G278" s="19">
        <v>151.24</v>
      </c>
      <c r="H278" s="19">
        <v>151.24</v>
      </c>
      <c r="I278" s="15">
        <v>5332607</v>
      </c>
      <c r="J278" s="19">
        <f t="shared" si="22"/>
        <v>6.6124446207890802E-3</v>
      </c>
      <c r="K278" s="19"/>
      <c r="L278" s="19"/>
      <c r="M278" s="19">
        <f>MAX(G264:G278)</f>
        <v>162.13</v>
      </c>
      <c r="N278" s="19">
        <f t="shared" si="20"/>
        <v>-6.7168321717140493</v>
      </c>
      <c r="O278" s="9" t="str">
        <f t="shared" si="21"/>
        <v>2024-01</v>
      </c>
    </row>
    <row r="279" spans="1:15" x14ac:dyDescent="0.25">
      <c r="A279" s="9" t="s">
        <v>308</v>
      </c>
      <c r="B279" s="9" t="s">
        <v>309</v>
      </c>
      <c r="C279" s="25" t="s">
        <v>61</v>
      </c>
      <c r="D279" s="19">
        <v>151.24</v>
      </c>
      <c r="E279" s="19">
        <v>152.52000000000001</v>
      </c>
      <c r="F279" s="19">
        <v>150.79</v>
      </c>
      <c r="G279" s="19">
        <v>151.79</v>
      </c>
      <c r="H279" s="19">
        <v>151.79</v>
      </c>
      <c r="I279" s="15">
        <v>3628825</v>
      </c>
      <c r="J279" s="19">
        <f t="shared" si="22"/>
        <v>0.36366040729964488</v>
      </c>
      <c r="K279" s="19"/>
      <c r="L279" s="19"/>
      <c r="M279" s="19">
        <f>MAX(G264:G279)</f>
        <v>162.13</v>
      </c>
      <c r="N279" s="19">
        <f t="shared" si="20"/>
        <v>-6.3775982236476931</v>
      </c>
      <c r="O279" s="9" t="str">
        <f t="shared" si="21"/>
        <v>2024-01</v>
      </c>
    </row>
    <row r="280" spans="1:15" x14ac:dyDescent="0.25">
      <c r="A280" s="9" t="s">
        <v>308</v>
      </c>
      <c r="B280" s="9" t="s">
        <v>309</v>
      </c>
      <c r="C280" s="25" t="s">
        <v>62</v>
      </c>
      <c r="D280" s="19">
        <v>151.79</v>
      </c>
      <c r="E280" s="19">
        <v>153.21</v>
      </c>
      <c r="F280" s="19">
        <v>150.16</v>
      </c>
      <c r="G280" s="19">
        <v>152.9</v>
      </c>
      <c r="H280" s="19">
        <v>152.9</v>
      </c>
      <c r="I280" s="15">
        <v>4968603</v>
      </c>
      <c r="J280" s="19">
        <f t="shared" si="22"/>
        <v>0.73127346992556408</v>
      </c>
      <c r="K280" s="19"/>
      <c r="L280" s="19"/>
      <c r="M280" s="19">
        <f>MAX(G264:G280)</f>
        <v>162.13</v>
      </c>
      <c r="N280" s="19">
        <f t="shared" si="20"/>
        <v>-5.6929624375501078</v>
      </c>
      <c r="O280" s="9" t="str">
        <f t="shared" si="21"/>
        <v>2024-01</v>
      </c>
    </row>
    <row r="281" spans="1:15" x14ac:dyDescent="0.25">
      <c r="A281" s="9" t="s">
        <v>308</v>
      </c>
      <c r="B281" s="9" t="s">
        <v>309</v>
      </c>
      <c r="C281" s="25" t="s">
        <v>63</v>
      </c>
      <c r="D281" s="19">
        <v>152.9</v>
      </c>
      <c r="E281" s="19">
        <v>154.52000000000001</v>
      </c>
      <c r="F281" s="19">
        <v>151.06</v>
      </c>
      <c r="G281" s="19">
        <v>151.30000000000001</v>
      </c>
      <c r="H281" s="19">
        <v>151.30000000000001</v>
      </c>
      <c r="I281" s="15">
        <v>3065003</v>
      </c>
      <c r="J281" s="19">
        <f t="shared" si="22"/>
        <v>-1.0464355788096757</v>
      </c>
      <c r="K281" s="19"/>
      <c r="L281" s="19"/>
      <c r="M281" s="19">
        <f>MAX(G264:G281)</f>
        <v>162.13</v>
      </c>
      <c r="N281" s="19">
        <f t="shared" si="20"/>
        <v>-6.6798248319249893</v>
      </c>
      <c r="O281" s="9" t="str">
        <f t="shared" si="21"/>
        <v>2024-01</v>
      </c>
    </row>
    <row r="282" spans="1:15" x14ac:dyDescent="0.25">
      <c r="A282" s="9" t="s">
        <v>308</v>
      </c>
      <c r="B282" s="9" t="s">
        <v>309</v>
      </c>
      <c r="C282" s="25" t="s">
        <v>64</v>
      </c>
      <c r="D282" s="19">
        <v>151.30000000000001</v>
      </c>
      <c r="E282" s="19">
        <v>154.22999999999999</v>
      </c>
      <c r="F282" s="19">
        <v>151.16999999999999</v>
      </c>
      <c r="G282" s="19">
        <v>153.66</v>
      </c>
      <c r="H282" s="19">
        <v>153.66</v>
      </c>
      <c r="I282" s="15">
        <v>5198404</v>
      </c>
      <c r="J282" s="19">
        <f t="shared" si="22"/>
        <v>1.5598149372108294</v>
      </c>
      <c r="K282" s="19"/>
      <c r="L282" s="19"/>
      <c r="M282" s="19">
        <f>MAX(G264:G282)</f>
        <v>162.13</v>
      </c>
      <c r="N282" s="19">
        <f t="shared" si="20"/>
        <v>-5.2242028002220433</v>
      </c>
      <c r="O282" s="9" t="str">
        <f t="shared" si="21"/>
        <v>2024-01</v>
      </c>
    </row>
    <row r="283" spans="1:15" x14ac:dyDescent="0.25">
      <c r="A283" s="9" t="s">
        <v>308</v>
      </c>
      <c r="B283" s="9" t="s">
        <v>309</v>
      </c>
      <c r="C283" s="25" t="s">
        <v>65</v>
      </c>
      <c r="D283" s="19">
        <v>153.66</v>
      </c>
      <c r="E283" s="19">
        <v>153.72</v>
      </c>
      <c r="F283" s="19">
        <v>152.6</v>
      </c>
      <c r="G283" s="19">
        <v>152.99</v>
      </c>
      <c r="H283" s="19">
        <v>152.99</v>
      </c>
      <c r="I283" s="15">
        <v>4414178</v>
      </c>
      <c r="J283" s="19">
        <f t="shared" si="22"/>
        <v>-0.43602759338799135</v>
      </c>
      <c r="K283" s="19">
        <f t="shared" ref="K283:K346" si="23">AVERAGE(G264:G283)</f>
        <v>154.56100000000001</v>
      </c>
      <c r="L283" s="19"/>
      <c r="M283" s="19">
        <f>MAX(G264:G283)</f>
        <v>162.13</v>
      </c>
      <c r="N283" s="19">
        <f t="shared" si="20"/>
        <v>-5.6374514278665186</v>
      </c>
      <c r="O283" s="9" t="str">
        <f t="shared" si="21"/>
        <v>2024-01</v>
      </c>
    </row>
    <row r="284" spans="1:15" x14ac:dyDescent="0.25">
      <c r="A284" s="9" t="s">
        <v>308</v>
      </c>
      <c r="B284" s="9" t="s">
        <v>309</v>
      </c>
      <c r="C284" s="25" t="s">
        <v>66</v>
      </c>
      <c r="D284" s="19">
        <v>152.99</v>
      </c>
      <c r="E284" s="19">
        <v>155.01</v>
      </c>
      <c r="F284" s="19">
        <v>152.52000000000001</v>
      </c>
      <c r="G284" s="19">
        <v>154.57</v>
      </c>
      <c r="H284" s="19">
        <v>154.57</v>
      </c>
      <c r="I284" s="15">
        <v>2621588</v>
      </c>
      <c r="J284" s="19">
        <f t="shared" si="22"/>
        <v>1.032747238381583</v>
      </c>
      <c r="K284" s="19">
        <f t="shared" si="23"/>
        <v>154.26000000000002</v>
      </c>
      <c r="L284" s="19"/>
      <c r="M284" s="19">
        <f>MAX(G264:G284)</f>
        <v>162.13</v>
      </c>
      <c r="N284" s="19">
        <f t="shared" si="20"/>
        <v>-4.6629248134213297</v>
      </c>
      <c r="O284" s="9" t="str">
        <f t="shared" si="21"/>
        <v>2024-01</v>
      </c>
    </row>
    <row r="285" spans="1:15" x14ac:dyDescent="0.25">
      <c r="A285" s="9" t="s">
        <v>308</v>
      </c>
      <c r="B285" s="9" t="s">
        <v>309</v>
      </c>
      <c r="C285" s="25" t="s">
        <v>67</v>
      </c>
      <c r="D285" s="19">
        <v>154.57</v>
      </c>
      <c r="E285" s="19">
        <v>154.78</v>
      </c>
      <c r="F285" s="19">
        <v>154.57</v>
      </c>
      <c r="G285" s="19">
        <v>154.74</v>
      </c>
      <c r="H285" s="19">
        <v>154.74</v>
      </c>
      <c r="I285" s="15">
        <v>6256587</v>
      </c>
      <c r="J285" s="19">
        <f t="shared" si="22"/>
        <v>0.10998253218607486</v>
      </c>
      <c r="K285" s="19">
        <f t="shared" si="23"/>
        <v>153.95400000000004</v>
      </c>
      <c r="L285" s="19"/>
      <c r="M285" s="19">
        <f>MAX(G264:G285)</f>
        <v>162.13</v>
      </c>
      <c r="N285" s="19">
        <f t="shared" si="20"/>
        <v>-4.5580706840189888</v>
      </c>
      <c r="O285" s="9" t="str">
        <f t="shared" si="21"/>
        <v>2024-01</v>
      </c>
    </row>
    <row r="286" spans="1:15" x14ac:dyDescent="0.25">
      <c r="A286" s="9" t="s">
        <v>308</v>
      </c>
      <c r="B286" s="9" t="s">
        <v>309</v>
      </c>
      <c r="C286" s="25" t="s">
        <v>68</v>
      </c>
      <c r="D286" s="19">
        <v>154.74</v>
      </c>
      <c r="E286" s="19">
        <v>157.04</v>
      </c>
      <c r="F286" s="19">
        <v>153.62</v>
      </c>
      <c r="G286" s="19">
        <v>155.91</v>
      </c>
      <c r="H286" s="19">
        <v>155.91</v>
      </c>
      <c r="I286" s="15">
        <v>3916382</v>
      </c>
      <c r="J286" s="19">
        <f t="shared" si="22"/>
        <v>0.75610701822410975</v>
      </c>
      <c r="K286" s="19">
        <f t="shared" si="23"/>
        <v>153.64300000000003</v>
      </c>
      <c r="L286" s="19"/>
      <c r="M286" s="19">
        <f>MAX(G264:G286)</f>
        <v>162.13</v>
      </c>
      <c r="N286" s="19">
        <f t="shared" si="20"/>
        <v>-3.8364275581323626</v>
      </c>
      <c r="O286" s="9" t="str">
        <f t="shared" si="21"/>
        <v>2024-01</v>
      </c>
    </row>
    <row r="287" spans="1:15" x14ac:dyDescent="0.25">
      <c r="A287" s="9" t="s">
        <v>308</v>
      </c>
      <c r="B287" s="9" t="s">
        <v>309</v>
      </c>
      <c r="C287" s="25" t="s">
        <v>69</v>
      </c>
      <c r="D287" s="19">
        <v>155.91</v>
      </c>
      <c r="E287" s="19">
        <v>159.1</v>
      </c>
      <c r="F287" s="19">
        <v>155.44999999999999</v>
      </c>
      <c r="G287" s="19">
        <v>158.33000000000001</v>
      </c>
      <c r="H287" s="19">
        <v>158.33000000000001</v>
      </c>
      <c r="I287" s="15">
        <v>2560301</v>
      </c>
      <c r="J287" s="19">
        <f t="shared" si="22"/>
        <v>1.552177538323402</v>
      </c>
      <c r="K287" s="19">
        <f t="shared" si="23"/>
        <v>153.53000000000003</v>
      </c>
      <c r="L287" s="19"/>
      <c r="M287" s="19">
        <f>MAX(G264:G287)</f>
        <v>162.13</v>
      </c>
      <c r="N287" s="19">
        <f t="shared" si="20"/>
        <v>-2.3437981866403401</v>
      </c>
      <c r="O287" s="9" t="str">
        <f t="shared" si="21"/>
        <v>2024-02</v>
      </c>
    </row>
    <row r="288" spans="1:15" x14ac:dyDescent="0.25">
      <c r="A288" s="9" t="s">
        <v>308</v>
      </c>
      <c r="B288" s="9" t="s">
        <v>309</v>
      </c>
      <c r="C288" s="25" t="s">
        <v>70</v>
      </c>
      <c r="D288" s="19">
        <v>158.33000000000001</v>
      </c>
      <c r="E288" s="19">
        <v>158.51</v>
      </c>
      <c r="F288" s="19">
        <v>157.55000000000001</v>
      </c>
      <c r="G288" s="19">
        <v>157.80000000000001</v>
      </c>
      <c r="H288" s="19">
        <v>157.80000000000001</v>
      </c>
      <c r="I288" s="15">
        <v>4865471</v>
      </c>
      <c r="J288" s="19">
        <f t="shared" si="22"/>
        <v>-0.33474388934503951</v>
      </c>
      <c r="K288" s="19">
        <f t="shared" si="23"/>
        <v>153.44050000000001</v>
      </c>
      <c r="L288" s="19"/>
      <c r="M288" s="19">
        <f>MAX(G264:G288)</f>
        <v>162.13</v>
      </c>
      <c r="N288" s="19">
        <f t="shared" si="20"/>
        <v>-2.6706963547770211</v>
      </c>
      <c r="O288" s="9" t="str">
        <f t="shared" si="21"/>
        <v>2024-02</v>
      </c>
    </row>
    <row r="289" spans="1:15" x14ac:dyDescent="0.25">
      <c r="A289" s="9" t="s">
        <v>308</v>
      </c>
      <c r="B289" s="9" t="s">
        <v>309</v>
      </c>
      <c r="C289" s="25" t="s">
        <v>71</v>
      </c>
      <c r="D289" s="19">
        <v>157.80000000000001</v>
      </c>
      <c r="E289" s="19">
        <v>157.87</v>
      </c>
      <c r="F289" s="19">
        <v>155.30000000000001</v>
      </c>
      <c r="G289" s="19">
        <v>155.56</v>
      </c>
      <c r="H289" s="19">
        <v>155.56</v>
      </c>
      <c r="I289" s="15">
        <v>3079215</v>
      </c>
      <c r="J289" s="19">
        <f t="shared" si="22"/>
        <v>-1.4195183776932883</v>
      </c>
      <c r="K289" s="19">
        <f t="shared" si="23"/>
        <v>153.39650000000003</v>
      </c>
      <c r="L289" s="19"/>
      <c r="M289" s="19">
        <f>MAX(G264:G289)</f>
        <v>162.13</v>
      </c>
      <c r="N289" s="19">
        <f t="shared" si="20"/>
        <v>-4.0523037069018653</v>
      </c>
      <c r="O289" s="9" t="str">
        <f t="shared" si="21"/>
        <v>2024-02</v>
      </c>
    </row>
    <row r="290" spans="1:15" x14ac:dyDescent="0.25">
      <c r="A290" s="9" t="s">
        <v>308</v>
      </c>
      <c r="B290" s="9" t="s">
        <v>309</v>
      </c>
      <c r="C290" s="25" t="s">
        <v>72</v>
      </c>
      <c r="D290" s="19">
        <v>155.56</v>
      </c>
      <c r="E290" s="19">
        <v>155.83000000000001</v>
      </c>
      <c r="F290" s="19">
        <v>154.81</v>
      </c>
      <c r="G290" s="19">
        <v>155.11000000000001</v>
      </c>
      <c r="H290" s="19">
        <v>155.11000000000001</v>
      </c>
      <c r="I290" s="15">
        <v>5791296</v>
      </c>
      <c r="J290" s="19">
        <f t="shared" si="22"/>
        <v>-0.2892774492157294</v>
      </c>
      <c r="K290" s="19">
        <f t="shared" si="23"/>
        <v>153.38050000000004</v>
      </c>
      <c r="L290" s="19"/>
      <c r="M290" s="19">
        <f>MAX(G264:G290)</f>
        <v>162.13</v>
      </c>
      <c r="N290" s="19">
        <f t="shared" si="20"/>
        <v>-4.329858755319794</v>
      </c>
      <c r="O290" s="9" t="str">
        <f t="shared" si="21"/>
        <v>2024-02</v>
      </c>
    </row>
    <row r="291" spans="1:15" x14ac:dyDescent="0.25">
      <c r="A291" s="9" t="s">
        <v>308</v>
      </c>
      <c r="B291" s="9" t="s">
        <v>309</v>
      </c>
      <c r="C291" s="25" t="s">
        <v>73</v>
      </c>
      <c r="D291" s="19">
        <v>155.11000000000001</v>
      </c>
      <c r="E291" s="19">
        <v>157.25</v>
      </c>
      <c r="F291" s="19">
        <v>154.97</v>
      </c>
      <c r="G291" s="19">
        <v>156.13</v>
      </c>
      <c r="H291" s="19">
        <v>156.13</v>
      </c>
      <c r="I291" s="15">
        <v>2899160</v>
      </c>
      <c r="J291" s="19">
        <f t="shared" si="22"/>
        <v>0.6575978337953593</v>
      </c>
      <c r="K291" s="19">
        <f t="shared" si="23"/>
        <v>153.5085</v>
      </c>
      <c r="L291" s="19"/>
      <c r="M291" s="19">
        <f>MAX(G264:G291)</f>
        <v>162.13</v>
      </c>
      <c r="N291" s="19">
        <f t="shared" si="20"/>
        <v>-3.7007339789058165</v>
      </c>
      <c r="O291" s="9" t="str">
        <f t="shared" si="21"/>
        <v>2024-02</v>
      </c>
    </row>
    <row r="292" spans="1:15" x14ac:dyDescent="0.25">
      <c r="A292" s="9" t="s">
        <v>308</v>
      </c>
      <c r="B292" s="9" t="s">
        <v>309</v>
      </c>
      <c r="C292" s="25" t="s">
        <v>74</v>
      </c>
      <c r="D292" s="19">
        <v>156.13</v>
      </c>
      <c r="E292" s="19">
        <v>157.06</v>
      </c>
      <c r="F292" s="19">
        <v>154.94</v>
      </c>
      <c r="G292" s="19">
        <v>155.6</v>
      </c>
      <c r="H292" s="19">
        <v>155.6</v>
      </c>
      <c r="I292" s="15">
        <v>3889826</v>
      </c>
      <c r="J292" s="19">
        <f t="shared" si="22"/>
        <v>-0.33946070582207211</v>
      </c>
      <c r="K292" s="19">
        <f t="shared" si="23"/>
        <v>153.51350000000002</v>
      </c>
      <c r="L292" s="19"/>
      <c r="M292" s="19">
        <f>MAX(G264:G292)</f>
        <v>162.13</v>
      </c>
      <c r="N292" s="19">
        <f t="shared" si="20"/>
        <v>-4.0276321470424969</v>
      </c>
      <c r="O292" s="9" t="str">
        <f t="shared" si="21"/>
        <v>2024-02</v>
      </c>
    </row>
    <row r="293" spans="1:15" x14ac:dyDescent="0.25">
      <c r="A293" s="9" t="s">
        <v>308</v>
      </c>
      <c r="B293" s="9" t="s">
        <v>309</v>
      </c>
      <c r="C293" s="25" t="s">
        <v>75</v>
      </c>
      <c r="D293" s="19">
        <v>155.6</v>
      </c>
      <c r="E293" s="19">
        <v>156.46</v>
      </c>
      <c r="F293" s="19">
        <v>154.22</v>
      </c>
      <c r="G293" s="19">
        <v>154.41</v>
      </c>
      <c r="H293" s="19">
        <v>154.41</v>
      </c>
      <c r="I293" s="15">
        <v>4196184</v>
      </c>
      <c r="J293" s="19">
        <f t="shared" si="22"/>
        <v>-0.76478149100256931</v>
      </c>
      <c r="K293" s="19">
        <f t="shared" si="23"/>
        <v>153.64950000000002</v>
      </c>
      <c r="L293" s="19"/>
      <c r="M293" s="19">
        <f>MAX(G264:G293)</f>
        <v>162.13</v>
      </c>
      <c r="N293" s="19">
        <f t="shared" si="20"/>
        <v>-4.7616110528588163</v>
      </c>
      <c r="O293" s="9" t="str">
        <f t="shared" si="21"/>
        <v>2024-02</v>
      </c>
    </row>
    <row r="294" spans="1:15" x14ac:dyDescent="0.25">
      <c r="A294" s="9" t="s">
        <v>308</v>
      </c>
      <c r="B294" s="9" t="s">
        <v>309</v>
      </c>
      <c r="C294" s="25" t="s">
        <v>76</v>
      </c>
      <c r="D294" s="19">
        <v>154.41</v>
      </c>
      <c r="E294" s="19">
        <v>154.66</v>
      </c>
      <c r="F294" s="19">
        <v>153.11000000000001</v>
      </c>
      <c r="G294" s="19">
        <v>153.72999999999999</v>
      </c>
      <c r="H294" s="19">
        <v>153.72999999999999</v>
      </c>
      <c r="I294" s="15">
        <v>3426981</v>
      </c>
      <c r="J294" s="19">
        <f t="shared" si="22"/>
        <v>-0.44038598536364665</v>
      </c>
      <c r="K294" s="19">
        <f t="shared" si="23"/>
        <v>153.8485</v>
      </c>
      <c r="L294" s="19"/>
      <c r="M294" s="19">
        <f>MAX(G264:G294)</f>
        <v>162.13</v>
      </c>
      <c r="N294" s="19">
        <f t="shared" si="20"/>
        <v>-5.1810275704681459</v>
      </c>
      <c r="O294" s="9" t="str">
        <f t="shared" si="21"/>
        <v>2024-02</v>
      </c>
    </row>
    <row r="295" spans="1:15" x14ac:dyDescent="0.25">
      <c r="A295" s="9" t="s">
        <v>308</v>
      </c>
      <c r="B295" s="9" t="s">
        <v>309</v>
      </c>
      <c r="C295" s="25" t="s">
        <v>77</v>
      </c>
      <c r="D295" s="19">
        <v>153.72999999999999</v>
      </c>
      <c r="E295" s="19">
        <v>154.37</v>
      </c>
      <c r="F295" s="19">
        <v>153.55000000000001</v>
      </c>
      <c r="G295" s="19">
        <v>154.33000000000001</v>
      </c>
      <c r="H295" s="19">
        <v>154.33000000000001</v>
      </c>
      <c r="I295" s="15">
        <v>1654382</v>
      </c>
      <c r="J295" s="19">
        <f t="shared" si="22"/>
        <v>0.39029467247773547</v>
      </c>
      <c r="K295" s="19">
        <f t="shared" si="23"/>
        <v>154.089</v>
      </c>
      <c r="L295" s="19"/>
      <c r="M295" s="19">
        <f>MAX(G264:G295)</f>
        <v>162.13</v>
      </c>
      <c r="N295" s="19">
        <f t="shared" si="20"/>
        <v>-4.8109541725775511</v>
      </c>
      <c r="O295" s="9" t="str">
        <f t="shared" si="21"/>
        <v>2024-02</v>
      </c>
    </row>
    <row r="296" spans="1:15" x14ac:dyDescent="0.25">
      <c r="A296" s="9" t="s">
        <v>308</v>
      </c>
      <c r="B296" s="9" t="s">
        <v>309</v>
      </c>
      <c r="C296" s="25" t="s">
        <v>78</v>
      </c>
      <c r="D296" s="19">
        <v>154.33000000000001</v>
      </c>
      <c r="E296" s="19">
        <v>154.53</v>
      </c>
      <c r="F296" s="19">
        <v>153.02000000000001</v>
      </c>
      <c r="G296" s="19">
        <v>153.24</v>
      </c>
      <c r="H296" s="19">
        <v>153.24</v>
      </c>
      <c r="I296" s="15">
        <v>3736302</v>
      </c>
      <c r="J296" s="19">
        <f t="shared" si="22"/>
        <v>-0.70627875332080814</v>
      </c>
      <c r="K296" s="19">
        <f t="shared" si="23"/>
        <v>154.2285</v>
      </c>
      <c r="L296" s="19"/>
      <c r="M296" s="19">
        <f>MAX(G264:G296)</f>
        <v>162.13</v>
      </c>
      <c r="N296" s="19">
        <f t="shared" si="20"/>
        <v>-5.483254178745443</v>
      </c>
      <c r="O296" s="9" t="str">
        <f t="shared" si="21"/>
        <v>2024-02</v>
      </c>
    </row>
    <row r="297" spans="1:15" x14ac:dyDescent="0.25">
      <c r="A297" s="9" t="s">
        <v>308</v>
      </c>
      <c r="B297" s="9" t="s">
        <v>309</v>
      </c>
      <c r="C297" s="25" t="s">
        <v>79</v>
      </c>
      <c r="D297" s="19">
        <v>153.24</v>
      </c>
      <c r="E297" s="19">
        <v>155.72</v>
      </c>
      <c r="F297" s="19">
        <v>152.59</v>
      </c>
      <c r="G297" s="19">
        <v>155.18</v>
      </c>
      <c r="H297" s="19">
        <v>155.18</v>
      </c>
      <c r="I297" s="15">
        <v>5676668</v>
      </c>
      <c r="J297" s="19">
        <f t="shared" si="22"/>
        <v>1.2659879926912019</v>
      </c>
      <c r="K297" s="19">
        <f t="shared" si="23"/>
        <v>154.42599999999999</v>
      </c>
      <c r="L297" s="19"/>
      <c r="M297" s="19">
        <f>MAX(G264:G297)</f>
        <v>162.13</v>
      </c>
      <c r="N297" s="19">
        <f t="shared" si="20"/>
        <v>-4.2866835255658975</v>
      </c>
      <c r="O297" s="9" t="str">
        <f t="shared" si="21"/>
        <v>2024-02</v>
      </c>
    </row>
    <row r="298" spans="1:15" x14ac:dyDescent="0.25">
      <c r="A298" s="9" t="s">
        <v>308</v>
      </c>
      <c r="B298" s="9" t="s">
        <v>309</v>
      </c>
      <c r="C298" s="25" t="s">
        <v>80</v>
      </c>
      <c r="D298" s="19">
        <v>155.18</v>
      </c>
      <c r="E298" s="19">
        <v>155.25</v>
      </c>
      <c r="F298" s="19">
        <v>154.41</v>
      </c>
      <c r="G298" s="19">
        <v>154.78</v>
      </c>
      <c r="H298" s="19">
        <v>154.78</v>
      </c>
      <c r="I298" s="15">
        <v>4693930</v>
      </c>
      <c r="J298" s="19">
        <f t="shared" si="22"/>
        <v>-0.25776517592473625</v>
      </c>
      <c r="K298" s="19">
        <f t="shared" si="23"/>
        <v>154.60299999999998</v>
      </c>
      <c r="L298" s="19"/>
      <c r="M298" s="19">
        <f>MAX(G264:G298)</f>
        <v>162.13</v>
      </c>
      <c r="N298" s="19">
        <f t="shared" si="20"/>
        <v>-4.5333991241596223</v>
      </c>
      <c r="O298" s="9" t="str">
        <f t="shared" si="21"/>
        <v>2024-02</v>
      </c>
    </row>
    <row r="299" spans="1:15" x14ac:dyDescent="0.25">
      <c r="A299" s="9" t="s">
        <v>308</v>
      </c>
      <c r="B299" s="9" t="s">
        <v>309</v>
      </c>
      <c r="C299" s="25" t="s">
        <v>81</v>
      </c>
      <c r="D299" s="19">
        <v>154.78</v>
      </c>
      <c r="E299" s="19">
        <v>155.19</v>
      </c>
      <c r="F299" s="19">
        <v>153.28</v>
      </c>
      <c r="G299" s="19">
        <v>153.41999999999999</v>
      </c>
      <c r="H299" s="19">
        <v>153.41999999999999</v>
      </c>
      <c r="I299" s="15">
        <v>3763221</v>
      </c>
      <c r="J299" s="19">
        <f t="shared" si="22"/>
        <v>-0.87866649437912758</v>
      </c>
      <c r="K299" s="19">
        <f t="shared" si="23"/>
        <v>154.68449999999999</v>
      </c>
      <c r="L299" s="19"/>
      <c r="M299" s="19">
        <f>MAX(G264:G299)</f>
        <v>162.13</v>
      </c>
      <c r="N299" s="19">
        <f t="shared" si="20"/>
        <v>-5.3722321593782816</v>
      </c>
      <c r="O299" s="9" t="str">
        <f t="shared" si="21"/>
        <v>2024-02</v>
      </c>
    </row>
    <row r="300" spans="1:15" x14ac:dyDescent="0.25">
      <c r="A300" s="9" t="s">
        <v>308</v>
      </c>
      <c r="B300" s="9" t="s">
        <v>309</v>
      </c>
      <c r="C300" s="25" t="s">
        <v>82</v>
      </c>
      <c r="D300" s="19">
        <v>153.41999999999999</v>
      </c>
      <c r="E300" s="19">
        <v>153.81</v>
      </c>
      <c r="F300" s="19">
        <v>151.22999999999999</v>
      </c>
      <c r="G300" s="19">
        <v>151.79</v>
      </c>
      <c r="H300" s="19">
        <v>151.79</v>
      </c>
      <c r="I300" s="15">
        <v>3933255</v>
      </c>
      <c r="J300" s="19">
        <f t="shared" si="22"/>
        <v>-1.0624429670186386</v>
      </c>
      <c r="K300" s="19">
        <f t="shared" si="23"/>
        <v>154.62899999999999</v>
      </c>
      <c r="L300" s="19"/>
      <c r="M300" s="19">
        <f>MAX(G264:G300)</f>
        <v>162.13</v>
      </c>
      <c r="N300" s="19">
        <f t="shared" si="20"/>
        <v>-6.3775982236476931</v>
      </c>
      <c r="O300" s="9" t="str">
        <f t="shared" si="21"/>
        <v>2024-02</v>
      </c>
    </row>
    <row r="301" spans="1:15" x14ac:dyDescent="0.25">
      <c r="A301" s="9" t="s">
        <v>308</v>
      </c>
      <c r="B301" s="9" t="s">
        <v>309</v>
      </c>
      <c r="C301" s="25" t="s">
        <v>83</v>
      </c>
      <c r="D301" s="19">
        <v>151.79</v>
      </c>
      <c r="E301" s="19">
        <v>151.85</v>
      </c>
      <c r="F301" s="19">
        <v>151.49</v>
      </c>
      <c r="G301" s="19">
        <v>151.77000000000001</v>
      </c>
      <c r="H301" s="19">
        <v>151.77000000000001</v>
      </c>
      <c r="I301" s="15">
        <v>6930799</v>
      </c>
      <c r="J301" s="19">
        <f t="shared" si="22"/>
        <v>-1.3176098557205225E-2</v>
      </c>
      <c r="K301" s="19">
        <f t="shared" si="23"/>
        <v>154.65250000000003</v>
      </c>
      <c r="L301" s="19"/>
      <c r="M301" s="19">
        <f>MAX(G264:G301)</f>
        <v>162.13</v>
      </c>
      <c r="N301" s="19">
        <f t="shared" si="20"/>
        <v>-6.3899340035773671</v>
      </c>
      <c r="O301" s="9" t="str">
        <f t="shared" si="21"/>
        <v>2024-02</v>
      </c>
    </row>
    <row r="302" spans="1:15" x14ac:dyDescent="0.25">
      <c r="A302" s="9" t="s">
        <v>308</v>
      </c>
      <c r="B302" s="9" t="s">
        <v>309</v>
      </c>
      <c r="C302" s="25" t="s">
        <v>84</v>
      </c>
      <c r="D302" s="19">
        <v>151.77000000000001</v>
      </c>
      <c r="E302" s="19">
        <v>152.6</v>
      </c>
      <c r="F302" s="19">
        <v>151.58000000000001</v>
      </c>
      <c r="G302" s="19">
        <v>151.77000000000001</v>
      </c>
      <c r="H302" s="19">
        <v>151.77000000000001</v>
      </c>
      <c r="I302" s="15">
        <v>4975132</v>
      </c>
      <c r="J302" s="19">
        <f t="shared" si="22"/>
        <v>0</v>
      </c>
      <c r="K302" s="19">
        <f t="shared" si="23"/>
        <v>154.55800000000002</v>
      </c>
      <c r="L302" s="19"/>
      <c r="M302" s="19">
        <f>MAX(G264:G302)</f>
        <v>162.13</v>
      </c>
      <c r="N302" s="19">
        <f t="shared" si="20"/>
        <v>-6.3899340035773671</v>
      </c>
      <c r="O302" s="9" t="str">
        <f t="shared" si="21"/>
        <v>2024-02</v>
      </c>
    </row>
    <row r="303" spans="1:15" x14ac:dyDescent="0.25">
      <c r="A303" s="9" t="s">
        <v>308</v>
      </c>
      <c r="B303" s="9" t="s">
        <v>309</v>
      </c>
      <c r="C303" s="25" t="s">
        <v>85</v>
      </c>
      <c r="D303" s="19">
        <v>151.77000000000001</v>
      </c>
      <c r="E303" s="19">
        <v>152.9</v>
      </c>
      <c r="F303" s="19">
        <v>151.26</v>
      </c>
      <c r="G303" s="19">
        <v>152.27000000000001</v>
      </c>
      <c r="H303" s="19">
        <v>152.27000000000001</v>
      </c>
      <c r="I303" s="15">
        <v>4725971</v>
      </c>
      <c r="J303" s="19">
        <f t="shared" si="22"/>
        <v>0.32944587204322329</v>
      </c>
      <c r="K303" s="19">
        <f t="shared" si="23"/>
        <v>154.52199999999999</v>
      </c>
      <c r="L303" s="19"/>
      <c r="M303" s="19">
        <f>MAX(G264:G303)</f>
        <v>162.13</v>
      </c>
      <c r="N303" s="19">
        <f t="shared" si="20"/>
        <v>-6.0815395053352157</v>
      </c>
      <c r="O303" s="9" t="str">
        <f t="shared" si="21"/>
        <v>2024-02</v>
      </c>
    </row>
    <row r="304" spans="1:15" x14ac:dyDescent="0.25">
      <c r="A304" s="9" t="s">
        <v>308</v>
      </c>
      <c r="B304" s="9" t="s">
        <v>309</v>
      </c>
      <c r="C304" s="25" t="s">
        <v>86</v>
      </c>
      <c r="D304" s="19">
        <v>152.27000000000001</v>
      </c>
      <c r="E304" s="19">
        <v>152.44</v>
      </c>
      <c r="F304" s="19">
        <v>151.36000000000001</v>
      </c>
      <c r="G304" s="19">
        <v>151.78</v>
      </c>
      <c r="H304" s="19">
        <v>151.78</v>
      </c>
      <c r="I304" s="15">
        <v>4361243</v>
      </c>
      <c r="J304" s="19">
        <f t="shared" si="22"/>
        <v>-0.32179680830105017</v>
      </c>
      <c r="K304" s="19">
        <f t="shared" si="23"/>
        <v>154.38249999999999</v>
      </c>
      <c r="L304" s="19"/>
      <c r="M304" s="19">
        <f>MAX(G264:G304)</f>
        <v>162.13</v>
      </c>
      <c r="N304" s="19">
        <f t="shared" si="20"/>
        <v>-6.3837661136125297</v>
      </c>
      <c r="O304" s="9" t="str">
        <f t="shared" si="21"/>
        <v>2024-02</v>
      </c>
    </row>
    <row r="305" spans="1:15" x14ac:dyDescent="0.25">
      <c r="A305" s="9" t="s">
        <v>308</v>
      </c>
      <c r="B305" s="9" t="s">
        <v>309</v>
      </c>
      <c r="C305" s="25" t="s">
        <v>87</v>
      </c>
      <c r="D305" s="19">
        <v>151.78</v>
      </c>
      <c r="E305" s="19">
        <v>152.83000000000001</v>
      </c>
      <c r="F305" s="19">
        <v>148.65</v>
      </c>
      <c r="G305" s="19">
        <v>148.68</v>
      </c>
      <c r="H305" s="19">
        <v>148.68</v>
      </c>
      <c r="I305" s="15">
        <v>2914222</v>
      </c>
      <c r="J305" s="19">
        <f t="shared" si="22"/>
        <v>-2.0424298326525197</v>
      </c>
      <c r="K305" s="19">
        <f t="shared" si="23"/>
        <v>154.0795</v>
      </c>
      <c r="L305" s="19"/>
      <c r="M305" s="19">
        <f>MAX(G264:G305)</f>
        <v>162.13</v>
      </c>
      <c r="N305" s="19">
        <f t="shared" si="20"/>
        <v>-8.2958120027138644</v>
      </c>
      <c r="O305" s="9" t="str">
        <f t="shared" si="21"/>
        <v>2024-02</v>
      </c>
    </row>
    <row r="306" spans="1:15" x14ac:dyDescent="0.25">
      <c r="A306" s="9" t="s">
        <v>308</v>
      </c>
      <c r="B306" s="9" t="s">
        <v>309</v>
      </c>
      <c r="C306" s="25" t="s">
        <v>88</v>
      </c>
      <c r="D306" s="19">
        <v>148.68</v>
      </c>
      <c r="E306" s="19">
        <v>149.43</v>
      </c>
      <c r="F306" s="19">
        <v>148.1</v>
      </c>
      <c r="G306" s="19">
        <v>149.22</v>
      </c>
      <c r="H306" s="19">
        <v>149.22</v>
      </c>
      <c r="I306" s="15">
        <v>4794597</v>
      </c>
      <c r="J306" s="19">
        <f t="shared" si="22"/>
        <v>0.36319612590798495</v>
      </c>
      <c r="K306" s="19">
        <f t="shared" si="23"/>
        <v>153.745</v>
      </c>
      <c r="L306" s="19"/>
      <c r="M306" s="19">
        <f>MAX(G264:G306)</f>
        <v>162.13</v>
      </c>
      <c r="N306" s="19">
        <f t="shared" si="20"/>
        <v>-7.9627459446123465</v>
      </c>
      <c r="O306" s="9" t="str">
        <f t="shared" si="21"/>
        <v>2024-02</v>
      </c>
    </row>
    <row r="307" spans="1:15" x14ac:dyDescent="0.25">
      <c r="A307" s="9" t="s">
        <v>308</v>
      </c>
      <c r="B307" s="9" t="s">
        <v>309</v>
      </c>
      <c r="C307" s="25" t="s">
        <v>89</v>
      </c>
      <c r="D307" s="19">
        <v>149.22</v>
      </c>
      <c r="E307" s="19">
        <v>149.46</v>
      </c>
      <c r="F307" s="19">
        <v>148.91999999999999</v>
      </c>
      <c r="G307" s="19">
        <v>149.22</v>
      </c>
      <c r="H307" s="19">
        <v>149.22</v>
      </c>
      <c r="I307" s="15">
        <v>3587531</v>
      </c>
      <c r="J307" s="19">
        <f t="shared" si="22"/>
        <v>0</v>
      </c>
      <c r="K307" s="19">
        <f t="shared" si="23"/>
        <v>153.28949999999998</v>
      </c>
      <c r="L307" s="19"/>
      <c r="M307" s="19">
        <f>MAX(G264:G307)</f>
        <v>162.13</v>
      </c>
      <c r="N307" s="19">
        <f t="shared" si="20"/>
        <v>-7.9627459446123465</v>
      </c>
      <c r="O307" s="9" t="str">
        <f t="shared" si="21"/>
        <v>2024-02</v>
      </c>
    </row>
    <row r="308" spans="1:15" x14ac:dyDescent="0.25">
      <c r="A308" s="9" t="s">
        <v>308</v>
      </c>
      <c r="B308" s="9" t="s">
        <v>309</v>
      </c>
      <c r="C308" s="25" t="s">
        <v>90</v>
      </c>
      <c r="D308" s="19">
        <v>149.22</v>
      </c>
      <c r="E308" s="19">
        <v>151.71</v>
      </c>
      <c r="F308" s="19">
        <v>148.78</v>
      </c>
      <c r="G308" s="19">
        <v>151.43</v>
      </c>
      <c r="H308" s="19">
        <v>151.43</v>
      </c>
      <c r="I308" s="15">
        <v>4785756</v>
      </c>
      <c r="J308" s="19">
        <f t="shared" si="22"/>
        <v>1.4810347138453344</v>
      </c>
      <c r="K308" s="19">
        <f t="shared" si="23"/>
        <v>152.97099999999998</v>
      </c>
      <c r="L308" s="19"/>
      <c r="M308" s="19">
        <f>MAX(G264:G308)</f>
        <v>162.13</v>
      </c>
      <c r="N308" s="19">
        <f t="shared" si="20"/>
        <v>-6.5996422623820328</v>
      </c>
      <c r="O308" s="9" t="str">
        <f t="shared" si="21"/>
        <v>2024-03</v>
      </c>
    </row>
    <row r="309" spans="1:15" x14ac:dyDescent="0.25">
      <c r="A309" s="9" t="s">
        <v>308</v>
      </c>
      <c r="B309" s="9" t="s">
        <v>309</v>
      </c>
      <c r="C309" s="25" t="s">
        <v>91</v>
      </c>
      <c r="D309" s="19">
        <v>151.43</v>
      </c>
      <c r="E309" s="19">
        <v>151.54</v>
      </c>
      <c r="F309" s="19">
        <v>151.32</v>
      </c>
      <c r="G309" s="19">
        <v>151.53</v>
      </c>
      <c r="H309" s="19">
        <v>151.53</v>
      </c>
      <c r="I309" s="15">
        <v>4782791</v>
      </c>
      <c r="J309" s="19">
        <f t="shared" si="22"/>
        <v>6.6037112857422114E-2</v>
      </c>
      <c r="K309" s="19">
        <f t="shared" si="23"/>
        <v>152.76949999999999</v>
      </c>
      <c r="L309" s="19"/>
      <c r="M309" s="19">
        <f>MAX(G264:G309)</f>
        <v>162.13</v>
      </c>
      <c r="N309" s="19">
        <f t="shared" si="20"/>
        <v>-6.5379633627336053</v>
      </c>
      <c r="O309" s="9" t="str">
        <f t="shared" si="21"/>
        <v>2024-03</v>
      </c>
    </row>
    <row r="310" spans="1:15" x14ac:dyDescent="0.25">
      <c r="A310" s="9" t="s">
        <v>308</v>
      </c>
      <c r="B310" s="9" t="s">
        <v>309</v>
      </c>
      <c r="C310" s="25" t="s">
        <v>92</v>
      </c>
      <c r="D310" s="19">
        <v>151.53</v>
      </c>
      <c r="E310" s="19">
        <v>152.16999999999999</v>
      </c>
      <c r="F310" s="19">
        <v>150.19</v>
      </c>
      <c r="G310" s="19">
        <v>150.76</v>
      </c>
      <c r="H310" s="19">
        <v>150.76</v>
      </c>
      <c r="I310" s="15">
        <v>4818565</v>
      </c>
      <c r="J310" s="19">
        <f t="shared" si="22"/>
        <v>-0.50815020128028121</v>
      </c>
      <c r="K310" s="19">
        <f t="shared" si="23"/>
        <v>152.55199999999999</v>
      </c>
      <c r="L310" s="19"/>
      <c r="M310" s="19">
        <f>MAX(G264:G310)</f>
        <v>162.13</v>
      </c>
      <c r="N310" s="19">
        <f t="shared" si="20"/>
        <v>-7.0128908900265259</v>
      </c>
      <c r="O310" s="9" t="str">
        <f t="shared" si="21"/>
        <v>2024-03</v>
      </c>
    </row>
    <row r="311" spans="1:15" x14ac:dyDescent="0.25">
      <c r="A311" s="9" t="s">
        <v>308</v>
      </c>
      <c r="B311" s="9" t="s">
        <v>309</v>
      </c>
      <c r="C311" s="25" t="s">
        <v>93</v>
      </c>
      <c r="D311" s="19">
        <v>150.76</v>
      </c>
      <c r="E311" s="19">
        <v>153.22999999999999</v>
      </c>
      <c r="F311" s="19">
        <v>150.59</v>
      </c>
      <c r="G311" s="19">
        <v>152.61000000000001</v>
      </c>
      <c r="H311" s="19">
        <v>152.61000000000001</v>
      </c>
      <c r="I311" s="15">
        <v>2493040</v>
      </c>
      <c r="J311" s="19">
        <f t="shared" si="22"/>
        <v>1.2271159458742524</v>
      </c>
      <c r="K311" s="19">
        <f t="shared" si="23"/>
        <v>152.376</v>
      </c>
      <c r="L311" s="19"/>
      <c r="M311" s="19">
        <f>MAX(G264:G311)</f>
        <v>162.13</v>
      </c>
      <c r="N311" s="19">
        <f t="shared" si="20"/>
        <v>-5.8718312465305509</v>
      </c>
      <c r="O311" s="9" t="str">
        <f t="shared" si="21"/>
        <v>2024-03</v>
      </c>
    </row>
    <row r="312" spans="1:15" x14ac:dyDescent="0.25">
      <c r="A312" s="9" t="s">
        <v>308</v>
      </c>
      <c r="B312" s="9" t="s">
        <v>309</v>
      </c>
      <c r="C312" s="25" t="s">
        <v>94</v>
      </c>
      <c r="D312" s="19">
        <v>152.61000000000001</v>
      </c>
      <c r="E312" s="19">
        <v>153.55000000000001</v>
      </c>
      <c r="F312" s="19">
        <v>152.11000000000001</v>
      </c>
      <c r="G312" s="19">
        <v>152.91999999999999</v>
      </c>
      <c r="H312" s="19">
        <v>152.91999999999999</v>
      </c>
      <c r="I312" s="15">
        <v>3359985</v>
      </c>
      <c r="J312" s="19">
        <f t="shared" si="22"/>
        <v>0.20313216696151878</v>
      </c>
      <c r="K312" s="19">
        <f t="shared" si="23"/>
        <v>152.24199999999999</v>
      </c>
      <c r="L312" s="19"/>
      <c r="M312" s="19">
        <f>MAX(G264:G312)</f>
        <v>162.13</v>
      </c>
      <c r="N312" s="19">
        <f t="shared" si="20"/>
        <v>-5.680626657620433</v>
      </c>
      <c r="O312" s="9" t="str">
        <f t="shared" si="21"/>
        <v>2024-03</v>
      </c>
    </row>
    <row r="313" spans="1:15" x14ac:dyDescent="0.25">
      <c r="A313" s="9" t="s">
        <v>308</v>
      </c>
      <c r="B313" s="9" t="s">
        <v>309</v>
      </c>
      <c r="C313" s="25" t="s">
        <v>95</v>
      </c>
      <c r="D313" s="19">
        <v>152.91999999999999</v>
      </c>
      <c r="E313" s="19">
        <v>155.57</v>
      </c>
      <c r="F313" s="19">
        <v>152.54</v>
      </c>
      <c r="G313" s="19">
        <v>154.57</v>
      </c>
      <c r="H313" s="19">
        <v>154.57</v>
      </c>
      <c r="I313" s="15">
        <v>4461034</v>
      </c>
      <c r="J313" s="19">
        <f t="shared" si="22"/>
        <v>1.0789955532304512</v>
      </c>
      <c r="K313" s="19">
        <f t="shared" si="23"/>
        <v>152.25</v>
      </c>
      <c r="L313" s="19">
        <f t="shared" ref="L313:L376" si="24">AVERAGE(G264:G313)</f>
        <v>153.88760000000005</v>
      </c>
      <c r="M313" s="19">
        <f>MAX(G264:G313)</f>
        <v>162.13</v>
      </c>
      <c r="N313" s="19">
        <f t="shared" si="20"/>
        <v>-4.6629248134213297</v>
      </c>
      <c r="O313" s="9" t="str">
        <f t="shared" si="21"/>
        <v>2024-03</v>
      </c>
    </row>
    <row r="314" spans="1:15" x14ac:dyDescent="0.25">
      <c r="A314" s="9" t="s">
        <v>308</v>
      </c>
      <c r="B314" s="9" t="s">
        <v>309</v>
      </c>
      <c r="C314" s="25" t="s">
        <v>96</v>
      </c>
      <c r="D314" s="19">
        <v>154.57</v>
      </c>
      <c r="E314" s="19">
        <v>155.12</v>
      </c>
      <c r="F314" s="19">
        <v>154.36000000000001</v>
      </c>
      <c r="G314" s="19">
        <v>154.38</v>
      </c>
      <c r="H314" s="19">
        <v>154.38</v>
      </c>
      <c r="I314" s="15">
        <v>5522053</v>
      </c>
      <c r="J314" s="19">
        <f t="shared" si="22"/>
        <v>-0.12292165361971776</v>
      </c>
      <c r="K314" s="19">
        <f t="shared" si="23"/>
        <v>152.28250000000003</v>
      </c>
      <c r="L314" s="19">
        <f t="shared" si="24"/>
        <v>153.76340000000005</v>
      </c>
      <c r="M314" s="19">
        <f>MAX(G264:G314)</f>
        <v>162.13</v>
      </c>
      <c r="N314" s="19">
        <f t="shared" si="20"/>
        <v>-4.7801147227533463</v>
      </c>
      <c r="O314" s="9" t="str">
        <f t="shared" si="21"/>
        <v>2024-03</v>
      </c>
    </row>
    <row r="315" spans="1:15" x14ac:dyDescent="0.25">
      <c r="A315" s="9" t="s">
        <v>308</v>
      </c>
      <c r="B315" s="9" t="s">
        <v>309</v>
      </c>
      <c r="C315" s="25" t="s">
        <v>97</v>
      </c>
      <c r="D315" s="19">
        <v>154.38</v>
      </c>
      <c r="E315" s="19">
        <v>155.71</v>
      </c>
      <c r="F315" s="19">
        <v>154.34</v>
      </c>
      <c r="G315" s="19">
        <v>155.38999999999999</v>
      </c>
      <c r="H315" s="19">
        <v>155.38999999999999</v>
      </c>
      <c r="I315" s="15">
        <v>5172753</v>
      </c>
      <c r="J315" s="19">
        <f t="shared" si="22"/>
        <v>0.65422982251586403</v>
      </c>
      <c r="K315" s="19">
        <f t="shared" si="23"/>
        <v>152.33550000000002</v>
      </c>
      <c r="L315" s="19">
        <f t="shared" si="24"/>
        <v>153.65400000000005</v>
      </c>
      <c r="M315" s="19">
        <f>MAX(G264:G315)</f>
        <v>162.13</v>
      </c>
      <c r="N315" s="19">
        <f t="shared" si="20"/>
        <v>-4.1571578363042061</v>
      </c>
      <c r="O315" s="9" t="str">
        <f t="shared" si="21"/>
        <v>2024-03</v>
      </c>
    </row>
    <row r="316" spans="1:15" x14ac:dyDescent="0.25">
      <c r="A316" s="9" t="s">
        <v>308</v>
      </c>
      <c r="B316" s="9" t="s">
        <v>309</v>
      </c>
      <c r="C316" s="25" t="s">
        <v>98</v>
      </c>
      <c r="D316" s="19">
        <v>155.38999999999999</v>
      </c>
      <c r="E316" s="19">
        <v>156.03</v>
      </c>
      <c r="F316" s="19">
        <v>143.63</v>
      </c>
      <c r="G316" s="19">
        <v>143.80000000000001</v>
      </c>
      <c r="H316" s="19">
        <v>143.80000000000001</v>
      </c>
      <c r="I316" s="15">
        <v>20955666</v>
      </c>
      <c r="J316" s="19">
        <f t="shared" si="22"/>
        <v>-7.4586524229358231</v>
      </c>
      <c r="K316" s="19">
        <f t="shared" si="23"/>
        <v>151.86350000000004</v>
      </c>
      <c r="L316" s="19">
        <f t="shared" si="24"/>
        <v>153.28740000000005</v>
      </c>
      <c r="M316" s="19">
        <f>MAX(G264:G316)</f>
        <v>162.13</v>
      </c>
      <c r="N316" s="19">
        <f t="shared" si="20"/>
        <v>-11.30574230555726</v>
      </c>
      <c r="O316" s="9" t="str">
        <f t="shared" si="21"/>
        <v>2024-03</v>
      </c>
    </row>
    <row r="317" spans="1:15" x14ac:dyDescent="0.25">
      <c r="A317" s="9" t="s">
        <v>308</v>
      </c>
      <c r="B317" s="9" t="s">
        <v>309</v>
      </c>
      <c r="C317" s="25" t="s">
        <v>99</v>
      </c>
      <c r="D317" s="19">
        <v>143.80000000000001</v>
      </c>
      <c r="E317" s="19">
        <v>143.96</v>
      </c>
      <c r="F317" s="19">
        <v>141.41</v>
      </c>
      <c r="G317" s="19">
        <v>142.57</v>
      </c>
      <c r="H317" s="19">
        <v>142.57</v>
      </c>
      <c r="I317" s="15">
        <v>2509300</v>
      </c>
      <c r="J317" s="19">
        <f t="shared" si="22"/>
        <v>-0.85535465924896947</v>
      </c>
      <c r="K317" s="19">
        <f t="shared" si="23"/>
        <v>151.23300000000003</v>
      </c>
      <c r="L317" s="19">
        <f t="shared" si="24"/>
        <v>152.92700000000005</v>
      </c>
      <c r="M317" s="19">
        <f>MAX(G264:G317)</f>
        <v>162.13</v>
      </c>
      <c r="N317" s="19">
        <f t="shared" si="20"/>
        <v>-12.064392771232962</v>
      </c>
      <c r="O317" s="9" t="str">
        <f t="shared" si="21"/>
        <v>2024-03</v>
      </c>
    </row>
    <row r="318" spans="1:15" x14ac:dyDescent="0.25">
      <c r="A318" s="9" t="s">
        <v>308</v>
      </c>
      <c r="B318" s="9" t="s">
        <v>309</v>
      </c>
      <c r="C318" s="25" t="s">
        <v>100</v>
      </c>
      <c r="D318" s="19">
        <v>142.57</v>
      </c>
      <c r="E318" s="19">
        <v>144.22</v>
      </c>
      <c r="F318" s="19">
        <v>142.28</v>
      </c>
      <c r="G318" s="19">
        <v>143.33000000000001</v>
      </c>
      <c r="H318" s="19">
        <v>143.33000000000001</v>
      </c>
      <c r="I318" s="15">
        <v>3270611</v>
      </c>
      <c r="J318" s="19">
        <f t="shared" si="22"/>
        <v>0.5330714736620743</v>
      </c>
      <c r="K318" s="19">
        <f t="shared" si="23"/>
        <v>150.66050000000001</v>
      </c>
      <c r="L318" s="19">
        <f t="shared" si="24"/>
        <v>152.60180000000003</v>
      </c>
      <c r="M318" s="19">
        <f>MAX(G264:G318)</f>
        <v>162.13</v>
      </c>
      <c r="N318" s="19">
        <f t="shared" si="20"/>
        <v>-11.595633133904881</v>
      </c>
      <c r="O318" s="9" t="str">
        <f t="shared" si="21"/>
        <v>2024-03</v>
      </c>
    </row>
    <row r="319" spans="1:15" x14ac:dyDescent="0.25">
      <c r="A319" s="9" t="s">
        <v>308</v>
      </c>
      <c r="B319" s="9" t="s">
        <v>309</v>
      </c>
      <c r="C319" s="25" t="s">
        <v>101</v>
      </c>
      <c r="D319" s="19">
        <v>143.33000000000001</v>
      </c>
      <c r="E319" s="19">
        <v>144.33000000000001</v>
      </c>
      <c r="F319" s="19">
        <v>140.55000000000001</v>
      </c>
      <c r="G319" s="19">
        <v>140.83000000000001</v>
      </c>
      <c r="H319" s="19">
        <v>140.83000000000001</v>
      </c>
      <c r="I319" s="15">
        <v>2805898</v>
      </c>
      <c r="J319" s="19">
        <f t="shared" si="22"/>
        <v>-1.744226609921161</v>
      </c>
      <c r="K319" s="19">
        <f t="shared" si="23"/>
        <v>150.03100000000001</v>
      </c>
      <c r="L319" s="19">
        <f t="shared" si="24"/>
        <v>152.28960000000004</v>
      </c>
      <c r="M319" s="19">
        <f>MAX(G264:G319)</f>
        <v>162.13</v>
      </c>
      <c r="N319" s="19">
        <f t="shared" si="20"/>
        <v>-13.137605625115636</v>
      </c>
      <c r="O319" s="9" t="str">
        <f t="shared" si="21"/>
        <v>2024-03</v>
      </c>
    </row>
    <row r="320" spans="1:15" x14ac:dyDescent="0.25">
      <c r="A320" s="9" t="s">
        <v>308</v>
      </c>
      <c r="B320" s="9" t="s">
        <v>309</v>
      </c>
      <c r="C320" s="25" t="s">
        <v>102</v>
      </c>
      <c r="D320" s="19">
        <v>140.83000000000001</v>
      </c>
      <c r="E320" s="19">
        <v>141.19</v>
      </c>
      <c r="F320" s="19">
        <v>139.77000000000001</v>
      </c>
      <c r="G320" s="19">
        <v>140.22999999999999</v>
      </c>
      <c r="H320" s="19">
        <v>140.22999999999999</v>
      </c>
      <c r="I320" s="15">
        <v>4225360</v>
      </c>
      <c r="J320" s="19">
        <f t="shared" si="22"/>
        <v>-0.42604558687781202</v>
      </c>
      <c r="K320" s="19">
        <f t="shared" si="23"/>
        <v>149.453</v>
      </c>
      <c r="L320" s="19">
        <f t="shared" si="24"/>
        <v>151.98560000000003</v>
      </c>
      <c r="M320" s="19">
        <f>MAX(G264:G320)</f>
        <v>162.13</v>
      </c>
      <c r="N320" s="19">
        <f t="shared" si="20"/>
        <v>-13.507679023006233</v>
      </c>
      <c r="O320" s="9" t="str">
        <f t="shared" si="21"/>
        <v>2024-03</v>
      </c>
    </row>
    <row r="321" spans="1:15" x14ac:dyDescent="0.25">
      <c r="A321" s="9" t="s">
        <v>308</v>
      </c>
      <c r="B321" s="9" t="s">
        <v>309</v>
      </c>
      <c r="C321" s="25" t="s">
        <v>103</v>
      </c>
      <c r="D321" s="19">
        <v>140.22999999999999</v>
      </c>
      <c r="E321" s="19">
        <v>140.34</v>
      </c>
      <c r="F321" s="19">
        <v>138.63999999999999</v>
      </c>
      <c r="G321" s="19">
        <v>139.15</v>
      </c>
      <c r="H321" s="19">
        <v>139.15</v>
      </c>
      <c r="I321" s="15">
        <v>4824480</v>
      </c>
      <c r="J321" s="19">
        <f t="shared" si="22"/>
        <v>-0.77016330314482218</v>
      </c>
      <c r="K321" s="19">
        <f t="shared" si="23"/>
        <v>148.822</v>
      </c>
      <c r="L321" s="19">
        <f t="shared" si="24"/>
        <v>151.69720000000001</v>
      </c>
      <c r="M321" s="19">
        <f>MAX(G264:G321)</f>
        <v>162.13</v>
      </c>
      <c r="N321" s="19">
        <f t="shared" si="20"/>
        <v>-14.173811139209272</v>
      </c>
      <c r="O321" s="9" t="str">
        <f t="shared" si="21"/>
        <v>2024-03</v>
      </c>
    </row>
    <row r="322" spans="1:15" x14ac:dyDescent="0.25">
      <c r="A322" s="9" t="s">
        <v>308</v>
      </c>
      <c r="B322" s="9" t="s">
        <v>309</v>
      </c>
      <c r="C322" s="25" t="s">
        <v>104</v>
      </c>
      <c r="D322" s="19">
        <v>139.15</v>
      </c>
      <c r="E322" s="19">
        <v>141.11000000000001</v>
      </c>
      <c r="F322" s="19">
        <v>138.72</v>
      </c>
      <c r="G322" s="19">
        <v>140.18</v>
      </c>
      <c r="H322" s="19">
        <v>140.18</v>
      </c>
      <c r="I322" s="15">
        <v>3997943</v>
      </c>
      <c r="J322" s="19">
        <f t="shared" si="22"/>
        <v>0.7402084081925987</v>
      </c>
      <c r="K322" s="19">
        <f t="shared" si="23"/>
        <v>148.24250000000001</v>
      </c>
      <c r="L322" s="19">
        <f t="shared" si="24"/>
        <v>151.39080000000004</v>
      </c>
      <c r="M322" s="19">
        <f>MAX(G264:G322)</f>
        <v>162.13</v>
      </c>
      <c r="N322" s="19">
        <f t="shared" ref="N322:N385" si="25">(G322-M322)/M322*100</f>
        <v>-13.538518472830438</v>
      </c>
      <c r="O322" s="9" t="str">
        <f t="shared" ref="O322:O385" si="26">TEXT(C322,"yyyy-mm")</f>
        <v>2024-03</v>
      </c>
    </row>
    <row r="323" spans="1:15" x14ac:dyDescent="0.25">
      <c r="A323" s="9" t="s">
        <v>308</v>
      </c>
      <c r="B323" s="9" t="s">
        <v>309</v>
      </c>
      <c r="C323" s="25" t="s">
        <v>105</v>
      </c>
      <c r="D323" s="19">
        <v>140.18</v>
      </c>
      <c r="E323" s="19">
        <v>143.08000000000001</v>
      </c>
      <c r="F323" s="19">
        <v>140.15</v>
      </c>
      <c r="G323" s="19">
        <v>141.74</v>
      </c>
      <c r="H323" s="19">
        <v>141.74</v>
      </c>
      <c r="I323" s="15">
        <v>2053041</v>
      </c>
      <c r="J323" s="19">
        <f t="shared" si="22"/>
        <v>1.1128549008417765</v>
      </c>
      <c r="K323" s="19">
        <f t="shared" si="23"/>
        <v>147.71599999999998</v>
      </c>
      <c r="L323" s="19">
        <f t="shared" si="24"/>
        <v>151.19180000000003</v>
      </c>
      <c r="M323" s="19">
        <f>MAX(G264:G323)</f>
        <v>162.13</v>
      </c>
      <c r="N323" s="19">
        <f t="shared" si="25"/>
        <v>-12.576327638314924</v>
      </c>
      <c r="O323" s="9" t="str">
        <f t="shared" si="26"/>
        <v>2024-03</v>
      </c>
    </row>
    <row r="324" spans="1:15" x14ac:dyDescent="0.25">
      <c r="A324" s="9" t="s">
        <v>308</v>
      </c>
      <c r="B324" s="9" t="s">
        <v>309</v>
      </c>
      <c r="C324" s="25" t="s">
        <v>106</v>
      </c>
      <c r="D324" s="19">
        <v>141.74</v>
      </c>
      <c r="E324" s="19">
        <v>142.94999999999999</v>
      </c>
      <c r="F324" s="19">
        <v>140.1</v>
      </c>
      <c r="G324" s="19">
        <v>140.47</v>
      </c>
      <c r="H324" s="19">
        <v>140.47</v>
      </c>
      <c r="I324" s="15">
        <v>1540582</v>
      </c>
      <c r="J324" s="19">
        <f t="shared" si="22"/>
        <v>-0.89600677296459019</v>
      </c>
      <c r="K324" s="19">
        <f t="shared" si="23"/>
        <v>147.15049999999994</v>
      </c>
      <c r="L324" s="19">
        <f t="shared" si="24"/>
        <v>151.00620000000004</v>
      </c>
      <c r="M324" s="19">
        <f>MAX(G264:G324)</f>
        <v>162.13</v>
      </c>
      <c r="N324" s="19">
        <f t="shared" si="25"/>
        <v>-13.359649663849996</v>
      </c>
      <c r="O324" s="9" t="str">
        <f t="shared" si="26"/>
        <v>2024-03</v>
      </c>
    </row>
    <row r="325" spans="1:15" x14ac:dyDescent="0.25">
      <c r="A325" s="9" t="s">
        <v>308</v>
      </c>
      <c r="B325" s="9" t="s">
        <v>309</v>
      </c>
      <c r="C325" s="25" t="s">
        <v>107</v>
      </c>
      <c r="D325" s="19">
        <v>140.47</v>
      </c>
      <c r="E325" s="19">
        <v>141.85</v>
      </c>
      <c r="F325" s="19">
        <v>140.34</v>
      </c>
      <c r="G325" s="19">
        <v>141.03</v>
      </c>
      <c r="H325" s="19">
        <v>141.03</v>
      </c>
      <c r="I325" s="15">
        <v>2637874</v>
      </c>
      <c r="J325" s="19">
        <f t="shared" si="22"/>
        <v>0.3986616359365005</v>
      </c>
      <c r="K325" s="19">
        <f t="shared" si="23"/>
        <v>146.76799999999997</v>
      </c>
      <c r="L325" s="19">
        <f t="shared" si="24"/>
        <v>150.8364</v>
      </c>
      <c r="M325" s="19">
        <f>MAX(G264:G325)</f>
        <v>162.13</v>
      </c>
      <c r="N325" s="19">
        <f t="shared" si="25"/>
        <v>-13.014247825818783</v>
      </c>
      <c r="O325" s="9" t="str">
        <f t="shared" si="26"/>
        <v>2024-03</v>
      </c>
    </row>
    <row r="326" spans="1:15" x14ac:dyDescent="0.25">
      <c r="A326" s="9" t="s">
        <v>308</v>
      </c>
      <c r="B326" s="9" t="s">
        <v>309</v>
      </c>
      <c r="C326" s="25" t="s">
        <v>108</v>
      </c>
      <c r="D326" s="19">
        <v>141.03</v>
      </c>
      <c r="E326" s="19">
        <v>141.44999999999999</v>
      </c>
      <c r="F326" s="19">
        <v>127.95</v>
      </c>
      <c r="G326" s="19">
        <v>128.41999999999999</v>
      </c>
      <c r="H326" s="19">
        <v>128.41999999999999</v>
      </c>
      <c r="I326" s="15">
        <v>5440755</v>
      </c>
      <c r="J326" s="19">
        <f t="shared" si="22"/>
        <v>-8.941359994327458</v>
      </c>
      <c r="K326" s="19">
        <f t="shared" si="23"/>
        <v>145.72799999999998</v>
      </c>
      <c r="L326" s="19">
        <f t="shared" si="24"/>
        <v>150.39580000000001</v>
      </c>
      <c r="M326" s="19">
        <f>MAX(G264:G326)</f>
        <v>162.13</v>
      </c>
      <c r="N326" s="19">
        <f t="shared" si="25"/>
        <v>-20.79195707148585</v>
      </c>
      <c r="O326" s="9" t="str">
        <f t="shared" si="26"/>
        <v>2024-03</v>
      </c>
    </row>
    <row r="327" spans="1:15" x14ac:dyDescent="0.25">
      <c r="A327" s="9" t="s">
        <v>308</v>
      </c>
      <c r="B327" s="9" t="s">
        <v>309</v>
      </c>
      <c r="C327" s="25" t="s">
        <v>109</v>
      </c>
      <c r="D327" s="19">
        <v>128.41999999999999</v>
      </c>
      <c r="E327" s="19">
        <v>129.32</v>
      </c>
      <c r="F327" s="19">
        <v>128.13</v>
      </c>
      <c r="G327" s="19">
        <v>128.41999999999999</v>
      </c>
      <c r="H327" s="19">
        <v>128.41999999999999</v>
      </c>
      <c r="I327" s="15">
        <v>2739014</v>
      </c>
      <c r="J327" s="19">
        <f t="shared" si="22"/>
        <v>0</v>
      </c>
      <c r="K327" s="19">
        <f t="shared" si="23"/>
        <v>144.68799999999996</v>
      </c>
      <c r="L327" s="19">
        <f t="shared" si="24"/>
        <v>149.93960000000001</v>
      </c>
      <c r="M327" s="19">
        <f>MAX(G264:G327)</f>
        <v>162.13</v>
      </c>
      <c r="N327" s="19">
        <f t="shared" si="25"/>
        <v>-20.79195707148585</v>
      </c>
      <c r="O327" s="9" t="str">
        <f t="shared" si="26"/>
        <v>2024-03</v>
      </c>
    </row>
    <row r="328" spans="1:15" x14ac:dyDescent="0.25">
      <c r="A328" s="9" t="s">
        <v>308</v>
      </c>
      <c r="B328" s="9" t="s">
        <v>309</v>
      </c>
      <c r="C328" s="25" t="s">
        <v>110</v>
      </c>
      <c r="D328" s="19">
        <v>128.41999999999999</v>
      </c>
      <c r="E328" s="19">
        <v>130.22999999999999</v>
      </c>
      <c r="F328" s="19">
        <v>127.56</v>
      </c>
      <c r="G328" s="19">
        <v>129.6</v>
      </c>
      <c r="H328" s="19">
        <v>129.6</v>
      </c>
      <c r="I328" s="15">
        <v>4358263</v>
      </c>
      <c r="J328" s="19">
        <f t="shared" si="22"/>
        <v>0.91885999065566648</v>
      </c>
      <c r="K328" s="19">
        <f t="shared" si="23"/>
        <v>143.59649999999999</v>
      </c>
      <c r="L328" s="19">
        <f t="shared" si="24"/>
        <v>149.5068</v>
      </c>
      <c r="M328" s="19">
        <f>MAX(G264:G328)</f>
        <v>162.13</v>
      </c>
      <c r="N328" s="19">
        <f t="shared" si="25"/>
        <v>-20.064146055634367</v>
      </c>
      <c r="O328" s="9" t="str">
        <f t="shared" si="26"/>
        <v>2024-03</v>
      </c>
    </row>
    <row r="329" spans="1:15" x14ac:dyDescent="0.25">
      <c r="A329" s="9" t="s">
        <v>308</v>
      </c>
      <c r="B329" s="9" t="s">
        <v>309</v>
      </c>
      <c r="C329" s="25" t="s">
        <v>111</v>
      </c>
      <c r="D329" s="19">
        <v>129.6</v>
      </c>
      <c r="E329" s="19">
        <v>129.88999999999999</v>
      </c>
      <c r="F329" s="19">
        <v>127.08</v>
      </c>
      <c r="G329" s="19">
        <v>127.62</v>
      </c>
      <c r="H329" s="19">
        <v>127.62</v>
      </c>
      <c r="I329" s="15">
        <v>3050486</v>
      </c>
      <c r="J329" s="19">
        <f t="shared" ref="J329:J392" si="27">IFERROR((G329-G328)/G328*100,"")</f>
        <v>-1.5277777777777699</v>
      </c>
      <c r="K329" s="19">
        <f t="shared" si="23"/>
        <v>142.40100000000001</v>
      </c>
      <c r="L329" s="19">
        <f t="shared" si="24"/>
        <v>149.02339999999998</v>
      </c>
      <c r="M329" s="19">
        <f>MAX(G264:G329)</f>
        <v>162.13</v>
      </c>
      <c r="N329" s="19">
        <f t="shared" si="25"/>
        <v>-21.285388268673284</v>
      </c>
      <c r="O329" s="9" t="str">
        <f t="shared" si="26"/>
        <v>2024-04</v>
      </c>
    </row>
    <row r="330" spans="1:15" x14ac:dyDescent="0.25">
      <c r="A330" s="9" t="s">
        <v>308</v>
      </c>
      <c r="B330" s="9" t="s">
        <v>309</v>
      </c>
      <c r="C330" s="25" t="s">
        <v>112</v>
      </c>
      <c r="D330" s="19">
        <v>127.62</v>
      </c>
      <c r="E330" s="19">
        <v>128.5</v>
      </c>
      <c r="F330" s="19">
        <v>127.43</v>
      </c>
      <c r="G330" s="19">
        <v>128.34</v>
      </c>
      <c r="H330" s="19">
        <v>128.34</v>
      </c>
      <c r="I330" s="15">
        <v>4249172</v>
      </c>
      <c r="J330" s="19">
        <f t="shared" si="27"/>
        <v>0.56417489421720646</v>
      </c>
      <c r="K330" s="19">
        <f t="shared" si="23"/>
        <v>141.28000000000003</v>
      </c>
      <c r="L330" s="19">
        <f t="shared" si="24"/>
        <v>148.53219999999999</v>
      </c>
      <c r="M330" s="19">
        <f>MAX(G264:G330)</f>
        <v>162.13</v>
      </c>
      <c r="N330" s="19">
        <f t="shared" si="25"/>
        <v>-20.841300191204585</v>
      </c>
      <c r="O330" s="9" t="str">
        <f t="shared" si="26"/>
        <v>2024-04</v>
      </c>
    </row>
    <row r="331" spans="1:15" x14ac:dyDescent="0.25">
      <c r="A331" s="9" t="s">
        <v>308</v>
      </c>
      <c r="B331" s="9" t="s">
        <v>309</v>
      </c>
      <c r="C331" s="25" t="s">
        <v>113</v>
      </c>
      <c r="D331" s="19">
        <v>128.34</v>
      </c>
      <c r="E331" s="19">
        <v>128.85</v>
      </c>
      <c r="F331" s="19">
        <v>128.13</v>
      </c>
      <c r="G331" s="19">
        <v>128.65</v>
      </c>
      <c r="H331" s="19">
        <v>128.65</v>
      </c>
      <c r="I331" s="15">
        <v>4567816</v>
      </c>
      <c r="J331" s="19">
        <f t="shared" si="27"/>
        <v>0.24154589371980853</v>
      </c>
      <c r="K331" s="19">
        <f t="shared" si="23"/>
        <v>140.08199999999999</v>
      </c>
      <c r="L331" s="19">
        <f t="shared" si="24"/>
        <v>148.07919999999999</v>
      </c>
      <c r="M331" s="19">
        <f>MAX(G264:G331)</f>
        <v>162.13</v>
      </c>
      <c r="N331" s="19">
        <f t="shared" si="25"/>
        <v>-20.650095602294449</v>
      </c>
      <c r="O331" s="9" t="str">
        <f t="shared" si="26"/>
        <v>2024-04</v>
      </c>
    </row>
    <row r="332" spans="1:15" x14ac:dyDescent="0.25">
      <c r="A332" s="9" t="s">
        <v>308</v>
      </c>
      <c r="B332" s="9" t="s">
        <v>309</v>
      </c>
      <c r="C332" s="25" t="s">
        <v>114</v>
      </c>
      <c r="D332" s="19">
        <v>128.65</v>
      </c>
      <c r="E332" s="19">
        <v>130.35</v>
      </c>
      <c r="F332" s="19">
        <v>127.53</v>
      </c>
      <c r="G332" s="19">
        <v>129.77000000000001</v>
      </c>
      <c r="H332" s="19">
        <v>129.77000000000001</v>
      </c>
      <c r="I332" s="15">
        <v>4616618</v>
      </c>
      <c r="J332" s="19">
        <f t="shared" si="27"/>
        <v>0.87057909055577498</v>
      </c>
      <c r="K332" s="19">
        <f t="shared" si="23"/>
        <v>138.92450000000002</v>
      </c>
      <c r="L332" s="19">
        <f t="shared" si="24"/>
        <v>147.60139999999998</v>
      </c>
      <c r="M332" s="19">
        <f>MAX(G264:G332)</f>
        <v>162.13</v>
      </c>
      <c r="N332" s="19">
        <f t="shared" si="25"/>
        <v>-19.95929192623203</v>
      </c>
      <c r="O332" s="9" t="str">
        <f t="shared" si="26"/>
        <v>2024-04</v>
      </c>
    </row>
    <row r="333" spans="1:15" x14ac:dyDescent="0.25">
      <c r="A333" s="9" t="s">
        <v>308</v>
      </c>
      <c r="B333" s="9" t="s">
        <v>309</v>
      </c>
      <c r="C333" s="25" t="s">
        <v>115</v>
      </c>
      <c r="D333" s="19">
        <v>129.77000000000001</v>
      </c>
      <c r="E333" s="19">
        <v>131.80000000000001</v>
      </c>
      <c r="F333" s="19">
        <v>129.63999999999999</v>
      </c>
      <c r="G333" s="19">
        <v>130.97999999999999</v>
      </c>
      <c r="H333" s="19">
        <v>130.97999999999999</v>
      </c>
      <c r="I333" s="15">
        <v>4576894</v>
      </c>
      <c r="J333" s="19">
        <f t="shared" si="27"/>
        <v>0.93241889496800456</v>
      </c>
      <c r="K333" s="19">
        <f t="shared" si="23"/>
        <v>137.74500000000003</v>
      </c>
      <c r="L333" s="19">
        <f t="shared" si="24"/>
        <v>147.16119999999998</v>
      </c>
      <c r="M333" s="19">
        <f>MAX(G264:G333)</f>
        <v>162.13</v>
      </c>
      <c r="N333" s="19">
        <f t="shared" si="25"/>
        <v>-19.212977240486033</v>
      </c>
      <c r="O333" s="9" t="str">
        <f t="shared" si="26"/>
        <v>2024-04</v>
      </c>
    </row>
    <row r="334" spans="1:15" x14ac:dyDescent="0.25">
      <c r="A334" s="9" t="s">
        <v>308</v>
      </c>
      <c r="B334" s="9" t="s">
        <v>309</v>
      </c>
      <c r="C334" s="25" t="s">
        <v>116</v>
      </c>
      <c r="D334" s="19">
        <v>130.97999999999999</v>
      </c>
      <c r="E334" s="19">
        <v>132.4</v>
      </c>
      <c r="F334" s="19">
        <v>130.80000000000001</v>
      </c>
      <c r="G334" s="19">
        <v>131.34</v>
      </c>
      <c r="H334" s="19">
        <v>131.34</v>
      </c>
      <c r="I334" s="15">
        <v>2692582</v>
      </c>
      <c r="J334" s="19">
        <f t="shared" si="27"/>
        <v>0.27485112230875985</v>
      </c>
      <c r="K334" s="19">
        <f t="shared" si="23"/>
        <v>136.59300000000002</v>
      </c>
      <c r="L334" s="19">
        <f t="shared" si="24"/>
        <v>146.69659999999999</v>
      </c>
      <c r="M334" s="19">
        <f>MAX(G264:G334)</f>
        <v>162.13</v>
      </c>
      <c r="N334" s="19">
        <f t="shared" si="25"/>
        <v>-18.990933201751677</v>
      </c>
      <c r="O334" s="9" t="str">
        <f t="shared" si="26"/>
        <v>2024-04</v>
      </c>
    </row>
    <row r="335" spans="1:15" x14ac:dyDescent="0.25">
      <c r="A335" s="9" t="s">
        <v>308</v>
      </c>
      <c r="B335" s="9" t="s">
        <v>309</v>
      </c>
      <c r="C335" s="25" t="s">
        <v>117</v>
      </c>
      <c r="D335" s="19">
        <v>131.34</v>
      </c>
      <c r="E335" s="19">
        <v>131.35</v>
      </c>
      <c r="F335" s="19">
        <v>130.02000000000001</v>
      </c>
      <c r="G335" s="19">
        <v>130.06</v>
      </c>
      <c r="H335" s="19">
        <v>130.06</v>
      </c>
      <c r="I335" s="15">
        <v>3968316</v>
      </c>
      <c r="J335" s="19">
        <f t="shared" si="27"/>
        <v>-0.97456981879092508</v>
      </c>
      <c r="K335" s="19">
        <f t="shared" si="23"/>
        <v>135.32650000000004</v>
      </c>
      <c r="L335" s="19">
        <f t="shared" si="24"/>
        <v>146.203</v>
      </c>
      <c r="M335" s="19">
        <f>MAX(G264:G335)</f>
        <v>162.13</v>
      </c>
      <c r="N335" s="19">
        <f t="shared" si="25"/>
        <v>-19.780423117251583</v>
      </c>
      <c r="O335" s="9" t="str">
        <f t="shared" si="26"/>
        <v>2024-04</v>
      </c>
    </row>
    <row r="336" spans="1:15" x14ac:dyDescent="0.25">
      <c r="A336" s="9" t="s">
        <v>308</v>
      </c>
      <c r="B336" s="9" t="s">
        <v>309</v>
      </c>
      <c r="C336" s="25" t="s">
        <v>118</v>
      </c>
      <c r="D336" s="19">
        <v>130.06</v>
      </c>
      <c r="E336" s="19">
        <v>130.86000000000001</v>
      </c>
      <c r="F336" s="19">
        <v>130.01</v>
      </c>
      <c r="G336" s="19">
        <v>130.58000000000001</v>
      </c>
      <c r="H336" s="19">
        <v>130.58000000000001</v>
      </c>
      <c r="I336" s="15">
        <v>4080644</v>
      </c>
      <c r="J336" s="19">
        <f t="shared" si="27"/>
        <v>0.39981546978318483</v>
      </c>
      <c r="K336" s="19">
        <f t="shared" si="23"/>
        <v>134.66550000000001</v>
      </c>
      <c r="L336" s="19">
        <f t="shared" si="24"/>
        <v>145.69640000000001</v>
      </c>
      <c r="M336" s="19">
        <f>MAX(G264:G336)</f>
        <v>162.13</v>
      </c>
      <c r="N336" s="19">
        <f t="shared" si="25"/>
        <v>-19.459692839079739</v>
      </c>
      <c r="O336" s="9" t="str">
        <f t="shared" si="26"/>
        <v>2024-04</v>
      </c>
    </row>
    <row r="337" spans="1:15" x14ac:dyDescent="0.25">
      <c r="A337" s="9" t="s">
        <v>308</v>
      </c>
      <c r="B337" s="9" t="s">
        <v>309</v>
      </c>
      <c r="C337" s="25" t="s">
        <v>119</v>
      </c>
      <c r="D337" s="19">
        <v>130.58000000000001</v>
      </c>
      <c r="E337" s="19">
        <v>131.22999999999999</v>
      </c>
      <c r="F337" s="19">
        <v>129.26</v>
      </c>
      <c r="G337" s="19">
        <v>129.34</v>
      </c>
      <c r="H337" s="19">
        <v>129.34</v>
      </c>
      <c r="I337" s="15">
        <v>5285018</v>
      </c>
      <c r="J337" s="19">
        <f t="shared" si="27"/>
        <v>-0.94960943482923033</v>
      </c>
      <c r="K337" s="19">
        <f t="shared" si="23"/>
        <v>134.00399999999999</v>
      </c>
      <c r="L337" s="19">
        <f t="shared" si="24"/>
        <v>145.11660000000001</v>
      </c>
      <c r="M337" s="19">
        <f>MAX(G264:G337)</f>
        <v>162.13</v>
      </c>
      <c r="N337" s="19">
        <f t="shared" si="25"/>
        <v>-20.224511194720282</v>
      </c>
      <c r="O337" s="9" t="str">
        <f t="shared" si="26"/>
        <v>2024-04</v>
      </c>
    </row>
    <row r="338" spans="1:15" x14ac:dyDescent="0.25">
      <c r="A338" s="9" t="s">
        <v>308</v>
      </c>
      <c r="B338" s="9" t="s">
        <v>309</v>
      </c>
      <c r="C338" s="25" t="s">
        <v>120</v>
      </c>
      <c r="D338" s="19">
        <v>129.34</v>
      </c>
      <c r="E338" s="19">
        <v>130.35</v>
      </c>
      <c r="F338" s="19">
        <v>128.82</v>
      </c>
      <c r="G338" s="19">
        <v>130.26</v>
      </c>
      <c r="H338" s="19">
        <v>130.26</v>
      </c>
      <c r="I338" s="15">
        <v>4810742</v>
      </c>
      <c r="J338" s="19">
        <f t="shared" si="27"/>
        <v>0.71130354105457516</v>
      </c>
      <c r="K338" s="19">
        <f t="shared" si="23"/>
        <v>133.35050000000001</v>
      </c>
      <c r="L338" s="19">
        <f t="shared" si="24"/>
        <v>144.56580000000002</v>
      </c>
      <c r="M338" s="19">
        <f>MAX(G264:G338)</f>
        <v>162.13</v>
      </c>
      <c r="N338" s="19">
        <f t="shared" si="25"/>
        <v>-19.657065317954732</v>
      </c>
      <c r="O338" s="9" t="str">
        <f t="shared" si="26"/>
        <v>2024-04</v>
      </c>
    </row>
    <row r="339" spans="1:15" x14ac:dyDescent="0.25">
      <c r="A339" s="9" t="s">
        <v>308</v>
      </c>
      <c r="B339" s="9" t="s">
        <v>309</v>
      </c>
      <c r="C339" s="25" t="s">
        <v>121</v>
      </c>
      <c r="D339" s="19">
        <v>130.26</v>
      </c>
      <c r="E339" s="19">
        <v>130.69999999999999</v>
      </c>
      <c r="F339" s="19">
        <v>129.30000000000001</v>
      </c>
      <c r="G339" s="19">
        <v>129.88999999999999</v>
      </c>
      <c r="H339" s="19">
        <v>129.88999999999999</v>
      </c>
      <c r="I339" s="15">
        <v>3817431</v>
      </c>
      <c r="J339" s="19">
        <f t="shared" si="27"/>
        <v>-0.28404729003531748</v>
      </c>
      <c r="K339" s="19">
        <f t="shared" si="23"/>
        <v>132.80349999999996</v>
      </c>
      <c r="L339" s="19">
        <f t="shared" si="24"/>
        <v>144.05240000000001</v>
      </c>
      <c r="M339" s="19">
        <f>MAX(G264:G339)</f>
        <v>162.13</v>
      </c>
      <c r="N339" s="19">
        <f t="shared" si="25"/>
        <v>-19.885277246653928</v>
      </c>
      <c r="O339" s="9" t="str">
        <f t="shared" si="26"/>
        <v>2024-04</v>
      </c>
    </row>
    <row r="340" spans="1:15" x14ac:dyDescent="0.25">
      <c r="A340" s="9" t="s">
        <v>308</v>
      </c>
      <c r="B340" s="9" t="s">
        <v>309</v>
      </c>
      <c r="C340" s="25" t="s">
        <v>122</v>
      </c>
      <c r="D340" s="19">
        <v>129.88999999999999</v>
      </c>
      <c r="E340" s="19">
        <v>131.22999999999999</v>
      </c>
      <c r="F340" s="19">
        <v>128.72999999999999</v>
      </c>
      <c r="G340" s="19">
        <v>129.26</v>
      </c>
      <c r="H340" s="19">
        <v>129.26</v>
      </c>
      <c r="I340" s="15">
        <v>3476180</v>
      </c>
      <c r="J340" s="19">
        <f t="shared" si="27"/>
        <v>-0.48502579105396526</v>
      </c>
      <c r="K340" s="19">
        <f t="shared" si="23"/>
        <v>132.25499999999997</v>
      </c>
      <c r="L340" s="19">
        <f t="shared" si="24"/>
        <v>143.53540000000004</v>
      </c>
      <c r="M340" s="19">
        <f>MAX(G264:G340)</f>
        <v>162.13</v>
      </c>
      <c r="N340" s="19">
        <f t="shared" si="25"/>
        <v>-20.273854314439031</v>
      </c>
      <c r="O340" s="9" t="str">
        <f t="shared" si="26"/>
        <v>2024-04</v>
      </c>
    </row>
    <row r="341" spans="1:15" x14ac:dyDescent="0.25">
      <c r="A341" s="9" t="s">
        <v>308</v>
      </c>
      <c r="B341" s="9" t="s">
        <v>309</v>
      </c>
      <c r="C341" s="25" t="s">
        <v>123</v>
      </c>
      <c r="D341" s="19">
        <v>129.26</v>
      </c>
      <c r="E341" s="19">
        <v>131.19999999999999</v>
      </c>
      <c r="F341" s="19">
        <v>129.25</v>
      </c>
      <c r="G341" s="19">
        <v>131.16999999999999</v>
      </c>
      <c r="H341" s="19">
        <v>131.16999999999999</v>
      </c>
      <c r="I341" s="15">
        <v>2819178</v>
      </c>
      <c r="J341" s="19">
        <f t="shared" si="27"/>
        <v>1.4776419619371783</v>
      </c>
      <c r="K341" s="19">
        <f t="shared" si="23"/>
        <v>131.85599999999999</v>
      </c>
      <c r="L341" s="19">
        <f t="shared" si="24"/>
        <v>143.03620000000004</v>
      </c>
      <c r="M341" s="19">
        <f>MAX(G264:G341)</f>
        <v>162.13</v>
      </c>
      <c r="N341" s="19">
        <f t="shared" si="25"/>
        <v>-19.095787331154018</v>
      </c>
      <c r="O341" s="9" t="str">
        <f t="shared" si="26"/>
        <v>2024-04</v>
      </c>
    </row>
    <row r="342" spans="1:15" x14ac:dyDescent="0.25">
      <c r="A342" s="9" t="s">
        <v>308</v>
      </c>
      <c r="B342" s="9" t="s">
        <v>309</v>
      </c>
      <c r="C342" s="25" t="s">
        <v>124</v>
      </c>
      <c r="D342" s="19">
        <v>131.16999999999999</v>
      </c>
      <c r="E342" s="19">
        <v>132.57</v>
      </c>
      <c r="F342" s="19">
        <v>130.99</v>
      </c>
      <c r="G342" s="19">
        <v>131.57</v>
      </c>
      <c r="H342" s="19">
        <v>131.57</v>
      </c>
      <c r="I342" s="15">
        <v>4108146</v>
      </c>
      <c r="J342" s="19">
        <f t="shared" si="27"/>
        <v>0.30494777769307441</v>
      </c>
      <c r="K342" s="19">
        <f t="shared" si="23"/>
        <v>131.4255</v>
      </c>
      <c r="L342" s="19">
        <f t="shared" si="24"/>
        <v>142.55560000000003</v>
      </c>
      <c r="M342" s="19">
        <f>MAX(G264:G342)</f>
        <v>162.13</v>
      </c>
      <c r="N342" s="19">
        <f t="shared" si="25"/>
        <v>-18.849071732560294</v>
      </c>
      <c r="O342" s="9" t="str">
        <f t="shared" si="26"/>
        <v>2024-04</v>
      </c>
    </row>
    <row r="343" spans="1:15" x14ac:dyDescent="0.25">
      <c r="A343" s="9" t="s">
        <v>308</v>
      </c>
      <c r="B343" s="9" t="s">
        <v>309</v>
      </c>
      <c r="C343" s="25" t="s">
        <v>125</v>
      </c>
      <c r="D343" s="19">
        <v>131.57</v>
      </c>
      <c r="E343" s="19">
        <v>132</v>
      </c>
      <c r="F343" s="19">
        <v>130.71</v>
      </c>
      <c r="G343" s="19">
        <v>131.31</v>
      </c>
      <c r="H343" s="19">
        <v>131.31</v>
      </c>
      <c r="I343" s="15">
        <v>4301910</v>
      </c>
      <c r="J343" s="19">
        <f t="shared" si="27"/>
        <v>-0.19761343771375764</v>
      </c>
      <c r="K343" s="19">
        <f t="shared" si="23"/>
        <v>130.904</v>
      </c>
      <c r="L343" s="19">
        <f t="shared" si="24"/>
        <v>142.09360000000004</v>
      </c>
      <c r="M343" s="19">
        <f>MAX(G264:G343)</f>
        <v>162.13</v>
      </c>
      <c r="N343" s="19">
        <f t="shared" si="25"/>
        <v>-19.009436871646209</v>
      </c>
      <c r="O343" s="9" t="str">
        <f t="shared" si="26"/>
        <v>2024-04</v>
      </c>
    </row>
    <row r="344" spans="1:15" x14ac:dyDescent="0.25">
      <c r="A344" s="9" t="s">
        <v>308</v>
      </c>
      <c r="B344" s="9" t="s">
        <v>309</v>
      </c>
      <c r="C344" s="25" t="s">
        <v>126</v>
      </c>
      <c r="D344" s="19">
        <v>131.31</v>
      </c>
      <c r="E344" s="19">
        <v>131.75</v>
      </c>
      <c r="F344" s="19">
        <v>130.16</v>
      </c>
      <c r="G344" s="19">
        <v>130.6</v>
      </c>
      <c r="H344" s="19">
        <v>130.6</v>
      </c>
      <c r="I344" s="15">
        <v>5482792</v>
      </c>
      <c r="J344" s="19">
        <f t="shared" si="27"/>
        <v>-0.54070520143173251</v>
      </c>
      <c r="K344" s="19">
        <f t="shared" si="23"/>
        <v>130.41049999999998</v>
      </c>
      <c r="L344" s="19">
        <f t="shared" si="24"/>
        <v>141.63100000000006</v>
      </c>
      <c r="M344" s="19">
        <f>MAX(G264:G344)</f>
        <v>162.13</v>
      </c>
      <c r="N344" s="19">
        <f t="shared" si="25"/>
        <v>-19.447357059150068</v>
      </c>
      <c r="O344" s="9" t="str">
        <f t="shared" si="26"/>
        <v>2024-04</v>
      </c>
    </row>
    <row r="345" spans="1:15" x14ac:dyDescent="0.25">
      <c r="A345" s="9" t="s">
        <v>308</v>
      </c>
      <c r="B345" s="9" t="s">
        <v>309</v>
      </c>
      <c r="C345" s="25" t="s">
        <v>127</v>
      </c>
      <c r="D345" s="19">
        <v>130.6</v>
      </c>
      <c r="E345" s="19">
        <v>130.71</v>
      </c>
      <c r="F345" s="19">
        <v>129.44999999999999</v>
      </c>
      <c r="G345" s="19">
        <v>130.33000000000001</v>
      </c>
      <c r="H345" s="19">
        <v>130.33000000000001</v>
      </c>
      <c r="I345" s="15">
        <v>5178069</v>
      </c>
      <c r="J345" s="19">
        <f t="shared" si="27"/>
        <v>-0.20673813169983296</v>
      </c>
      <c r="K345" s="19">
        <f t="shared" si="23"/>
        <v>129.87549999999996</v>
      </c>
      <c r="L345" s="19">
        <f t="shared" si="24"/>
        <v>141.15100000000007</v>
      </c>
      <c r="M345" s="19">
        <f>MAX(G264:G345)</f>
        <v>162.13</v>
      </c>
      <c r="N345" s="19">
        <f t="shared" si="25"/>
        <v>-19.613890088200815</v>
      </c>
      <c r="O345" s="9" t="str">
        <f t="shared" si="26"/>
        <v>2024-04</v>
      </c>
    </row>
    <row r="346" spans="1:15" x14ac:dyDescent="0.25">
      <c r="A346" s="9" t="s">
        <v>308</v>
      </c>
      <c r="B346" s="9" t="s">
        <v>309</v>
      </c>
      <c r="C346" s="25" t="s">
        <v>128</v>
      </c>
      <c r="D346" s="19">
        <v>130.33000000000001</v>
      </c>
      <c r="E346" s="19">
        <v>131.30000000000001</v>
      </c>
      <c r="F346" s="19">
        <v>130.27000000000001</v>
      </c>
      <c r="G346" s="19">
        <v>131.02000000000001</v>
      </c>
      <c r="H346" s="19">
        <v>131.02000000000001</v>
      </c>
      <c r="I346" s="15">
        <v>4448538</v>
      </c>
      <c r="J346" s="19">
        <f t="shared" si="27"/>
        <v>0.52942530499501084</v>
      </c>
      <c r="K346" s="19">
        <f t="shared" si="23"/>
        <v>130.00549999999998</v>
      </c>
      <c r="L346" s="19">
        <f t="shared" si="24"/>
        <v>140.70660000000007</v>
      </c>
      <c r="M346" s="19">
        <f>MAX(G264:G346)</f>
        <v>162.13</v>
      </c>
      <c r="N346" s="19">
        <f t="shared" si="25"/>
        <v>-19.188305680626648</v>
      </c>
      <c r="O346" s="9" t="str">
        <f t="shared" si="26"/>
        <v>2024-04</v>
      </c>
    </row>
    <row r="347" spans="1:15" x14ac:dyDescent="0.25">
      <c r="A347" s="9" t="s">
        <v>308</v>
      </c>
      <c r="B347" s="9" t="s">
        <v>309</v>
      </c>
      <c r="C347" s="25" t="s">
        <v>129</v>
      </c>
      <c r="D347" s="19">
        <v>131.02000000000001</v>
      </c>
      <c r="E347" s="19">
        <v>131.16</v>
      </c>
      <c r="F347" s="19">
        <v>130.5</v>
      </c>
      <c r="G347" s="19">
        <v>131.07</v>
      </c>
      <c r="H347" s="19">
        <v>131.07</v>
      </c>
      <c r="I347" s="15">
        <v>2955245</v>
      </c>
      <c r="J347" s="19">
        <f t="shared" si="27"/>
        <v>3.8162112654543535E-2</v>
      </c>
      <c r="K347" s="19">
        <f t="shared" ref="K347:K410" si="28">AVERAGE(G328:G347)</f>
        <v>130.13799999999998</v>
      </c>
      <c r="L347" s="19">
        <f t="shared" si="24"/>
        <v>140.22440000000006</v>
      </c>
      <c r="M347" s="19">
        <f>MAX(G264:G347)</f>
        <v>162.13</v>
      </c>
      <c r="N347" s="19">
        <f t="shared" si="25"/>
        <v>-19.157466230802445</v>
      </c>
      <c r="O347" s="9" t="str">
        <f t="shared" si="26"/>
        <v>2024-04</v>
      </c>
    </row>
    <row r="348" spans="1:15" x14ac:dyDescent="0.25">
      <c r="A348" s="9" t="s">
        <v>308</v>
      </c>
      <c r="B348" s="9" t="s">
        <v>309</v>
      </c>
      <c r="C348" s="25" t="s">
        <v>130</v>
      </c>
      <c r="D348" s="19">
        <v>131.07</v>
      </c>
      <c r="E348" s="19">
        <v>132.02000000000001</v>
      </c>
      <c r="F348" s="19">
        <v>129.4</v>
      </c>
      <c r="G348" s="19">
        <v>129.94</v>
      </c>
      <c r="H348" s="19">
        <v>129.94</v>
      </c>
      <c r="I348" s="15">
        <v>4778560</v>
      </c>
      <c r="J348" s="19">
        <f t="shared" si="27"/>
        <v>-0.86213473716334443</v>
      </c>
      <c r="K348" s="19">
        <f t="shared" si="28"/>
        <v>130.155</v>
      </c>
      <c r="L348" s="19">
        <f t="shared" si="24"/>
        <v>139.72760000000005</v>
      </c>
      <c r="M348" s="19">
        <f>MAX(G264:G348)</f>
        <v>162.13</v>
      </c>
      <c r="N348" s="19">
        <f t="shared" si="25"/>
        <v>-19.854437796829703</v>
      </c>
      <c r="O348" s="9" t="str">
        <f t="shared" si="26"/>
        <v>2024-04</v>
      </c>
    </row>
    <row r="349" spans="1:15" x14ac:dyDescent="0.25">
      <c r="A349" s="9" t="s">
        <v>308</v>
      </c>
      <c r="B349" s="9" t="s">
        <v>309</v>
      </c>
      <c r="C349" s="25" t="s">
        <v>131</v>
      </c>
      <c r="D349" s="19">
        <v>129.94</v>
      </c>
      <c r="E349" s="19">
        <v>130.06</v>
      </c>
      <c r="F349" s="19">
        <v>128.85</v>
      </c>
      <c r="G349" s="19">
        <v>129.38</v>
      </c>
      <c r="H349" s="19">
        <v>129.38</v>
      </c>
      <c r="I349" s="15">
        <v>3245372</v>
      </c>
      <c r="J349" s="19">
        <f t="shared" si="27"/>
        <v>-0.43096813914114379</v>
      </c>
      <c r="K349" s="19">
        <f t="shared" si="28"/>
        <v>130.24299999999999</v>
      </c>
      <c r="L349" s="19">
        <f t="shared" si="24"/>
        <v>139.24680000000004</v>
      </c>
      <c r="M349" s="19">
        <f>MAX(G264:G349)</f>
        <v>162.13</v>
      </c>
      <c r="N349" s="19">
        <f t="shared" si="25"/>
        <v>-20.199839634860915</v>
      </c>
      <c r="O349" s="9" t="str">
        <f t="shared" si="26"/>
        <v>2024-04</v>
      </c>
    </row>
    <row r="350" spans="1:15" x14ac:dyDescent="0.25">
      <c r="A350" s="9" t="s">
        <v>308</v>
      </c>
      <c r="B350" s="9" t="s">
        <v>309</v>
      </c>
      <c r="C350" s="25" t="s">
        <v>132</v>
      </c>
      <c r="D350" s="19">
        <v>129.38</v>
      </c>
      <c r="E350" s="19">
        <v>129.69</v>
      </c>
      <c r="F350" s="19">
        <v>128.97999999999999</v>
      </c>
      <c r="G350" s="19">
        <v>129.31</v>
      </c>
      <c r="H350" s="19">
        <v>129.31</v>
      </c>
      <c r="I350" s="15">
        <v>2948044</v>
      </c>
      <c r="J350" s="19">
        <f t="shared" si="27"/>
        <v>-5.4104189210073567E-2</v>
      </c>
      <c r="K350" s="19">
        <f t="shared" si="28"/>
        <v>130.29149999999998</v>
      </c>
      <c r="L350" s="19">
        <f t="shared" si="24"/>
        <v>138.79720000000006</v>
      </c>
      <c r="M350" s="19">
        <f>MAX(G264:G350)</f>
        <v>162.13</v>
      </c>
      <c r="N350" s="19">
        <f t="shared" si="25"/>
        <v>-20.24301486461481</v>
      </c>
      <c r="O350" s="9" t="str">
        <f t="shared" si="26"/>
        <v>2024-04</v>
      </c>
    </row>
    <row r="351" spans="1:15" x14ac:dyDescent="0.25">
      <c r="A351" s="9" t="s">
        <v>308</v>
      </c>
      <c r="B351" s="9" t="s">
        <v>309</v>
      </c>
      <c r="C351" s="25" t="s">
        <v>133</v>
      </c>
      <c r="D351" s="19">
        <v>129.31</v>
      </c>
      <c r="E351" s="19">
        <v>131.54</v>
      </c>
      <c r="F351" s="19">
        <v>129.03</v>
      </c>
      <c r="G351" s="19">
        <v>130.87</v>
      </c>
      <c r="H351" s="19">
        <v>130.87</v>
      </c>
      <c r="I351" s="15">
        <v>3471668</v>
      </c>
      <c r="J351" s="19">
        <f t="shared" si="27"/>
        <v>1.2064032170752474</v>
      </c>
      <c r="K351" s="19">
        <f t="shared" si="28"/>
        <v>130.4025</v>
      </c>
      <c r="L351" s="19">
        <f t="shared" si="24"/>
        <v>138.37920000000003</v>
      </c>
      <c r="M351" s="19">
        <f>MAX(G264:G351)</f>
        <v>162.13</v>
      </c>
      <c r="N351" s="19">
        <f t="shared" si="25"/>
        <v>-19.280824030099296</v>
      </c>
      <c r="O351" s="9" t="str">
        <f t="shared" si="26"/>
        <v>2024-05</v>
      </c>
    </row>
    <row r="352" spans="1:15" x14ac:dyDescent="0.25">
      <c r="A352" s="9" t="s">
        <v>308</v>
      </c>
      <c r="B352" s="9" t="s">
        <v>309</v>
      </c>
      <c r="C352" s="25" t="s">
        <v>134</v>
      </c>
      <c r="D352" s="19">
        <v>130.87</v>
      </c>
      <c r="E352" s="19">
        <v>131.03</v>
      </c>
      <c r="F352" s="19">
        <v>129.84</v>
      </c>
      <c r="G352" s="19">
        <v>130.02000000000001</v>
      </c>
      <c r="H352" s="19">
        <v>130.02000000000001</v>
      </c>
      <c r="I352" s="15">
        <v>4362585</v>
      </c>
      <c r="J352" s="19">
        <f t="shared" si="27"/>
        <v>-0.64949950332390483</v>
      </c>
      <c r="K352" s="19">
        <f t="shared" si="28"/>
        <v>130.41499999999999</v>
      </c>
      <c r="L352" s="19">
        <f t="shared" si="24"/>
        <v>137.94420000000005</v>
      </c>
      <c r="M352" s="19">
        <f>MAX(G264:G352)</f>
        <v>162.13</v>
      </c>
      <c r="N352" s="19">
        <f t="shared" si="25"/>
        <v>-19.805094677110951</v>
      </c>
      <c r="O352" s="9" t="str">
        <f t="shared" si="26"/>
        <v>2024-05</v>
      </c>
    </row>
    <row r="353" spans="1:15" x14ac:dyDescent="0.25">
      <c r="A353" s="9" t="s">
        <v>308</v>
      </c>
      <c r="B353" s="9" t="s">
        <v>309</v>
      </c>
      <c r="C353" s="25" t="s">
        <v>135</v>
      </c>
      <c r="D353" s="19">
        <v>130.02000000000001</v>
      </c>
      <c r="E353" s="19">
        <v>131.24</v>
      </c>
      <c r="F353" s="19">
        <v>129.6</v>
      </c>
      <c r="G353" s="19">
        <v>130.91999999999999</v>
      </c>
      <c r="H353" s="19">
        <v>130.91999999999999</v>
      </c>
      <c r="I353" s="15">
        <v>3472638</v>
      </c>
      <c r="J353" s="19">
        <f t="shared" si="27"/>
        <v>0.69220119981539552</v>
      </c>
      <c r="K353" s="19">
        <f t="shared" si="28"/>
        <v>130.41199999999998</v>
      </c>
      <c r="L353" s="19">
        <f t="shared" si="24"/>
        <v>137.51720000000006</v>
      </c>
      <c r="M353" s="19">
        <f>MAX(G264:G353)</f>
        <v>162.13</v>
      </c>
      <c r="N353" s="19">
        <f t="shared" si="25"/>
        <v>-19.249984580275093</v>
      </c>
      <c r="O353" s="9" t="str">
        <f t="shared" si="26"/>
        <v>2024-05</v>
      </c>
    </row>
    <row r="354" spans="1:15" x14ac:dyDescent="0.25">
      <c r="A354" s="9" t="s">
        <v>308</v>
      </c>
      <c r="B354" s="9" t="s">
        <v>309</v>
      </c>
      <c r="C354" s="25" t="s">
        <v>136</v>
      </c>
      <c r="D354" s="19">
        <v>130.91999999999999</v>
      </c>
      <c r="E354" s="19">
        <v>132.57</v>
      </c>
      <c r="F354" s="19">
        <v>130.82</v>
      </c>
      <c r="G354" s="19">
        <v>131.78</v>
      </c>
      <c r="H354" s="19">
        <v>131.78</v>
      </c>
      <c r="I354" s="15">
        <v>3284838</v>
      </c>
      <c r="J354" s="19">
        <f t="shared" si="27"/>
        <v>0.65688970363581867</v>
      </c>
      <c r="K354" s="19">
        <f t="shared" si="28"/>
        <v>130.434</v>
      </c>
      <c r="L354" s="19">
        <f t="shared" si="24"/>
        <v>137.11720000000003</v>
      </c>
      <c r="M354" s="19">
        <f>MAX(G264:G354)</f>
        <v>162.13</v>
      </c>
      <c r="N354" s="19">
        <f t="shared" si="25"/>
        <v>-18.719546043298585</v>
      </c>
      <c r="O354" s="9" t="str">
        <f t="shared" si="26"/>
        <v>2024-05</v>
      </c>
    </row>
    <row r="355" spans="1:15" x14ac:dyDescent="0.25">
      <c r="A355" s="9" t="s">
        <v>308</v>
      </c>
      <c r="B355" s="9" t="s">
        <v>309</v>
      </c>
      <c r="C355" s="25" t="s">
        <v>137</v>
      </c>
      <c r="D355" s="19">
        <v>131.78</v>
      </c>
      <c r="E355" s="19">
        <v>134</v>
      </c>
      <c r="F355" s="19">
        <v>131.77000000000001</v>
      </c>
      <c r="G355" s="19">
        <v>133.99</v>
      </c>
      <c r="H355" s="19">
        <v>133.99</v>
      </c>
      <c r="I355" s="15">
        <v>5259057</v>
      </c>
      <c r="J355" s="19">
        <f t="shared" si="27"/>
        <v>1.6770374867202973</v>
      </c>
      <c r="K355" s="19">
        <f t="shared" si="28"/>
        <v>130.63049999999998</v>
      </c>
      <c r="L355" s="19">
        <f t="shared" si="24"/>
        <v>136.82340000000005</v>
      </c>
      <c r="M355" s="19">
        <f>MAX(G264:G355)</f>
        <v>162.13</v>
      </c>
      <c r="N355" s="19">
        <f t="shared" si="25"/>
        <v>-17.356442361068268</v>
      </c>
      <c r="O355" s="9" t="str">
        <f t="shared" si="26"/>
        <v>2024-05</v>
      </c>
    </row>
    <row r="356" spans="1:15" x14ac:dyDescent="0.25">
      <c r="A356" s="9" t="s">
        <v>308</v>
      </c>
      <c r="B356" s="9" t="s">
        <v>309</v>
      </c>
      <c r="C356" s="25" t="s">
        <v>138</v>
      </c>
      <c r="D356" s="19">
        <v>133.99</v>
      </c>
      <c r="E356" s="19">
        <v>134.1</v>
      </c>
      <c r="F356" s="19">
        <v>132.88999999999999</v>
      </c>
      <c r="G356" s="19">
        <v>133.1</v>
      </c>
      <c r="H356" s="19">
        <v>133.1</v>
      </c>
      <c r="I356" s="15">
        <v>2762329</v>
      </c>
      <c r="J356" s="19">
        <f t="shared" si="27"/>
        <v>-0.66422867378163652</v>
      </c>
      <c r="K356" s="19">
        <f t="shared" si="28"/>
        <v>130.75649999999999</v>
      </c>
      <c r="L356" s="19">
        <f t="shared" si="24"/>
        <v>136.50100000000003</v>
      </c>
      <c r="M356" s="19">
        <f>MAX(G264:G356)</f>
        <v>162.13</v>
      </c>
      <c r="N356" s="19">
        <f t="shared" si="25"/>
        <v>-17.905384567939308</v>
      </c>
      <c r="O356" s="9" t="str">
        <f t="shared" si="26"/>
        <v>2024-05</v>
      </c>
    </row>
    <row r="357" spans="1:15" x14ac:dyDescent="0.25">
      <c r="A357" s="9" t="s">
        <v>308</v>
      </c>
      <c r="B357" s="9" t="s">
        <v>309</v>
      </c>
      <c r="C357" s="25" t="s">
        <v>139</v>
      </c>
      <c r="D357" s="19">
        <v>133.1</v>
      </c>
      <c r="E357" s="19">
        <v>134.07</v>
      </c>
      <c r="F357" s="19">
        <v>131.93</v>
      </c>
      <c r="G357" s="19">
        <v>132.05000000000001</v>
      </c>
      <c r="H357" s="19">
        <v>132.05000000000001</v>
      </c>
      <c r="I357" s="15">
        <v>4992658</v>
      </c>
      <c r="J357" s="19">
        <f t="shared" si="27"/>
        <v>-0.78888054094664384</v>
      </c>
      <c r="K357" s="19">
        <f t="shared" si="28"/>
        <v>130.892</v>
      </c>
      <c r="L357" s="19">
        <f t="shared" si="24"/>
        <v>136.15760000000003</v>
      </c>
      <c r="M357" s="19">
        <f>MAX(G264:G357)</f>
        <v>162.13</v>
      </c>
      <c r="N357" s="19">
        <f t="shared" si="25"/>
        <v>-18.553013014247817</v>
      </c>
      <c r="O357" s="9" t="str">
        <f t="shared" si="26"/>
        <v>2024-05</v>
      </c>
    </row>
    <row r="358" spans="1:15" x14ac:dyDescent="0.25">
      <c r="A358" s="9" t="s">
        <v>308</v>
      </c>
      <c r="B358" s="9" t="s">
        <v>309</v>
      </c>
      <c r="C358" s="25" t="s">
        <v>140</v>
      </c>
      <c r="D358" s="19">
        <v>132.05000000000001</v>
      </c>
      <c r="E358" s="19">
        <v>135.1</v>
      </c>
      <c r="F358" s="19">
        <v>131.91</v>
      </c>
      <c r="G358" s="19">
        <v>135.01</v>
      </c>
      <c r="H358" s="19">
        <v>135.01</v>
      </c>
      <c r="I358" s="15">
        <v>5370387</v>
      </c>
      <c r="J358" s="19">
        <f t="shared" si="27"/>
        <v>2.241575160923877</v>
      </c>
      <c r="K358" s="19">
        <f t="shared" si="28"/>
        <v>131.12950000000001</v>
      </c>
      <c r="L358" s="19">
        <f t="shared" si="24"/>
        <v>135.82920000000004</v>
      </c>
      <c r="M358" s="19">
        <f>MAX(G264:G358)</f>
        <v>162.13</v>
      </c>
      <c r="N358" s="19">
        <f t="shared" si="25"/>
        <v>-16.727317584654294</v>
      </c>
      <c r="O358" s="9" t="str">
        <f t="shared" si="26"/>
        <v>2024-05</v>
      </c>
    </row>
    <row r="359" spans="1:15" x14ac:dyDescent="0.25">
      <c r="A359" s="9" t="s">
        <v>308</v>
      </c>
      <c r="B359" s="9" t="s">
        <v>309</v>
      </c>
      <c r="C359" s="25" t="s">
        <v>141</v>
      </c>
      <c r="D359" s="19">
        <v>135.01</v>
      </c>
      <c r="E359" s="19">
        <v>135.88999999999999</v>
      </c>
      <c r="F359" s="19">
        <v>134.76</v>
      </c>
      <c r="G359" s="19">
        <v>135.63</v>
      </c>
      <c r="H359" s="19">
        <v>135.63</v>
      </c>
      <c r="I359" s="15">
        <v>2081804</v>
      </c>
      <c r="J359" s="19">
        <f t="shared" si="27"/>
        <v>0.45922524257462749</v>
      </c>
      <c r="K359" s="19">
        <f t="shared" si="28"/>
        <v>131.41649999999998</v>
      </c>
      <c r="L359" s="19">
        <f t="shared" si="24"/>
        <v>135.51120000000003</v>
      </c>
      <c r="M359" s="19">
        <f>MAX(G264:G359)</f>
        <v>162.13</v>
      </c>
      <c r="N359" s="19">
        <f t="shared" si="25"/>
        <v>-16.344908406834023</v>
      </c>
      <c r="O359" s="9" t="str">
        <f t="shared" si="26"/>
        <v>2024-05</v>
      </c>
    </row>
    <row r="360" spans="1:15" x14ac:dyDescent="0.25">
      <c r="A360" s="9" t="s">
        <v>308</v>
      </c>
      <c r="B360" s="9" t="s">
        <v>309</v>
      </c>
      <c r="C360" s="25" t="s">
        <v>142</v>
      </c>
      <c r="D360" s="19">
        <v>135.63</v>
      </c>
      <c r="E360" s="19">
        <v>135.74</v>
      </c>
      <c r="F360" s="19">
        <v>133.28</v>
      </c>
      <c r="G360" s="19">
        <v>133.49</v>
      </c>
      <c r="H360" s="19">
        <v>133.49</v>
      </c>
      <c r="I360" s="15">
        <v>4042587</v>
      </c>
      <c r="J360" s="19">
        <f t="shared" si="27"/>
        <v>-1.5778220157782101</v>
      </c>
      <c r="K360" s="19">
        <f t="shared" si="28"/>
        <v>131.62799999999999</v>
      </c>
      <c r="L360" s="19">
        <f t="shared" si="24"/>
        <v>135.16580000000005</v>
      </c>
      <c r="M360" s="19">
        <f>MAX(G264:G360)</f>
        <v>162.13</v>
      </c>
      <c r="N360" s="19">
        <f t="shared" si="25"/>
        <v>-17.664836859310423</v>
      </c>
      <c r="O360" s="9" t="str">
        <f t="shared" si="26"/>
        <v>2024-05</v>
      </c>
    </row>
    <row r="361" spans="1:15" x14ac:dyDescent="0.25">
      <c r="A361" s="9" t="s">
        <v>308</v>
      </c>
      <c r="B361" s="9" t="s">
        <v>309</v>
      </c>
      <c r="C361" s="25" t="s">
        <v>143</v>
      </c>
      <c r="D361" s="19">
        <v>133.49</v>
      </c>
      <c r="E361" s="19">
        <v>134.56</v>
      </c>
      <c r="F361" s="19">
        <v>132.94999999999999</v>
      </c>
      <c r="G361" s="19">
        <v>133.84</v>
      </c>
      <c r="H361" s="19">
        <v>133.84</v>
      </c>
      <c r="I361" s="15">
        <v>4015285</v>
      </c>
      <c r="J361" s="19">
        <f t="shared" si="27"/>
        <v>0.26219192448872147</v>
      </c>
      <c r="K361" s="19">
        <f t="shared" si="28"/>
        <v>131.76150000000001</v>
      </c>
      <c r="L361" s="19">
        <f t="shared" si="24"/>
        <v>134.79040000000003</v>
      </c>
      <c r="M361" s="19">
        <f>MAX(G264:G361)</f>
        <v>162.13</v>
      </c>
      <c r="N361" s="19">
        <f t="shared" si="25"/>
        <v>-17.44896071054092</v>
      </c>
      <c r="O361" s="9" t="str">
        <f t="shared" si="26"/>
        <v>2024-05</v>
      </c>
    </row>
    <row r="362" spans="1:15" x14ac:dyDescent="0.25">
      <c r="A362" s="9" t="s">
        <v>308</v>
      </c>
      <c r="B362" s="9" t="s">
        <v>309</v>
      </c>
      <c r="C362" s="25" t="s">
        <v>144</v>
      </c>
      <c r="D362" s="19">
        <v>133.84</v>
      </c>
      <c r="E362" s="19">
        <v>134.65</v>
      </c>
      <c r="F362" s="19">
        <v>131.03</v>
      </c>
      <c r="G362" s="19">
        <v>132.13999999999999</v>
      </c>
      <c r="H362" s="19">
        <v>132.13999999999999</v>
      </c>
      <c r="I362" s="15">
        <v>6203564</v>
      </c>
      <c r="J362" s="19">
        <f t="shared" si="27"/>
        <v>-1.2701733413030611</v>
      </c>
      <c r="K362" s="19">
        <f t="shared" si="28"/>
        <v>131.79</v>
      </c>
      <c r="L362" s="19">
        <f t="shared" si="24"/>
        <v>134.37480000000002</v>
      </c>
      <c r="M362" s="19">
        <f>MAX(G264:G362)</f>
        <v>162.13</v>
      </c>
      <c r="N362" s="19">
        <f t="shared" si="25"/>
        <v>-18.497502004564247</v>
      </c>
      <c r="O362" s="9" t="str">
        <f t="shared" si="26"/>
        <v>2024-05</v>
      </c>
    </row>
    <row r="363" spans="1:15" x14ac:dyDescent="0.25">
      <c r="A363" s="9" t="s">
        <v>308</v>
      </c>
      <c r="B363" s="9" t="s">
        <v>309</v>
      </c>
      <c r="C363" s="25" t="s">
        <v>145</v>
      </c>
      <c r="D363" s="19">
        <v>132.13999999999999</v>
      </c>
      <c r="E363" s="19">
        <v>132.16</v>
      </c>
      <c r="F363" s="19">
        <v>128.72</v>
      </c>
      <c r="G363" s="19">
        <v>129.59</v>
      </c>
      <c r="H363" s="19">
        <v>129.59</v>
      </c>
      <c r="I363" s="15">
        <v>5940844</v>
      </c>
      <c r="J363" s="19">
        <f t="shared" si="27"/>
        <v>-1.929771454517923</v>
      </c>
      <c r="K363" s="19">
        <f t="shared" si="28"/>
        <v>131.70400000000001</v>
      </c>
      <c r="L363" s="19">
        <f t="shared" si="24"/>
        <v>133.87520000000004</v>
      </c>
      <c r="M363" s="19">
        <f>MAX(G264:G363)</f>
        <v>162.13</v>
      </c>
      <c r="N363" s="19">
        <f t="shared" si="25"/>
        <v>-20.070313945599207</v>
      </c>
      <c r="O363" s="9" t="str">
        <f t="shared" si="26"/>
        <v>2024-05</v>
      </c>
    </row>
    <row r="364" spans="1:15" x14ac:dyDescent="0.25">
      <c r="A364" s="9" t="s">
        <v>308</v>
      </c>
      <c r="B364" s="9" t="s">
        <v>309</v>
      </c>
      <c r="C364" s="25" t="s">
        <v>146</v>
      </c>
      <c r="D364" s="19">
        <v>129.59</v>
      </c>
      <c r="E364" s="19">
        <v>131.55000000000001</v>
      </c>
      <c r="F364" s="19">
        <v>129.07</v>
      </c>
      <c r="G364" s="19">
        <v>131.19</v>
      </c>
      <c r="H364" s="19">
        <v>131.19</v>
      </c>
      <c r="I364" s="15">
        <v>3998594</v>
      </c>
      <c r="J364" s="19">
        <f t="shared" si="27"/>
        <v>1.2346631684543516</v>
      </c>
      <c r="K364" s="19">
        <f t="shared" si="28"/>
        <v>131.73349999999999</v>
      </c>
      <c r="L364" s="19">
        <f t="shared" si="24"/>
        <v>133.41140000000004</v>
      </c>
      <c r="M364" s="19">
        <f>MAX(G264:G364)</f>
        <v>162.13</v>
      </c>
      <c r="N364" s="19">
        <f t="shared" si="25"/>
        <v>-19.083451551224325</v>
      </c>
      <c r="O364" s="9" t="str">
        <f t="shared" si="26"/>
        <v>2024-05</v>
      </c>
    </row>
    <row r="365" spans="1:15" x14ac:dyDescent="0.25">
      <c r="A365" s="9" t="s">
        <v>308</v>
      </c>
      <c r="B365" s="9" t="s">
        <v>309</v>
      </c>
      <c r="C365" s="25" t="s">
        <v>147</v>
      </c>
      <c r="D365" s="19">
        <v>131.19</v>
      </c>
      <c r="E365" s="19">
        <v>132.62</v>
      </c>
      <c r="F365" s="19">
        <v>129.68</v>
      </c>
      <c r="G365" s="19">
        <v>129.96</v>
      </c>
      <c r="H365" s="19">
        <v>129.96</v>
      </c>
      <c r="I365" s="15">
        <v>3854652</v>
      </c>
      <c r="J365" s="19">
        <f t="shared" si="27"/>
        <v>-0.93757146123941604</v>
      </c>
      <c r="K365" s="19">
        <f t="shared" si="28"/>
        <v>131.71499999999997</v>
      </c>
      <c r="L365" s="19">
        <f t="shared" si="24"/>
        <v>132.90280000000001</v>
      </c>
      <c r="M365" s="19">
        <f>MAX(G264:G365)</f>
        <v>162.13</v>
      </c>
      <c r="N365" s="19">
        <f t="shared" si="25"/>
        <v>-19.842102016900011</v>
      </c>
      <c r="O365" s="9" t="str">
        <f t="shared" si="26"/>
        <v>2024-05</v>
      </c>
    </row>
    <row r="366" spans="1:15" x14ac:dyDescent="0.25">
      <c r="A366" s="9" t="s">
        <v>308</v>
      </c>
      <c r="B366" s="9" t="s">
        <v>309</v>
      </c>
      <c r="C366" s="25" t="s">
        <v>148</v>
      </c>
      <c r="D366" s="19">
        <v>129.96</v>
      </c>
      <c r="E366" s="19">
        <v>129.96</v>
      </c>
      <c r="F366" s="19">
        <v>120.53</v>
      </c>
      <c r="G366" s="19">
        <v>121.5</v>
      </c>
      <c r="H366" s="19">
        <v>121.5</v>
      </c>
      <c r="I366" s="15">
        <v>21169490</v>
      </c>
      <c r="J366" s="19">
        <f t="shared" si="27"/>
        <v>-6.5096952908587316</v>
      </c>
      <c r="K366" s="19">
        <f t="shared" si="28"/>
        <v>131.23899999999998</v>
      </c>
      <c r="L366" s="19">
        <f t="shared" si="24"/>
        <v>132.45680000000002</v>
      </c>
      <c r="M366" s="19">
        <f>MAX(G264:G366)</f>
        <v>162.13</v>
      </c>
      <c r="N366" s="19">
        <f t="shared" si="25"/>
        <v>-25.060136927157217</v>
      </c>
      <c r="O366" s="9" t="str">
        <f t="shared" si="26"/>
        <v>2024-05</v>
      </c>
    </row>
    <row r="367" spans="1:15" x14ac:dyDescent="0.25">
      <c r="A367" s="9" t="s">
        <v>308</v>
      </c>
      <c r="B367" s="9" t="s">
        <v>309</v>
      </c>
      <c r="C367" s="25" t="s">
        <v>149</v>
      </c>
      <c r="D367" s="19">
        <v>121.5</v>
      </c>
      <c r="E367" s="19">
        <v>121.85</v>
      </c>
      <c r="F367" s="19">
        <v>120.12</v>
      </c>
      <c r="G367" s="19">
        <v>120.85</v>
      </c>
      <c r="H367" s="19">
        <v>120.85</v>
      </c>
      <c r="I367" s="15">
        <v>3985241</v>
      </c>
      <c r="J367" s="19">
        <f t="shared" si="27"/>
        <v>-0.53497942386831743</v>
      </c>
      <c r="K367" s="19">
        <f t="shared" si="28"/>
        <v>130.72800000000001</v>
      </c>
      <c r="L367" s="19">
        <f t="shared" si="24"/>
        <v>132.02240000000003</v>
      </c>
      <c r="M367" s="19">
        <f>MAX(G264:G367)</f>
        <v>162.13</v>
      </c>
      <c r="N367" s="19">
        <f t="shared" si="25"/>
        <v>-25.46104977487202</v>
      </c>
      <c r="O367" s="9" t="str">
        <f t="shared" si="26"/>
        <v>2024-05</v>
      </c>
    </row>
    <row r="368" spans="1:15" x14ac:dyDescent="0.25">
      <c r="A368" s="9" t="s">
        <v>308</v>
      </c>
      <c r="B368" s="9" t="s">
        <v>309</v>
      </c>
      <c r="C368" s="25" t="s">
        <v>150</v>
      </c>
      <c r="D368" s="19">
        <v>120.85</v>
      </c>
      <c r="E368" s="19">
        <v>121.06</v>
      </c>
      <c r="F368" s="19">
        <v>120.52</v>
      </c>
      <c r="G368" s="19">
        <v>120.66</v>
      </c>
      <c r="H368" s="19">
        <v>120.66</v>
      </c>
      <c r="I368" s="15">
        <v>6191196</v>
      </c>
      <c r="J368" s="19">
        <f t="shared" si="27"/>
        <v>-0.15721969383533119</v>
      </c>
      <c r="K368" s="19">
        <f t="shared" si="28"/>
        <v>130.26399999999995</v>
      </c>
      <c r="L368" s="19">
        <f t="shared" si="24"/>
        <v>131.56900000000005</v>
      </c>
      <c r="M368" s="19">
        <f>MAX(G264:G368)</f>
        <v>162.13</v>
      </c>
      <c r="N368" s="19">
        <f t="shared" si="25"/>
        <v>-25.578239684204036</v>
      </c>
      <c r="O368" s="9" t="str">
        <f t="shared" si="26"/>
        <v>2024-05</v>
      </c>
    </row>
    <row r="369" spans="1:15" x14ac:dyDescent="0.25">
      <c r="A369" s="9" t="s">
        <v>308</v>
      </c>
      <c r="B369" s="9" t="s">
        <v>309</v>
      </c>
      <c r="C369" s="25" t="s">
        <v>151</v>
      </c>
      <c r="D369" s="19">
        <v>120.66</v>
      </c>
      <c r="E369" s="19">
        <v>120.88</v>
      </c>
      <c r="F369" s="19">
        <v>119.66</v>
      </c>
      <c r="G369" s="19">
        <v>120.1</v>
      </c>
      <c r="H369" s="19">
        <v>120.1</v>
      </c>
      <c r="I369" s="15">
        <v>1875422</v>
      </c>
      <c r="J369" s="19">
        <f t="shared" si="27"/>
        <v>-0.46411403944969526</v>
      </c>
      <c r="K369" s="19">
        <f t="shared" si="28"/>
        <v>129.79999999999995</v>
      </c>
      <c r="L369" s="19">
        <f t="shared" si="24"/>
        <v>131.15440000000001</v>
      </c>
      <c r="M369" s="19">
        <f>MAX(G264:G369)</f>
        <v>162.13</v>
      </c>
      <c r="N369" s="19">
        <f t="shared" si="25"/>
        <v>-25.923641522235247</v>
      </c>
      <c r="O369" s="9" t="str">
        <f t="shared" si="26"/>
        <v>2024-05</v>
      </c>
    </row>
    <row r="370" spans="1:15" x14ac:dyDescent="0.25">
      <c r="A370" s="9" t="s">
        <v>308</v>
      </c>
      <c r="B370" s="9" t="s">
        <v>309</v>
      </c>
      <c r="C370" s="25" t="s">
        <v>152</v>
      </c>
      <c r="D370" s="19">
        <v>120.1</v>
      </c>
      <c r="E370" s="19">
        <v>120.23</v>
      </c>
      <c r="F370" s="19">
        <v>119.29</v>
      </c>
      <c r="G370" s="19">
        <v>119.43</v>
      </c>
      <c r="H370" s="19">
        <v>119.43</v>
      </c>
      <c r="I370" s="15">
        <v>2438496</v>
      </c>
      <c r="J370" s="19">
        <f t="shared" si="27"/>
        <v>-0.55786844296418614</v>
      </c>
      <c r="K370" s="19">
        <f t="shared" si="28"/>
        <v>129.30599999999998</v>
      </c>
      <c r="L370" s="19">
        <f t="shared" si="24"/>
        <v>130.73840000000001</v>
      </c>
      <c r="M370" s="19">
        <f>MAX(G264:G370)</f>
        <v>162.13</v>
      </c>
      <c r="N370" s="19">
        <f t="shared" si="25"/>
        <v>-26.336890149879721</v>
      </c>
      <c r="O370" s="9" t="str">
        <f t="shared" si="26"/>
        <v>2024-05</v>
      </c>
    </row>
    <row r="371" spans="1:15" x14ac:dyDescent="0.25">
      <c r="A371" s="9" t="s">
        <v>308</v>
      </c>
      <c r="B371" s="9" t="s">
        <v>309</v>
      </c>
      <c r="C371" s="25" t="s">
        <v>153</v>
      </c>
      <c r="D371" s="19">
        <v>119.43</v>
      </c>
      <c r="E371" s="19">
        <v>119.83</v>
      </c>
      <c r="F371" s="19">
        <v>116.81</v>
      </c>
      <c r="G371" s="19">
        <v>117.96</v>
      </c>
      <c r="H371" s="19">
        <v>117.96</v>
      </c>
      <c r="I371" s="15">
        <v>4524552</v>
      </c>
      <c r="J371" s="19">
        <f t="shared" si="27"/>
        <v>-1.2308465209746404</v>
      </c>
      <c r="K371" s="19">
        <f t="shared" si="28"/>
        <v>128.66049999999998</v>
      </c>
      <c r="L371" s="19">
        <f t="shared" si="24"/>
        <v>130.31460000000004</v>
      </c>
      <c r="M371" s="19">
        <f>MAX(G264:G371)</f>
        <v>162.13</v>
      </c>
      <c r="N371" s="19">
        <f t="shared" si="25"/>
        <v>-27.243569974711651</v>
      </c>
      <c r="O371" s="9" t="str">
        <f t="shared" si="26"/>
        <v>2024-05</v>
      </c>
    </row>
    <row r="372" spans="1:15" x14ac:dyDescent="0.25">
      <c r="A372" s="9" t="s">
        <v>308</v>
      </c>
      <c r="B372" s="9" t="s">
        <v>309</v>
      </c>
      <c r="C372" s="25" t="s">
        <v>154</v>
      </c>
      <c r="D372" s="19">
        <v>117.96</v>
      </c>
      <c r="E372" s="19">
        <v>118.32</v>
      </c>
      <c r="F372" s="19">
        <v>117.61</v>
      </c>
      <c r="G372" s="19">
        <v>118.1</v>
      </c>
      <c r="H372" s="19">
        <v>118.1</v>
      </c>
      <c r="I372" s="15">
        <v>4152482</v>
      </c>
      <c r="J372" s="19">
        <f t="shared" si="27"/>
        <v>0.11868429976263188</v>
      </c>
      <c r="K372" s="19">
        <f t="shared" si="28"/>
        <v>128.06449999999998</v>
      </c>
      <c r="L372" s="19">
        <f t="shared" si="24"/>
        <v>129.87300000000002</v>
      </c>
      <c r="M372" s="19">
        <f>MAX(G264:G372)</f>
        <v>162.13</v>
      </c>
      <c r="N372" s="19">
        <f t="shared" si="25"/>
        <v>-27.157219515203852</v>
      </c>
      <c r="O372" s="9" t="str">
        <f t="shared" si="26"/>
        <v>2024-05</v>
      </c>
    </row>
    <row r="373" spans="1:15" x14ac:dyDescent="0.25">
      <c r="A373" s="9" t="s">
        <v>308</v>
      </c>
      <c r="B373" s="9" t="s">
        <v>309</v>
      </c>
      <c r="C373" s="25" t="s">
        <v>155</v>
      </c>
      <c r="D373" s="19">
        <v>118.1</v>
      </c>
      <c r="E373" s="19">
        <v>118.55</v>
      </c>
      <c r="F373" s="19">
        <v>117.5</v>
      </c>
      <c r="G373" s="19">
        <v>117.51</v>
      </c>
      <c r="H373" s="19">
        <v>117.51</v>
      </c>
      <c r="I373" s="15">
        <v>1929074</v>
      </c>
      <c r="J373" s="19">
        <f t="shared" si="27"/>
        <v>-0.49957662997458863</v>
      </c>
      <c r="K373" s="19">
        <f t="shared" si="28"/>
        <v>127.39400000000001</v>
      </c>
      <c r="L373" s="19">
        <f t="shared" si="24"/>
        <v>129.38840000000005</v>
      </c>
      <c r="M373" s="19">
        <f>MAX(G264:G373)</f>
        <v>162.13</v>
      </c>
      <c r="N373" s="19">
        <f t="shared" si="25"/>
        <v>-27.521125023129585</v>
      </c>
      <c r="O373" s="9" t="str">
        <f t="shared" si="26"/>
        <v>2024-05</v>
      </c>
    </row>
    <row r="374" spans="1:15" x14ac:dyDescent="0.25">
      <c r="A374" s="9" t="s">
        <v>308</v>
      </c>
      <c r="B374" s="9" t="s">
        <v>309</v>
      </c>
      <c r="C374" s="25" t="s">
        <v>156</v>
      </c>
      <c r="D374" s="19">
        <v>117.51</v>
      </c>
      <c r="E374" s="19">
        <v>118.36</v>
      </c>
      <c r="F374" s="19">
        <v>117.11</v>
      </c>
      <c r="G374" s="19">
        <v>117.56</v>
      </c>
      <c r="H374" s="19">
        <v>117.56</v>
      </c>
      <c r="I374" s="15">
        <v>4745505</v>
      </c>
      <c r="J374" s="19">
        <f t="shared" si="27"/>
        <v>4.2549570249338059E-2</v>
      </c>
      <c r="K374" s="19">
        <f t="shared" si="28"/>
        <v>126.68299999999999</v>
      </c>
      <c r="L374" s="19">
        <f t="shared" si="24"/>
        <v>128.93020000000007</v>
      </c>
      <c r="M374" s="19">
        <f>MAX(G264:G374)</f>
        <v>162.13</v>
      </c>
      <c r="N374" s="19">
        <f t="shared" si="25"/>
        <v>-27.490285573305368</v>
      </c>
      <c r="O374" s="9" t="str">
        <f t="shared" si="26"/>
        <v>2024-06</v>
      </c>
    </row>
    <row r="375" spans="1:15" x14ac:dyDescent="0.25">
      <c r="A375" s="9" t="s">
        <v>308</v>
      </c>
      <c r="B375" s="9" t="s">
        <v>309</v>
      </c>
      <c r="C375" s="25" t="s">
        <v>157</v>
      </c>
      <c r="D375" s="19">
        <v>117.56</v>
      </c>
      <c r="E375" s="19">
        <v>119.33</v>
      </c>
      <c r="F375" s="19">
        <v>116.65</v>
      </c>
      <c r="G375" s="19">
        <v>118.73</v>
      </c>
      <c r="H375" s="19">
        <v>118.73</v>
      </c>
      <c r="I375" s="15">
        <v>4308100</v>
      </c>
      <c r="J375" s="19">
        <f t="shared" si="27"/>
        <v>0.99523647499149515</v>
      </c>
      <c r="K375" s="19">
        <f t="shared" si="28"/>
        <v>125.92</v>
      </c>
      <c r="L375" s="19">
        <f t="shared" si="24"/>
        <v>128.48420000000002</v>
      </c>
      <c r="M375" s="19">
        <f>MAX(G264:G375)</f>
        <v>162.13</v>
      </c>
      <c r="N375" s="19">
        <f t="shared" si="25"/>
        <v>-26.768642447418735</v>
      </c>
      <c r="O375" s="9" t="str">
        <f t="shared" si="26"/>
        <v>2024-06</v>
      </c>
    </row>
    <row r="376" spans="1:15" x14ac:dyDescent="0.25">
      <c r="A376" s="9" t="s">
        <v>308</v>
      </c>
      <c r="B376" s="9" t="s">
        <v>309</v>
      </c>
      <c r="C376" s="25" t="s">
        <v>158</v>
      </c>
      <c r="D376" s="19">
        <v>118.73</v>
      </c>
      <c r="E376" s="19">
        <v>119.23</v>
      </c>
      <c r="F376" s="19">
        <v>118.36</v>
      </c>
      <c r="G376" s="19">
        <v>118.74</v>
      </c>
      <c r="H376" s="19">
        <v>118.74</v>
      </c>
      <c r="I376" s="15">
        <v>4853254</v>
      </c>
      <c r="J376" s="19">
        <f t="shared" si="27"/>
        <v>8.4224711530286409E-3</v>
      </c>
      <c r="K376" s="19">
        <f t="shared" si="28"/>
        <v>125.202</v>
      </c>
      <c r="L376" s="19">
        <f t="shared" si="24"/>
        <v>128.29060000000004</v>
      </c>
      <c r="M376" s="19">
        <f>MAX(G264:G376)</f>
        <v>162.13</v>
      </c>
      <c r="N376" s="19">
        <f t="shared" si="25"/>
        <v>-26.762474557453896</v>
      </c>
      <c r="O376" s="9" t="str">
        <f t="shared" si="26"/>
        <v>2024-06</v>
      </c>
    </row>
    <row r="377" spans="1:15" x14ac:dyDescent="0.25">
      <c r="A377" s="9" t="s">
        <v>308</v>
      </c>
      <c r="B377" s="9" t="s">
        <v>309</v>
      </c>
      <c r="C377" s="25" t="s">
        <v>159</v>
      </c>
      <c r="D377" s="19">
        <v>118.74</v>
      </c>
      <c r="E377" s="19">
        <v>120.09</v>
      </c>
      <c r="F377" s="19">
        <v>118.1</v>
      </c>
      <c r="G377" s="19">
        <v>119.94</v>
      </c>
      <c r="H377" s="19">
        <v>119.94</v>
      </c>
      <c r="I377" s="15">
        <v>3453761</v>
      </c>
      <c r="J377" s="19">
        <f t="shared" si="27"/>
        <v>1.0106114199090475</v>
      </c>
      <c r="K377" s="19">
        <f t="shared" si="28"/>
        <v>124.59649999999999</v>
      </c>
      <c r="L377" s="19">
        <f t="shared" ref="L377:L440" si="29">AVERAGE(G328:G377)</f>
        <v>128.12100000000001</v>
      </c>
      <c r="M377" s="19">
        <f>MAX(G264:G377)</f>
        <v>162.13</v>
      </c>
      <c r="N377" s="19">
        <f t="shared" si="25"/>
        <v>-26.022327761672731</v>
      </c>
      <c r="O377" s="9" t="str">
        <f t="shared" si="26"/>
        <v>2024-06</v>
      </c>
    </row>
    <row r="378" spans="1:15" x14ac:dyDescent="0.25">
      <c r="A378" s="9" t="s">
        <v>308</v>
      </c>
      <c r="B378" s="9" t="s">
        <v>309</v>
      </c>
      <c r="C378" s="25" t="s">
        <v>160</v>
      </c>
      <c r="D378" s="19">
        <v>119.94</v>
      </c>
      <c r="E378" s="19">
        <v>120.37</v>
      </c>
      <c r="F378" s="19">
        <v>117.94</v>
      </c>
      <c r="G378" s="19">
        <v>118.35</v>
      </c>
      <c r="H378" s="19">
        <v>118.35</v>
      </c>
      <c r="I378" s="15">
        <v>5014469</v>
      </c>
      <c r="J378" s="19">
        <f t="shared" si="27"/>
        <v>-1.3256628314157108</v>
      </c>
      <c r="K378" s="19">
        <f t="shared" si="28"/>
        <v>123.76349999999998</v>
      </c>
      <c r="L378" s="19">
        <f t="shared" si="29"/>
        <v>127.89600000000002</v>
      </c>
      <c r="M378" s="19">
        <f>MAX(G264:G378)</f>
        <v>162.13</v>
      </c>
      <c r="N378" s="19">
        <f t="shared" si="25"/>
        <v>-27.003022266082777</v>
      </c>
      <c r="O378" s="9" t="str">
        <f t="shared" si="26"/>
        <v>2024-06</v>
      </c>
    </row>
    <row r="379" spans="1:15" x14ac:dyDescent="0.25">
      <c r="A379" s="9" t="s">
        <v>308</v>
      </c>
      <c r="B379" s="9" t="s">
        <v>309</v>
      </c>
      <c r="C379" s="25" t="s">
        <v>161</v>
      </c>
      <c r="D379" s="19">
        <v>118.35</v>
      </c>
      <c r="E379" s="19">
        <v>118.77</v>
      </c>
      <c r="F379" s="19">
        <v>115.44</v>
      </c>
      <c r="G379" s="19">
        <v>115.77</v>
      </c>
      <c r="H379" s="19">
        <v>115.77</v>
      </c>
      <c r="I379" s="15">
        <v>3773182</v>
      </c>
      <c r="J379" s="19">
        <f t="shared" si="27"/>
        <v>-2.17997465145754</v>
      </c>
      <c r="K379" s="19">
        <f t="shared" si="28"/>
        <v>122.7705</v>
      </c>
      <c r="L379" s="19">
        <f t="shared" si="29"/>
        <v>127.65900000000003</v>
      </c>
      <c r="M379" s="19">
        <f>MAX(G264:G379)</f>
        <v>162.13</v>
      </c>
      <c r="N379" s="19">
        <f t="shared" si="25"/>
        <v>-28.594337877012276</v>
      </c>
      <c r="O379" s="9" t="str">
        <f t="shared" si="26"/>
        <v>2024-06</v>
      </c>
    </row>
    <row r="380" spans="1:15" x14ac:dyDescent="0.25">
      <c r="A380" s="9" t="s">
        <v>308</v>
      </c>
      <c r="B380" s="9" t="s">
        <v>309</v>
      </c>
      <c r="C380" s="25" t="s">
        <v>162</v>
      </c>
      <c r="D380" s="19">
        <v>115.77</v>
      </c>
      <c r="E380" s="19">
        <v>116.38</v>
      </c>
      <c r="F380" s="19">
        <v>115.03</v>
      </c>
      <c r="G380" s="19">
        <v>116</v>
      </c>
      <c r="H380" s="19">
        <v>116</v>
      </c>
      <c r="I380" s="15">
        <v>1710342</v>
      </c>
      <c r="J380" s="19">
        <f t="shared" si="27"/>
        <v>0.19866977628055973</v>
      </c>
      <c r="K380" s="19">
        <f t="shared" si="28"/>
        <v>121.89599999999999</v>
      </c>
      <c r="L380" s="19">
        <f t="shared" si="29"/>
        <v>127.41220000000003</v>
      </c>
      <c r="M380" s="19">
        <f>MAX(G264:G380)</f>
        <v>162.13</v>
      </c>
      <c r="N380" s="19">
        <f t="shared" si="25"/>
        <v>-28.452476407820882</v>
      </c>
      <c r="O380" s="9" t="str">
        <f t="shared" si="26"/>
        <v>2024-06</v>
      </c>
    </row>
    <row r="381" spans="1:15" x14ac:dyDescent="0.25">
      <c r="A381" s="9" t="s">
        <v>308</v>
      </c>
      <c r="B381" s="9" t="s">
        <v>309</v>
      </c>
      <c r="C381" s="25" t="s">
        <v>163</v>
      </c>
      <c r="D381" s="19">
        <v>116</v>
      </c>
      <c r="E381" s="19">
        <v>116.37</v>
      </c>
      <c r="F381" s="19">
        <v>115.43</v>
      </c>
      <c r="G381" s="19">
        <v>116.06</v>
      </c>
      <c r="H381" s="19">
        <v>116.06</v>
      </c>
      <c r="I381" s="15">
        <v>4539792</v>
      </c>
      <c r="J381" s="19">
        <f t="shared" si="27"/>
        <v>5.1724137931036446E-2</v>
      </c>
      <c r="K381" s="19">
        <f t="shared" si="28"/>
        <v>121.00699999999999</v>
      </c>
      <c r="L381" s="19">
        <f t="shared" si="29"/>
        <v>127.16040000000002</v>
      </c>
      <c r="M381" s="19">
        <f>MAX(G264:G381)</f>
        <v>162.13</v>
      </c>
      <c r="N381" s="19">
        <f t="shared" si="25"/>
        <v>-28.415469068031822</v>
      </c>
      <c r="O381" s="9" t="str">
        <f t="shared" si="26"/>
        <v>2024-06</v>
      </c>
    </row>
    <row r="382" spans="1:15" x14ac:dyDescent="0.25">
      <c r="A382" s="9" t="s">
        <v>308</v>
      </c>
      <c r="B382" s="9" t="s">
        <v>309</v>
      </c>
      <c r="C382" s="25" t="s">
        <v>164</v>
      </c>
      <c r="D382" s="19">
        <v>116.06</v>
      </c>
      <c r="E382" s="19">
        <v>116.31</v>
      </c>
      <c r="F382" s="19">
        <v>115.07</v>
      </c>
      <c r="G382" s="19">
        <v>115.26</v>
      </c>
      <c r="H382" s="19">
        <v>115.26</v>
      </c>
      <c r="I382" s="15">
        <v>4649732</v>
      </c>
      <c r="J382" s="19">
        <f t="shared" si="27"/>
        <v>-0.68929863863518626</v>
      </c>
      <c r="K382" s="19">
        <f t="shared" si="28"/>
        <v>120.16300000000001</v>
      </c>
      <c r="L382" s="19">
        <f t="shared" si="29"/>
        <v>126.87020000000004</v>
      </c>
      <c r="M382" s="19">
        <f>MAX(G264:G382)</f>
        <v>162.13</v>
      </c>
      <c r="N382" s="19">
        <f t="shared" si="25"/>
        <v>-28.908900265219263</v>
      </c>
      <c r="O382" s="9" t="str">
        <f t="shared" si="26"/>
        <v>2024-06</v>
      </c>
    </row>
    <row r="383" spans="1:15" x14ac:dyDescent="0.25">
      <c r="A383" s="9" t="s">
        <v>308</v>
      </c>
      <c r="B383" s="9" t="s">
        <v>309</v>
      </c>
      <c r="C383" s="25" t="s">
        <v>165</v>
      </c>
      <c r="D383" s="19">
        <v>115.26</v>
      </c>
      <c r="E383" s="19">
        <v>115.55</v>
      </c>
      <c r="F383" s="19">
        <v>113.61</v>
      </c>
      <c r="G383" s="19">
        <v>114.04</v>
      </c>
      <c r="H383" s="19">
        <v>114.04</v>
      </c>
      <c r="I383" s="15">
        <v>4066003</v>
      </c>
      <c r="J383" s="19">
        <f t="shared" si="27"/>
        <v>-1.0584764879403079</v>
      </c>
      <c r="K383" s="19">
        <f t="shared" si="28"/>
        <v>119.38550000000001</v>
      </c>
      <c r="L383" s="19">
        <f t="shared" si="29"/>
        <v>126.53140000000005</v>
      </c>
      <c r="M383" s="19">
        <f>MAX(G264:G383)</f>
        <v>162.13</v>
      </c>
      <c r="N383" s="19">
        <f t="shared" si="25"/>
        <v>-29.661382840930113</v>
      </c>
      <c r="O383" s="9" t="str">
        <f t="shared" si="26"/>
        <v>2024-06</v>
      </c>
    </row>
    <row r="384" spans="1:15" x14ac:dyDescent="0.25">
      <c r="A384" s="9" t="s">
        <v>308</v>
      </c>
      <c r="B384" s="9" t="s">
        <v>309</v>
      </c>
      <c r="C384" s="25" t="s">
        <v>166</v>
      </c>
      <c r="D384" s="19">
        <v>114.04</v>
      </c>
      <c r="E384" s="19">
        <v>114.76</v>
      </c>
      <c r="F384" s="19">
        <v>113.92</v>
      </c>
      <c r="G384" s="19">
        <v>114.54</v>
      </c>
      <c r="H384" s="19">
        <v>114.54</v>
      </c>
      <c r="I384" s="15">
        <v>2824161</v>
      </c>
      <c r="J384" s="19">
        <f t="shared" si="27"/>
        <v>0.43844265170115743</v>
      </c>
      <c r="K384" s="19">
        <f t="shared" si="28"/>
        <v>118.553</v>
      </c>
      <c r="L384" s="19">
        <f t="shared" si="29"/>
        <v>126.19540000000005</v>
      </c>
      <c r="M384" s="19">
        <f>MAX(G264:G384)</f>
        <v>162.13</v>
      </c>
      <c r="N384" s="19">
        <f t="shared" si="25"/>
        <v>-29.352988342687958</v>
      </c>
      <c r="O384" s="9" t="str">
        <f t="shared" si="26"/>
        <v>2024-06</v>
      </c>
    </row>
    <row r="385" spans="1:15" x14ac:dyDescent="0.25">
      <c r="A385" s="9" t="s">
        <v>308</v>
      </c>
      <c r="B385" s="9" t="s">
        <v>309</v>
      </c>
      <c r="C385" s="25" t="s">
        <v>167</v>
      </c>
      <c r="D385" s="19">
        <v>114.54</v>
      </c>
      <c r="E385" s="19">
        <v>114.87</v>
      </c>
      <c r="F385" s="19">
        <v>113</v>
      </c>
      <c r="G385" s="19">
        <v>113.96</v>
      </c>
      <c r="H385" s="19">
        <v>113.96</v>
      </c>
      <c r="I385" s="15">
        <v>5607191</v>
      </c>
      <c r="J385" s="19">
        <f t="shared" si="27"/>
        <v>-0.50637331936442509</v>
      </c>
      <c r="K385" s="19">
        <f t="shared" si="28"/>
        <v>117.753</v>
      </c>
      <c r="L385" s="19">
        <f t="shared" si="29"/>
        <v>125.87340000000003</v>
      </c>
      <c r="M385" s="19">
        <f>MAX(G264:G385)</f>
        <v>162.13</v>
      </c>
      <c r="N385" s="19">
        <f t="shared" si="25"/>
        <v>-29.710725960648865</v>
      </c>
      <c r="O385" s="9" t="str">
        <f t="shared" si="26"/>
        <v>2024-06</v>
      </c>
    </row>
    <row r="386" spans="1:15" x14ac:dyDescent="0.25">
      <c r="A386" s="9" t="s">
        <v>308</v>
      </c>
      <c r="B386" s="9" t="s">
        <v>309</v>
      </c>
      <c r="C386" s="25" t="s">
        <v>168</v>
      </c>
      <c r="D386" s="19">
        <v>113.96</v>
      </c>
      <c r="E386" s="19">
        <v>114.49</v>
      </c>
      <c r="F386" s="19">
        <v>113.01</v>
      </c>
      <c r="G386" s="19">
        <v>113.2</v>
      </c>
      <c r="H386" s="19">
        <v>113.2</v>
      </c>
      <c r="I386" s="15">
        <v>4967618</v>
      </c>
      <c r="J386" s="19">
        <f t="shared" si="27"/>
        <v>-0.66690066690065897</v>
      </c>
      <c r="K386" s="19">
        <f t="shared" si="28"/>
        <v>117.33799999999999</v>
      </c>
      <c r="L386" s="19">
        <f t="shared" si="29"/>
        <v>125.52580000000003</v>
      </c>
      <c r="M386" s="19">
        <f>MAX(G264:G386)</f>
        <v>162.13</v>
      </c>
      <c r="N386" s="19">
        <f t="shared" ref="N386:N449" si="30">(G386-M386)/M386*100</f>
        <v>-30.179485597976928</v>
      </c>
      <c r="O386" s="9" t="str">
        <f t="shared" ref="O386:O449" si="31">TEXT(C386,"yyyy-mm")</f>
        <v>2024-06</v>
      </c>
    </row>
    <row r="387" spans="1:15" x14ac:dyDescent="0.25">
      <c r="A387" s="9" t="s">
        <v>308</v>
      </c>
      <c r="B387" s="9" t="s">
        <v>309</v>
      </c>
      <c r="C387" s="25" t="s">
        <v>169</v>
      </c>
      <c r="D387" s="19">
        <v>113.2</v>
      </c>
      <c r="E387" s="19">
        <v>115</v>
      </c>
      <c r="F387" s="19">
        <v>112.41</v>
      </c>
      <c r="G387" s="19">
        <v>114.13</v>
      </c>
      <c r="H387" s="19">
        <v>114.13</v>
      </c>
      <c r="I387" s="15">
        <v>3962177</v>
      </c>
      <c r="J387" s="19">
        <f t="shared" si="27"/>
        <v>0.8215547703180146</v>
      </c>
      <c r="K387" s="19">
        <f t="shared" si="28"/>
        <v>117.00199999999998</v>
      </c>
      <c r="L387" s="19">
        <f t="shared" si="29"/>
        <v>125.22160000000002</v>
      </c>
      <c r="M387" s="19">
        <f>MAX(G264:G387)</f>
        <v>162.13</v>
      </c>
      <c r="N387" s="19">
        <f t="shared" si="30"/>
        <v>-29.605871831246532</v>
      </c>
      <c r="O387" s="9" t="str">
        <f t="shared" si="31"/>
        <v>2024-06</v>
      </c>
    </row>
    <row r="388" spans="1:15" x14ac:dyDescent="0.25">
      <c r="A388" s="9" t="s">
        <v>308</v>
      </c>
      <c r="B388" s="9" t="s">
        <v>309</v>
      </c>
      <c r="C388" s="25" t="s">
        <v>170</v>
      </c>
      <c r="D388" s="19">
        <v>114.13</v>
      </c>
      <c r="E388" s="19">
        <v>114.73</v>
      </c>
      <c r="F388" s="19">
        <v>113.9</v>
      </c>
      <c r="G388" s="19">
        <v>114.44</v>
      </c>
      <c r="H388" s="19">
        <v>114.44</v>
      </c>
      <c r="I388" s="15">
        <v>6056997</v>
      </c>
      <c r="J388" s="19">
        <f t="shared" si="27"/>
        <v>0.27162008236222052</v>
      </c>
      <c r="K388" s="19">
        <f t="shared" si="28"/>
        <v>116.691</v>
      </c>
      <c r="L388" s="19">
        <f t="shared" si="29"/>
        <v>124.90520000000002</v>
      </c>
      <c r="M388" s="19">
        <f>MAX(G264:G388)</f>
        <v>162.13</v>
      </c>
      <c r="N388" s="19">
        <f t="shared" si="30"/>
        <v>-29.414667242336396</v>
      </c>
      <c r="O388" s="9" t="str">
        <f t="shared" si="31"/>
        <v>2024-06</v>
      </c>
    </row>
    <row r="389" spans="1:15" x14ac:dyDescent="0.25">
      <c r="A389" s="9" t="s">
        <v>308</v>
      </c>
      <c r="B389" s="9" t="s">
        <v>309</v>
      </c>
      <c r="C389" s="25" t="s">
        <v>171</v>
      </c>
      <c r="D389" s="19">
        <v>114.44</v>
      </c>
      <c r="E389" s="19">
        <v>114.57</v>
      </c>
      <c r="F389" s="19">
        <v>113.25</v>
      </c>
      <c r="G389" s="19">
        <v>113.28</v>
      </c>
      <c r="H389" s="19">
        <v>113.28</v>
      </c>
      <c r="I389" s="15">
        <v>2710406</v>
      </c>
      <c r="J389" s="19">
        <f t="shared" si="27"/>
        <v>-1.0136315973435832</v>
      </c>
      <c r="K389" s="19">
        <f t="shared" si="28"/>
        <v>116.35</v>
      </c>
      <c r="L389" s="19">
        <f t="shared" si="29"/>
        <v>124.57299999999999</v>
      </c>
      <c r="M389" s="19">
        <f>MAX(G264:G389)</f>
        <v>162.13</v>
      </c>
      <c r="N389" s="19">
        <f t="shared" si="30"/>
        <v>-30.130142478258186</v>
      </c>
      <c r="O389" s="9" t="str">
        <f t="shared" si="31"/>
        <v>2024-06</v>
      </c>
    </row>
    <row r="390" spans="1:15" x14ac:dyDescent="0.25">
      <c r="A390" s="9" t="s">
        <v>308</v>
      </c>
      <c r="B390" s="9" t="s">
        <v>309</v>
      </c>
      <c r="C390" s="25" t="s">
        <v>172</v>
      </c>
      <c r="D390" s="19">
        <v>113.28</v>
      </c>
      <c r="E390" s="19">
        <v>113.67</v>
      </c>
      <c r="F390" s="19">
        <v>112.29</v>
      </c>
      <c r="G390" s="19">
        <v>112.42</v>
      </c>
      <c r="H390" s="19">
        <v>112.42</v>
      </c>
      <c r="I390" s="15">
        <v>5380584</v>
      </c>
      <c r="J390" s="19">
        <f t="shared" si="27"/>
        <v>-0.75918079096045143</v>
      </c>
      <c r="K390" s="19">
        <f t="shared" si="28"/>
        <v>115.99950000000001</v>
      </c>
      <c r="L390" s="19">
        <f t="shared" si="29"/>
        <v>124.2362</v>
      </c>
      <c r="M390" s="19">
        <f>MAX(G264:G390)</f>
        <v>162.13</v>
      </c>
      <c r="N390" s="19">
        <f t="shared" si="30"/>
        <v>-30.660581015234683</v>
      </c>
      <c r="O390" s="9" t="str">
        <f t="shared" si="31"/>
        <v>2024-06</v>
      </c>
    </row>
    <row r="391" spans="1:15" x14ac:dyDescent="0.25">
      <c r="A391" s="9" t="s">
        <v>308</v>
      </c>
      <c r="B391" s="9" t="s">
        <v>309</v>
      </c>
      <c r="C391" s="25" t="s">
        <v>173</v>
      </c>
      <c r="D391" s="19">
        <v>112.42</v>
      </c>
      <c r="E391" s="19">
        <v>112.56</v>
      </c>
      <c r="F391" s="19">
        <v>111.97</v>
      </c>
      <c r="G391" s="19">
        <v>112.16</v>
      </c>
      <c r="H391" s="19">
        <v>112.16</v>
      </c>
      <c r="I391" s="15">
        <v>5157723</v>
      </c>
      <c r="J391" s="19">
        <f t="shared" si="27"/>
        <v>-0.2312755737413317</v>
      </c>
      <c r="K391" s="19">
        <f t="shared" si="28"/>
        <v>115.70950000000001</v>
      </c>
      <c r="L391" s="19">
        <f t="shared" si="29"/>
        <v>123.85600000000001</v>
      </c>
      <c r="M391" s="19">
        <f>MAX(G264:G391)</f>
        <v>162.13</v>
      </c>
      <c r="N391" s="19">
        <f t="shared" si="30"/>
        <v>-30.820946154320605</v>
      </c>
      <c r="O391" s="9" t="str">
        <f t="shared" si="31"/>
        <v>2024-06</v>
      </c>
    </row>
    <row r="392" spans="1:15" x14ac:dyDescent="0.25">
      <c r="A392" s="9" t="s">
        <v>308</v>
      </c>
      <c r="B392" s="9" t="s">
        <v>309</v>
      </c>
      <c r="C392" s="25" t="s">
        <v>174</v>
      </c>
      <c r="D392" s="19">
        <v>112.16</v>
      </c>
      <c r="E392" s="19">
        <v>114.08</v>
      </c>
      <c r="F392" s="19">
        <v>111.71</v>
      </c>
      <c r="G392" s="19">
        <v>113.64</v>
      </c>
      <c r="H392" s="19">
        <v>113.64</v>
      </c>
      <c r="I392" s="15">
        <v>1759271</v>
      </c>
      <c r="J392" s="19">
        <f t="shared" si="27"/>
        <v>1.3195435092724714</v>
      </c>
      <c r="K392" s="19">
        <f t="shared" si="28"/>
        <v>115.48649999999998</v>
      </c>
      <c r="L392" s="19">
        <f t="shared" si="29"/>
        <v>123.4974</v>
      </c>
      <c r="M392" s="19">
        <f>MAX(G264:G392)</f>
        <v>162.13</v>
      </c>
      <c r="N392" s="19">
        <f t="shared" si="30"/>
        <v>-29.90809843952384</v>
      </c>
      <c r="O392" s="9" t="str">
        <f t="shared" si="31"/>
        <v>2024-06</v>
      </c>
    </row>
    <row r="393" spans="1:15" x14ac:dyDescent="0.25">
      <c r="A393" s="9" t="s">
        <v>308</v>
      </c>
      <c r="B393" s="9" t="s">
        <v>309</v>
      </c>
      <c r="C393" s="25" t="s">
        <v>175</v>
      </c>
      <c r="D393" s="19">
        <v>113.64</v>
      </c>
      <c r="E393" s="19">
        <v>113.75</v>
      </c>
      <c r="F393" s="19">
        <v>112.77</v>
      </c>
      <c r="G393" s="19">
        <v>112.94</v>
      </c>
      <c r="H393" s="19">
        <v>112.94</v>
      </c>
      <c r="I393" s="15">
        <v>4843039</v>
      </c>
      <c r="J393" s="19">
        <f t="shared" ref="J393:J456" si="32">IFERROR((G393-G392)/G392*100,"")</f>
        <v>-0.61598028863076637</v>
      </c>
      <c r="K393" s="19">
        <f t="shared" si="28"/>
        <v>115.25800000000001</v>
      </c>
      <c r="L393" s="19">
        <f t="shared" si="29"/>
        <v>123.13</v>
      </c>
      <c r="M393" s="19">
        <f>MAX(G264:G393)</f>
        <v>162.13</v>
      </c>
      <c r="N393" s="19">
        <f t="shared" si="30"/>
        <v>-30.33985073706285</v>
      </c>
      <c r="O393" s="9" t="str">
        <f t="shared" si="31"/>
        <v>2024-06</v>
      </c>
    </row>
    <row r="394" spans="1:15" x14ac:dyDescent="0.25">
      <c r="A394" s="9" t="s">
        <v>308</v>
      </c>
      <c r="B394" s="9" t="s">
        <v>309</v>
      </c>
      <c r="C394" s="25" t="s">
        <v>176</v>
      </c>
      <c r="D394" s="19">
        <v>112.94</v>
      </c>
      <c r="E394" s="19">
        <v>113.47</v>
      </c>
      <c r="F394" s="19">
        <v>111.09</v>
      </c>
      <c r="G394" s="19">
        <v>111.46</v>
      </c>
      <c r="H394" s="19">
        <v>111.46</v>
      </c>
      <c r="I394" s="15">
        <v>2498072</v>
      </c>
      <c r="J394" s="19">
        <f t="shared" si="32"/>
        <v>-1.310430316982472</v>
      </c>
      <c r="K394" s="19">
        <f t="shared" si="28"/>
        <v>114.953</v>
      </c>
      <c r="L394" s="19">
        <f t="shared" si="29"/>
        <v>122.74719999999999</v>
      </c>
      <c r="M394" s="19">
        <f>MAX(G264:G394)</f>
        <v>162.13</v>
      </c>
      <c r="N394" s="19">
        <f t="shared" si="30"/>
        <v>-31.252698451859622</v>
      </c>
      <c r="O394" s="9" t="str">
        <f t="shared" si="31"/>
        <v>2024-07</v>
      </c>
    </row>
    <row r="395" spans="1:15" x14ac:dyDescent="0.25">
      <c r="A395" s="9" t="s">
        <v>308</v>
      </c>
      <c r="B395" s="9" t="s">
        <v>309</v>
      </c>
      <c r="C395" s="25" t="s">
        <v>177</v>
      </c>
      <c r="D395" s="19">
        <v>111.46</v>
      </c>
      <c r="E395" s="19">
        <v>113.55</v>
      </c>
      <c r="F395" s="19">
        <v>110.27</v>
      </c>
      <c r="G395" s="19">
        <v>113.26</v>
      </c>
      <c r="H395" s="19">
        <v>113.26</v>
      </c>
      <c r="I395" s="15">
        <v>4116586</v>
      </c>
      <c r="J395" s="19">
        <f t="shared" si="32"/>
        <v>1.6149291225551872</v>
      </c>
      <c r="K395" s="19">
        <f t="shared" si="28"/>
        <v>114.6795</v>
      </c>
      <c r="L395" s="19">
        <f t="shared" si="29"/>
        <v>122.4058</v>
      </c>
      <c r="M395" s="19">
        <f>MAX(G264:G395)</f>
        <v>162.13</v>
      </c>
      <c r="N395" s="19">
        <f t="shared" si="30"/>
        <v>-30.142478258187872</v>
      </c>
      <c r="O395" s="9" t="str">
        <f t="shared" si="31"/>
        <v>2024-07</v>
      </c>
    </row>
    <row r="396" spans="1:15" x14ac:dyDescent="0.25">
      <c r="A396" s="9" t="s">
        <v>308</v>
      </c>
      <c r="B396" s="9" t="s">
        <v>309</v>
      </c>
      <c r="C396" s="25" t="s">
        <v>178</v>
      </c>
      <c r="D396" s="19">
        <v>113.26</v>
      </c>
      <c r="E396" s="19">
        <v>114.65</v>
      </c>
      <c r="F396" s="19">
        <v>113.16</v>
      </c>
      <c r="G396" s="19">
        <v>114.55</v>
      </c>
      <c r="H396" s="19">
        <v>114.55</v>
      </c>
      <c r="I396" s="15">
        <v>4148166</v>
      </c>
      <c r="J396" s="19">
        <f t="shared" si="32"/>
        <v>1.1389722761786969</v>
      </c>
      <c r="K396" s="19">
        <f t="shared" si="28"/>
        <v>114.47000000000003</v>
      </c>
      <c r="L396" s="19">
        <f t="shared" si="29"/>
        <v>122.07639999999999</v>
      </c>
      <c r="M396" s="19">
        <f>MAX(G264:G396)</f>
        <v>162.13</v>
      </c>
      <c r="N396" s="19">
        <f t="shared" si="30"/>
        <v>-29.346820452723122</v>
      </c>
      <c r="O396" s="9" t="str">
        <f t="shared" si="31"/>
        <v>2024-07</v>
      </c>
    </row>
    <row r="397" spans="1:15" x14ac:dyDescent="0.25">
      <c r="A397" s="9" t="s">
        <v>308</v>
      </c>
      <c r="B397" s="9" t="s">
        <v>309</v>
      </c>
      <c r="C397" s="25" t="s">
        <v>179</v>
      </c>
      <c r="D397" s="19">
        <v>114.55</v>
      </c>
      <c r="E397" s="19">
        <v>115.44</v>
      </c>
      <c r="F397" s="19">
        <v>113.68</v>
      </c>
      <c r="G397" s="19">
        <v>113.71</v>
      </c>
      <c r="H397" s="19">
        <v>113.71</v>
      </c>
      <c r="I397" s="15">
        <v>4991683</v>
      </c>
      <c r="J397" s="19">
        <f t="shared" si="32"/>
        <v>-0.73330423395897282</v>
      </c>
      <c r="K397" s="19">
        <f t="shared" si="28"/>
        <v>114.15850000000003</v>
      </c>
      <c r="L397" s="19">
        <f t="shared" si="29"/>
        <v>121.72920000000001</v>
      </c>
      <c r="M397" s="19">
        <f>MAX(G264:G397)</f>
        <v>162.13</v>
      </c>
      <c r="N397" s="19">
        <f t="shared" si="30"/>
        <v>-29.864923209769938</v>
      </c>
      <c r="O397" s="9" t="str">
        <f t="shared" si="31"/>
        <v>2024-07</v>
      </c>
    </row>
    <row r="398" spans="1:15" x14ac:dyDescent="0.25">
      <c r="A398" s="9" t="s">
        <v>308</v>
      </c>
      <c r="B398" s="9" t="s">
        <v>309</v>
      </c>
      <c r="C398" s="25" t="s">
        <v>180</v>
      </c>
      <c r="D398" s="19">
        <v>113.71</v>
      </c>
      <c r="E398" s="19">
        <v>113.73</v>
      </c>
      <c r="F398" s="19">
        <v>112.46</v>
      </c>
      <c r="G398" s="19">
        <v>112.52</v>
      </c>
      <c r="H398" s="19">
        <v>112.52</v>
      </c>
      <c r="I398" s="15">
        <v>3167750</v>
      </c>
      <c r="J398" s="19">
        <f t="shared" si="32"/>
        <v>-1.0465218538387107</v>
      </c>
      <c r="K398" s="19">
        <f t="shared" si="28"/>
        <v>113.86700000000003</v>
      </c>
      <c r="L398" s="19">
        <f t="shared" si="29"/>
        <v>121.38079999999998</v>
      </c>
      <c r="M398" s="19">
        <f>MAX(G264:G398)</f>
        <v>162.13</v>
      </c>
      <c r="N398" s="19">
        <f t="shared" si="30"/>
        <v>-30.598902115586256</v>
      </c>
      <c r="O398" s="9" t="str">
        <f t="shared" si="31"/>
        <v>2024-07</v>
      </c>
    </row>
    <row r="399" spans="1:15" x14ac:dyDescent="0.25">
      <c r="A399" s="9" t="s">
        <v>308</v>
      </c>
      <c r="B399" s="9" t="s">
        <v>309</v>
      </c>
      <c r="C399" s="25" t="s">
        <v>181</v>
      </c>
      <c r="D399" s="19">
        <v>112.52</v>
      </c>
      <c r="E399" s="19">
        <v>113.73</v>
      </c>
      <c r="F399" s="19">
        <v>112.37</v>
      </c>
      <c r="G399" s="19">
        <v>112.67</v>
      </c>
      <c r="H399" s="19">
        <v>112.67</v>
      </c>
      <c r="I399" s="15">
        <v>5202683</v>
      </c>
      <c r="J399" s="19">
        <f t="shared" si="32"/>
        <v>0.13330963384287745</v>
      </c>
      <c r="K399" s="19">
        <f t="shared" si="28"/>
        <v>113.71200000000002</v>
      </c>
      <c r="L399" s="19">
        <f t="shared" si="29"/>
        <v>121.04659999999998</v>
      </c>
      <c r="M399" s="19">
        <f>MAX(G264:G399)</f>
        <v>162.13</v>
      </c>
      <c r="N399" s="19">
        <f t="shared" si="30"/>
        <v>-30.506383766113608</v>
      </c>
      <c r="O399" s="9" t="str">
        <f t="shared" si="31"/>
        <v>2024-07</v>
      </c>
    </row>
    <row r="400" spans="1:15" x14ac:dyDescent="0.25">
      <c r="A400" s="9" t="s">
        <v>308</v>
      </c>
      <c r="B400" s="9" t="s">
        <v>309</v>
      </c>
      <c r="C400" s="25" t="s">
        <v>182</v>
      </c>
      <c r="D400" s="19">
        <v>112.67</v>
      </c>
      <c r="E400" s="19">
        <v>115.34</v>
      </c>
      <c r="F400" s="19">
        <v>112.37</v>
      </c>
      <c r="G400" s="19">
        <v>114.45</v>
      </c>
      <c r="H400" s="19">
        <v>114.45</v>
      </c>
      <c r="I400" s="15">
        <v>3718281</v>
      </c>
      <c r="J400" s="19">
        <f t="shared" si="32"/>
        <v>1.5798349161267429</v>
      </c>
      <c r="K400" s="19">
        <f t="shared" si="28"/>
        <v>113.6345</v>
      </c>
      <c r="L400" s="19">
        <f t="shared" si="29"/>
        <v>120.74939999999998</v>
      </c>
      <c r="M400" s="19">
        <f>MAX(G264:G400)</f>
        <v>162.13</v>
      </c>
      <c r="N400" s="19">
        <f t="shared" si="30"/>
        <v>-29.408499352371546</v>
      </c>
      <c r="O400" s="9" t="str">
        <f t="shared" si="31"/>
        <v>2024-07</v>
      </c>
    </row>
    <row r="401" spans="1:15" x14ac:dyDescent="0.25">
      <c r="A401" s="9" t="s">
        <v>308</v>
      </c>
      <c r="B401" s="9" t="s">
        <v>309</v>
      </c>
      <c r="C401" s="25" t="s">
        <v>183</v>
      </c>
      <c r="D401" s="19">
        <v>114.45</v>
      </c>
      <c r="E401" s="19">
        <v>114.83</v>
      </c>
      <c r="F401" s="19">
        <v>106.46</v>
      </c>
      <c r="G401" s="19">
        <v>106.63</v>
      </c>
      <c r="H401" s="19">
        <v>106.63</v>
      </c>
      <c r="I401" s="15">
        <v>13136427</v>
      </c>
      <c r="J401" s="19">
        <f t="shared" si="32"/>
        <v>-6.8326780253385815</v>
      </c>
      <c r="K401" s="19">
        <f t="shared" si="28"/>
        <v>113.16300000000001</v>
      </c>
      <c r="L401" s="19">
        <f t="shared" si="29"/>
        <v>120.26459999999999</v>
      </c>
      <c r="M401" s="19">
        <f>MAX(G264:G401)</f>
        <v>162.13</v>
      </c>
      <c r="N401" s="19">
        <f t="shared" si="30"/>
        <v>-34.231789304878802</v>
      </c>
      <c r="O401" s="9" t="str">
        <f t="shared" si="31"/>
        <v>2024-07</v>
      </c>
    </row>
    <row r="402" spans="1:15" x14ac:dyDescent="0.25">
      <c r="A402" s="9" t="s">
        <v>308</v>
      </c>
      <c r="B402" s="9" t="s">
        <v>309</v>
      </c>
      <c r="C402" s="25" t="s">
        <v>184</v>
      </c>
      <c r="D402" s="19">
        <v>106.63</v>
      </c>
      <c r="E402" s="19">
        <v>107.27</v>
      </c>
      <c r="F402" s="19">
        <v>105.74</v>
      </c>
      <c r="G402" s="19">
        <v>107.09</v>
      </c>
      <c r="H402" s="19">
        <v>107.09</v>
      </c>
      <c r="I402" s="15">
        <v>4806608</v>
      </c>
      <c r="J402" s="19">
        <f t="shared" si="32"/>
        <v>0.43139829316328238</v>
      </c>
      <c r="K402" s="19">
        <f t="shared" si="28"/>
        <v>112.75450000000001</v>
      </c>
      <c r="L402" s="19">
        <f t="shared" si="29"/>
        <v>119.806</v>
      </c>
      <c r="M402" s="19">
        <f>MAX(G264:G402)</f>
        <v>162.13</v>
      </c>
      <c r="N402" s="19">
        <f t="shared" si="30"/>
        <v>-33.948066366496015</v>
      </c>
      <c r="O402" s="9" t="str">
        <f t="shared" si="31"/>
        <v>2024-07</v>
      </c>
    </row>
    <row r="403" spans="1:15" x14ac:dyDescent="0.25">
      <c r="A403" s="9" t="s">
        <v>308</v>
      </c>
      <c r="B403" s="9" t="s">
        <v>309</v>
      </c>
      <c r="C403" s="25" t="s">
        <v>185</v>
      </c>
      <c r="D403" s="19">
        <v>107.09</v>
      </c>
      <c r="E403" s="19">
        <v>107.67</v>
      </c>
      <c r="F403" s="19">
        <v>104.55</v>
      </c>
      <c r="G403" s="19">
        <v>105.04</v>
      </c>
      <c r="H403" s="19">
        <v>105.04</v>
      </c>
      <c r="I403" s="15">
        <v>3547139</v>
      </c>
      <c r="J403" s="19">
        <f t="shared" si="32"/>
        <v>-1.9142777103370967</v>
      </c>
      <c r="K403" s="19">
        <f t="shared" si="28"/>
        <v>112.3045</v>
      </c>
      <c r="L403" s="19">
        <f t="shared" si="29"/>
        <v>119.2884</v>
      </c>
      <c r="M403" s="19">
        <f>MAX(G264:G403)</f>
        <v>162.13</v>
      </c>
      <c r="N403" s="19">
        <f t="shared" si="30"/>
        <v>-35.212483809288834</v>
      </c>
      <c r="O403" s="9" t="str">
        <f t="shared" si="31"/>
        <v>2024-07</v>
      </c>
    </row>
    <row r="404" spans="1:15" x14ac:dyDescent="0.25">
      <c r="A404" s="9" t="s">
        <v>308</v>
      </c>
      <c r="B404" s="9" t="s">
        <v>309</v>
      </c>
      <c r="C404" s="25" t="s">
        <v>186</v>
      </c>
      <c r="D404" s="19">
        <v>105.04</v>
      </c>
      <c r="E404" s="19">
        <v>105.38</v>
      </c>
      <c r="F404" s="19">
        <v>104.29</v>
      </c>
      <c r="G404" s="19">
        <v>104.57</v>
      </c>
      <c r="H404" s="19">
        <v>104.57</v>
      </c>
      <c r="I404" s="15">
        <v>4005039</v>
      </c>
      <c r="J404" s="19">
        <f t="shared" si="32"/>
        <v>-0.44744859101295986</v>
      </c>
      <c r="K404" s="19">
        <f t="shared" si="28"/>
        <v>111.80600000000001</v>
      </c>
      <c r="L404" s="19">
        <f t="shared" si="29"/>
        <v>118.74420000000001</v>
      </c>
      <c r="M404" s="19">
        <f>MAX(G264:G404)</f>
        <v>162.13</v>
      </c>
      <c r="N404" s="19">
        <f t="shared" si="30"/>
        <v>-35.502374637636471</v>
      </c>
      <c r="O404" s="9" t="str">
        <f t="shared" si="31"/>
        <v>2024-07</v>
      </c>
    </row>
    <row r="405" spans="1:15" x14ac:dyDescent="0.25">
      <c r="A405" s="9" t="s">
        <v>308</v>
      </c>
      <c r="B405" s="9" t="s">
        <v>309</v>
      </c>
      <c r="C405" s="25" t="s">
        <v>187</v>
      </c>
      <c r="D405" s="19">
        <v>104.57</v>
      </c>
      <c r="E405" s="19">
        <v>104.93</v>
      </c>
      <c r="F405" s="19">
        <v>104.38</v>
      </c>
      <c r="G405" s="19">
        <v>104.64</v>
      </c>
      <c r="H405" s="19">
        <v>104.64</v>
      </c>
      <c r="I405" s="15">
        <v>2852751</v>
      </c>
      <c r="J405" s="19">
        <f t="shared" si="32"/>
        <v>6.6940805202263934E-2</v>
      </c>
      <c r="K405" s="19">
        <f t="shared" si="28"/>
        <v>111.33999999999999</v>
      </c>
      <c r="L405" s="19">
        <f t="shared" si="29"/>
        <v>118.15720000000002</v>
      </c>
      <c r="M405" s="19">
        <f>MAX(G264:G405)</f>
        <v>162.13</v>
      </c>
      <c r="N405" s="19">
        <f t="shared" si="30"/>
        <v>-35.459199407882565</v>
      </c>
      <c r="O405" s="9" t="str">
        <f t="shared" si="31"/>
        <v>2024-07</v>
      </c>
    </row>
    <row r="406" spans="1:15" x14ac:dyDescent="0.25">
      <c r="A406" s="9" t="s">
        <v>308</v>
      </c>
      <c r="B406" s="9" t="s">
        <v>309</v>
      </c>
      <c r="C406" s="25" t="s">
        <v>188</v>
      </c>
      <c r="D406" s="19">
        <v>104.64</v>
      </c>
      <c r="E406" s="19">
        <v>104.68</v>
      </c>
      <c r="F406" s="19">
        <v>104.47</v>
      </c>
      <c r="G406" s="19">
        <v>104.63</v>
      </c>
      <c r="H406" s="19">
        <v>104.63</v>
      </c>
      <c r="I406" s="15">
        <v>4916738</v>
      </c>
      <c r="J406" s="19">
        <f t="shared" si="32"/>
        <v>-9.5565749235522884E-3</v>
      </c>
      <c r="K406" s="19">
        <f t="shared" si="28"/>
        <v>110.9115</v>
      </c>
      <c r="L406" s="19">
        <f t="shared" si="29"/>
        <v>117.58780000000003</v>
      </c>
      <c r="M406" s="19">
        <f>MAX(G264:G406)</f>
        <v>162.13</v>
      </c>
      <c r="N406" s="19">
        <f t="shared" si="30"/>
        <v>-35.465367297847408</v>
      </c>
      <c r="O406" s="9" t="str">
        <f t="shared" si="31"/>
        <v>2024-07</v>
      </c>
    </row>
    <row r="407" spans="1:15" x14ac:dyDescent="0.25">
      <c r="A407" s="9" t="s">
        <v>308</v>
      </c>
      <c r="B407" s="9" t="s">
        <v>309</v>
      </c>
      <c r="C407" s="25" t="s">
        <v>189</v>
      </c>
      <c r="D407" s="19">
        <v>104.63</v>
      </c>
      <c r="E407" s="19">
        <v>104.76</v>
      </c>
      <c r="F407" s="19">
        <v>103.15</v>
      </c>
      <c r="G407" s="19">
        <v>103.25</v>
      </c>
      <c r="H407" s="19">
        <v>103.25</v>
      </c>
      <c r="I407" s="15">
        <v>4277130</v>
      </c>
      <c r="J407" s="19">
        <f t="shared" si="32"/>
        <v>-1.3189333843066</v>
      </c>
      <c r="K407" s="19">
        <f t="shared" si="28"/>
        <v>110.36749999999999</v>
      </c>
      <c r="L407" s="19">
        <f t="shared" si="29"/>
        <v>117.01180000000002</v>
      </c>
      <c r="M407" s="19">
        <f>MAX(G264:G407)</f>
        <v>162.13</v>
      </c>
      <c r="N407" s="19">
        <f t="shared" si="30"/>
        <v>-36.316536112995742</v>
      </c>
      <c r="O407" s="9" t="str">
        <f t="shared" si="31"/>
        <v>2024-07</v>
      </c>
    </row>
    <row r="408" spans="1:15" x14ac:dyDescent="0.25">
      <c r="A408" s="9" t="s">
        <v>308</v>
      </c>
      <c r="B408" s="9" t="s">
        <v>309</v>
      </c>
      <c r="C408" s="25" t="s">
        <v>190</v>
      </c>
      <c r="D408" s="19">
        <v>103.25</v>
      </c>
      <c r="E408" s="19">
        <v>103.48</v>
      </c>
      <c r="F408" s="19">
        <v>103.07</v>
      </c>
      <c r="G408" s="19">
        <v>103.35</v>
      </c>
      <c r="H408" s="19">
        <v>103.35</v>
      </c>
      <c r="I408" s="15">
        <v>5189151</v>
      </c>
      <c r="J408" s="19">
        <f t="shared" si="32"/>
        <v>9.6852300242125239E-2</v>
      </c>
      <c r="K408" s="19">
        <f t="shared" si="28"/>
        <v>109.81299999999999</v>
      </c>
      <c r="L408" s="19">
        <f t="shared" si="29"/>
        <v>116.37860000000002</v>
      </c>
      <c r="M408" s="19">
        <f>MAX(G264:G408)</f>
        <v>162.13</v>
      </c>
      <c r="N408" s="19">
        <f t="shared" si="30"/>
        <v>-36.254857213347314</v>
      </c>
      <c r="O408" s="9" t="str">
        <f t="shared" si="31"/>
        <v>2024-07</v>
      </c>
    </row>
    <row r="409" spans="1:15" x14ac:dyDescent="0.25">
      <c r="A409" s="9" t="s">
        <v>308</v>
      </c>
      <c r="B409" s="9" t="s">
        <v>309</v>
      </c>
      <c r="C409" s="25" t="s">
        <v>191</v>
      </c>
      <c r="D409" s="19">
        <v>103.35</v>
      </c>
      <c r="E409" s="19">
        <v>111.09</v>
      </c>
      <c r="F409" s="19">
        <v>102.78</v>
      </c>
      <c r="G409" s="19">
        <v>111.08</v>
      </c>
      <c r="H409" s="19">
        <v>111.08</v>
      </c>
      <c r="I409" s="15">
        <v>7875391</v>
      </c>
      <c r="J409" s="19">
        <f t="shared" si="32"/>
        <v>7.4794388001935221</v>
      </c>
      <c r="K409" s="19">
        <f t="shared" si="28"/>
        <v>109.70299999999997</v>
      </c>
      <c r="L409" s="19">
        <f t="shared" si="29"/>
        <v>115.88760000000002</v>
      </c>
      <c r="M409" s="19">
        <f>MAX(G264:G409)</f>
        <v>162.13</v>
      </c>
      <c r="N409" s="19">
        <f t="shared" si="30"/>
        <v>-31.487078270523654</v>
      </c>
      <c r="O409" s="9" t="str">
        <f t="shared" si="31"/>
        <v>2024-07</v>
      </c>
    </row>
    <row r="410" spans="1:15" x14ac:dyDescent="0.25">
      <c r="A410" s="9" t="s">
        <v>308</v>
      </c>
      <c r="B410" s="9" t="s">
        <v>309</v>
      </c>
      <c r="C410" s="25" t="s">
        <v>192</v>
      </c>
      <c r="D410" s="19">
        <v>111.08</v>
      </c>
      <c r="E410" s="19">
        <v>112.98</v>
      </c>
      <c r="F410" s="19">
        <v>110.38</v>
      </c>
      <c r="G410" s="19">
        <v>112.26</v>
      </c>
      <c r="H410" s="19">
        <v>112.26</v>
      </c>
      <c r="I410" s="15">
        <v>2881154</v>
      </c>
      <c r="J410" s="19">
        <f t="shared" si="32"/>
        <v>1.0622974432841259</v>
      </c>
      <c r="K410" s="19">
        <f t="shared" si="28"/>
        <v>109.69499999999998</v>
      </c>
      <c r="L410" s="19">
        <f t="shared" si="29"/>
        <v>115.46300000000002</v>
      </c>
      <c r="M410" s="19">
        <f>MAX(G264:G410)</f>
        <v>162.13</v>
      </c>
      <c r="N410" s="19">
        <f t="shared" si="30"/>
        <v>-30.759267254672174</v>
      </c>
      <c r="O410" s="9" t="str">
        <f t="shared" si="31"/>
        <v>2024-07</v>
      </c>
    </row>
    <row r="411" spans="1:15" x14ac:dyDescent="0.25">
      <c r="A411" s="9" t="s">
        <v>308</v>
      </c>
      <c r="B411" s="9" t="s">
        <v>309</v>
      </c>
      <c r="C411" s="25" t="s">
        <v>193</v>
      </c>
      <c r="D411" s="19">
        <v>112.26</v>
      </c>
      <c r="E411" s="19">
        <v>112.62</v>
      </c>
      <c r="F411" s="19">
        <v>109.63</v>
      </c>
      <c r="G411" s="19">
        <v>109.72</v>
      </c>
      <c r="H411" s="19">
        <v>109.72</v>
      </c>
      <c r="I411" s="15">
        <v>4522705</v>
      </c>
      <c r="J411" s="19">
        <f t="shared" si="32"/>
        <v>-2.2626046677356193</v>
      </c>
      <c r="K411" s="19">
        <f t="shared" ref="K411:K474" si="33">AVERAGE(G392:G411)</f>
        <v>109.57299999999998</v>
      </c>
      <c r="L411" s="19">
        <f t="shared" si="29"/>
        <v>114.98060000000004</v>
      </c>
      <c r="M411" s="19">
        <f>MAX(G264:G411)</f>
        <v>162.13</v>
      </c>
      <c r="N411" s="19">
        <f t="shared" si="30"/>
        <v>-32.325911305742302</v>
      </c>
      <c r="O411" s="9" t="str">
        <f t="shared" si="31"/>
        <v>2024-07</v>
      </c>
    </row>
    <row r="412" spans="1:15" x14ac:dyDescent="0.25">
      <c r="A412" s="9" t="s">
        <v>308</v>
      </c>
      <c r="B412" s="9" t="s">
        <v>309</v>
      </c>
      <c r="C412" s="25" t="s">
        <v>194</v>
      </c>
      <c r="D412" s="19">
        <v>109.72</v>
      </c>
      <c r="E412" s="19">
        <v>110.33</v>
      </c>
      <c r="F412" s="19">
        <v>109.52</v>
      </c>
      <c r="G412" s="19">
        <v>110.13</v>
      </c>
      <c r="H412" s="19">
        <v>110.13</v>
      </c>
      <c r="I412" s="15">
        <v>2173198</v>
      </c>
      <c r="J412" s="19">
        <f t="shared" si="32"/>
        <v>0.3736784542471715</v>
      </c>
      <c r="K412" s="19">
        <f t="shared" si="33"/>
        <v>109.39749999999999</v>
      </c>
      <c r="L412" s="19">
        <f t="shared" si="29"/>
        <v>114.54040000000005</v>
      </c>
      <c r="M412" s="19">
        <f>MAX(G264:G412)</f>
        <v>162.13</v>
      </c>
      <c r="N412" s="19">
        <f t="shared" si="30"/>
        <v>-32.073027817183743</v>
      </c>
      <c r="O412" s="9" t="str">
        <f t="shared" si="31"/>
        <v>2024-07</v>
      </c>
    </row>
    <row r="413" spans="1:15" x14ac:dyDescent="0.25">
      <c r="A413" s="9" t="s">
        <v>308</v>
      </c>
      <c r="B413" s="9" t="s">
        <v>309</v>
      </c>
      <c r="C413" s="25" t="s">
        <v>195</v>
      </c>
      <c r="D413" s="19">
        <v>110.13</v>
      </c>
      <c r="E413" s="19">
        <v>110.37</v>
      </c>
      <c r="F413" s="19">
        <v>101.53</v>
      </c>
      <c r="G413" s="19">
        <v>102.12</v>
      </c>
      <c r="H413" s="19">
        <v>102.12</v>
      </c>
      <c r="I413" s="15">
        <v>11726429</v>
      </c>
      <c r="J413" s="19">
        <f t="shared" si="32"/>
        <v>-7.2732225551620733</v>
      </c>
      <c r="K413" s="19">
        <f t="shared" si="33"/>
        <v>108.85650000000001</v>
      </c>
      <c r="L413" s="19">
        <f t="shared" si="29"/>
        <v>113.99100000000003</v>
      </c>
      <c r="M413" s="19">
        <f>MAX(G264:G413)</f>
        <v>162.13</v>
      </c>
      <c r="N413" s="19">
        <f t="shared" si="30"/>
        <v>-37.013507679023</v>
      </c>
      <c r="O413" s="9" t="str">
        <f t="shared" si="31"/>
        <v>2024-07</v>
      </c>
    </row>
    <row r="414" spans="1:15" x14ac:dyDescent="0.25">
      <c r="A414" s="9" t="s">
        <v>308</v>
      </c>
      <c r="B414" s="9" t="s">
        <v>309</v>
      </c>
      <c r="C414" s="25" t="s">
        <v>196</v>
      </c>
      <c r="D414" s="19">
        <v>102.12</v>
      </c>
      <c r="E414" s="19">
        <v>102.35</v>
      </c>
      <c r="F414" s="19">
        <v>101.35</v>
      </c>
      <c r="G414" s="19">
        <v>101.51</v>
      </c>
      <c r="H414" s="19">
        <v>101.51</v>
      </c>
      <c r="I414" s="15">
        <v>4157525</v>
      </c>
      <c r="J414" s="19">
        <f t="shared" si="32"/>
        <v>-0.59733646690168363</v>
      </c>
      <c r="K414" s="19">
        <f t="shared" si="33"/>
        <v>108.35900000000001</v>
      </c>
      <c r="L414" s="19">
        <f t="shared" si="29"/>
        <v>113.39740000000003</v>
      </c>
      <c r="M414" s="19">
        <f>MAX(G264:G414)</f>
        <v>162.13</v>
      </c>
      <c r="N414" s="19">
        <f t="shared" si="30"/>
        <v>-37.389748966878429</v>
      </c>
      <c r="O414" s="9" t="str">
        <f t="shared" si="31"/>
        <v>2024-07</v>
      </c>
    </row>
    <row r="415" spans="1:15" x14ac:dyDescent="0.25">
      <c r="A415" s="9" t="s">
        <v>308</v>
      </c>
      <c r="B415" s="9" t="s">
        <v>309</v>
      </c>
      <c r="C415" s="25" t="s">
        <v>197</v>
      </c>
      <c r="D415" s="19">
        <v>101.51</v>
      </c>
      <c r="E415" s="19">
        <v>102.45</v>
      </c>
      <c r="F415" s="19">
        <v>101.38</v>
      </c>
      <c r="G415" s="19">
        <v>102.2</v>
      </c>
      <c r="H415" s="19">
        <v>102.2</v>
      </c>
      <c r="I415" s="15">
        <v>2450743</v>
      </c>
      <c r="J415" s="19">
        <f t="shared" si="32"/>
        <v>0.67973598660230294</v>
      </c>
      <c r="K415" s="19">
        <f t="shared" si="33"/>
        <v>107.806</v>
      </c>
      <c r="L415" s="19">
        <f t="shared" si="29"/>
        <v>112.84220000000003</v>
      </c>
      <c r="M415" s="19">
        <f>MAX(G264:G415)</f>
        <v>162.13</v>
      </c>
      <c r="N415" s="19">
        <f t="shared" si="30"/>
        <v>-36.964164559304258</v>
      </c>
      <c r="O415" s="9" t="str">
        <f t="shared" si="31"/>
        <v>2024-07</v>
      </c>
    </row>
    <row r="416" spans="1:15" x14ac:dyDescent="0.25">
      <c r="A416" s="9" t="s">
        <v>308</v>
      </c>
      <c r="B416" s="9" t="s">
        <v>309</v>
      </c>
      <c r="C416" s="25" t="s">
        <v>198</v>
      </c>
      <c r="D416" s="19">
        <v>102.2</v>
      </c>
      <c r="E416" s="19">
        <v>104.41</v>
      </c>
      <c r="F416" s="19">
        <v>101.59</v>
      </c>
      <c r="G416" s="19">
        <v>104.18</v>
      </c>
      <c r="H416" s="19">
        <v>104.18</v>
      </c>
      <c r="I416" s="15">
        <v>3195161</v>
      </c>
      <c r="J416" s="19">
        <f t="shared" si="32"/>
        <v>1.9373776908023523</v>
      </c>
      <c r="K416" s="19">
        <f t="shared" si="33"/>
        <v>107.28749999999998</v>
      </c>
      <c r="L416" s="19">
        <f t="shared" si="29"/>
        <v>112.49580000000003</v>
      </c>
      <c r="M416" s="19">
        <f>MAX(G264:G416)</f>
        <v>162.13</v>
      </c>
      <c r="N416" s="19">
        <f t="shared" si="30"/>
        <v>-35.742922346265338</v>
      </c>
      <c r="O416" s="9" t="str">
        <f t="shared" si="31"/>
        <v>2024-07</v>
      </c>
    </row>
    <row r="417" spans="1:15" x14ac:dyDescent="0.25">
      <c r="A417" s="9" t="s">
        <v>308</v>
      </c>
      <c r="B417" s="9" t="s">
        <v>309</v>
      </c>
      <c r="C417" s="25" t="s">
        <v>199</v>
      </c>
      <c r="D417" s="19">
        <v>104.18</v>
      </c>
      <c r="E417" s="19">
        <v>105.12</v>
      </c>
      <c r="F417" s="19">
        <v>103.77</v>
      </c>
      <c r="G417" s="19">
        <v>104.74</v>
      </c>
      <c r="H417" s="19">
        <v>104.74</v>
      </c>
      <c r="I417" s="15">
        <v>5765188</v>
      </c>
      <c r="J417" s="19">
        <f t="shared" si="32"/>
        <v>0.53753119600689958</v>
      </c>
      <c r="K417" s="19">
        <f t="shared" si="33"/>
        <v>106.83899999999998</v>
      </c>
      <c r="L417" s="19">
        <f t="shared" si="29"/>
        <v>112.17360000000002</v>
      </c>
      <c r="M417" s="19">
        <f>MAX(G264:G417)</f>
        <v>162.13</v>
      </c>
      <c r="N417" s="19">
        <f t="shared" si="30"/>
        <v>-35.397520508234138</v>
      </c>
      <c r="O417" s="9" t="str">
        <f t="shared" si="31"/>
        <v>2024-08</v>
      </c>
    </row>
    <row r="418" spans="1:15" x14ac:dyDescent="0.25">
      <c r="A418" s="9" t="s">
        <v>308</v>
      </c>
      <c r="B418" s="9" t="s">
        <v>309</v>
      </c>
      <c r="C418" s="25" t="s">
        <v>200</v>
      </c>
      <c r="D418" s="19">
        <v>104.74</v>
      </c>
      <c r="E418" s="19">
        <v>106.02</v>
      </c>
      <c r="F418" s="19">
        <v>103.82</v>
      </c>
      <c r="G418" s="19">
        <v>105.68</v>
      </c>
      <c r="H418" s="19">
        <v>105.68</v>
      </c>
      <c r="I418" s="15">
        <v>2944141</v>
      </c>
      <c r="J418" s="19">
        <f t="shared" si="32"/>
        <v>0.89746037807906431</v>
      </c>
      <c r="K418" s="19">
        <f t="shared" si="33"/>
        <v>106.49699999999999</v>
      </c>
      <c r="L418" s="19">
        <f t="shared" si="29"/>
        <v>111.87400000000005</v>
      </c>
      <c r="M418" s="19">
        <f>MAX(G264:G418)</f>
        <v>162.13</v>
      </c>
      <c r="N418" s="19">
        <f t="shared" si="30"/>
        <v>-34.817738851538884</v>
      </c>
      <c r="O418" s="9" t="str">
        <f t="shared" si="31"/>
        <v>2024-08</v>
      </c>
    </row>
    <row r="419" spans="1:15" x14ac:dyDescent="0.25">
      <c r="A419" s="9" t="s">
        <v>308</v>
      </c>
      <c r="B419" s="9" t="s">
        <v>309</v>
      </c>
      <c r="C419" s="25" t="s">
        <v>201</v>
      </c>
      <c r="D419" s="19">
        <v>105.68</v>
      </c>
      <c r="E419" s="19">
        <v>107.64</v>
      </c>
      <c r="F419" s="19">
        <v>105.63</v>
      </c>
      <c r="G419" s="19">
        <v>107.24</v>
      </c>
      <c r="H419" s="19">
        <v>107.24</v>
      </c>
      <c r="I419" s="15">
        <v>6364165</v>
      </c>
      <c r="J419" s="19">
        <f t="shared" si="32"/>
        <v>1.4761544284632742</v>
      </c>
      <c r="K419" s="19">
        <f t="shared" si="33"/>
        <v>106.22550000000001</v>
      </c>
      <c r="L419" s="19">
        <f t="shared" si="29"/>
        <v>111.61680000000004</v>
      </c>
      <c r="M419" s="19">
        <f>MAX(G264:G419)</f>
        <v>162.13</v>
      </c>
      <c r="N419" s="19">
        <f t="shared" si="30"/>
        <v>-33.855548017023381</v>
      </c>
      <c r="O419" s="9" t="str">
        <f t="shared" si="31"/>
        <v>2024-08</v>
      </c>
    </row>
    <row r="420" spans="1:15" x14ac:dyDescent="0.25">
      <c r="A420" s="9" t="s">
        <v>308</v>
      </c>
      <c r="B420" s="9" t="s">
        <v>309</v>
      </c>
      <c r="C420" s="25" t="s">
        <v>202</v>
      </c>
      <c r="D420" s="19">
        <v>107.24</v>
      </c>
      <c r="E420" s="19">
        <v>109.81</v>
      </c>
      <c r="F420" s="19">
        <v>106.36</v>
      </c>
      <c r="G420" s="19">
        <v>109.54</v>
      </c>
      <c r="H420" s="19">
        <v>109.54</v>
      </c>
      <c r="I420" s="15">
        <v>5158212</v>
      </c>
      <c r="J420" s="19">
        <f t="shared" si="32"/>
        <v>2.144722118612469</v>
      </c>
      <c r="K420" s="19">
        <f t="shared" si="33"/>
        <v>105.98000000000002</v>
      </c>
      <c r="L420" s="19">
        <f t="shared" si="29"/>
        <v>111.41900000000004</v>
      </c>
      <c r="M420" s="19">
        <f>MAX(G264:G420)</f>
        <v>162.13</v>
      </c>
      <c r="N420" s="19">
        <f t="shared" si="30"/>
        <v>-32.436933325109472</v>
      </c>
      <c r="O420" s="9" t="str">
        <f t="shared" si="31"/>
        <v>2024-08</v>
      </c>
    </row>
    <row r="421" spans="1:15" x14ac:dyDescent="0.25">
      <c r="A421" s="9" t="s">
        <v>308</v>
      </c>
      <c r="B421" s="9" t="s">
        <v>309</v>
      </c>
      <c r="C421" s="25" t="s">
        <v>203</v>
      </c>
      <c r="D421" s="19">
        <v>109.54</v>
      </c>
      <c r="E421" s="19">
        <v>110.08</v>
      </c>
      <c r="F421" s="19">
        <v>108.61</v>
      </c>
      <c r="G421" s="19">
        <v>108.97</v>
      </c>
      <c r="H421" s="19">
        <v>108.97</v>
      </c>
      <c r="I421" s="15">
        <v>2693881</v>
      </c>
      <c r="J421" s="19">
        <f t="shared" si="32"/>
        <v>-0.52035786014242047</v>
      </c>
      <c r="K421" s="19">
        <f t="shared" si="33"/>
        <v>106.09700000000001</v>
      </c>
      <c r="L421" s="19">
        <f t="shared" si="29"/>
        <v>111.23920000000004</v>
      </c>
      <c r="M421" s="19">
        <f>MAX(G264:G421)</f>
        <v>162.13</v>
      </c>
      <c r="N421" s="19">
        <f t="shared" si="30"/>
        <v>-32.788503053105536</v>
      </c>
      <c r="O421" s="9" t="str">
        <f t="shared" si="31"/>
        <v>2024-08</v>
      </c>
    </row>
    <row r="422" spans="1:15" x14ac:dyDescent="0.25">
      <c r="A422" s="9" t="s">
        <v>308</v>
      </c>
      <c r="B422" s="9" t="s">
        <v>309</v>
      </c>
      <c r="C422" s="25" t="s">
        <v>204</v>
      </c>
      <c r="D422" s="19">
        <v>108.97</v>
      </c>
      <c r="E422" s="19">
        <v>109.7</v>
      </c>
      <c r="F422" s="19">
        <v>108.47</v>
      </c>
      <c r="G422" s="19">
        <v>109.2</v>
      </c>
      <c r="H422" s="19">
        <v>109.2</v>
      </c>
      <c r="I422" s="15">
        <v>3605996</v>
      </c>
      <c r="J422" s="19">
        <f t="shared" si="32"/>
        <v>0.21106726622006419</v>
      </c>
      <c r="K422" s="19">
        <f t="shared" si="33"/>
        <v>106.20250000000001</v>
      </c>
      <c r="L422" s="19">
        <f t="shared" si="29"/>
        <v>111.06120000000003</v>
      </c>
      <c r="M422" s="19">
        <f>MAX(G264:G422)</f>
        <v>162.13</v>
      </c>
      <c r="N422" s="19">
        <f t="shared" si="30"/>
        <v>-32.646641583914139</v>
      </c>
      <c r="O422" s="9" t="str">
        <f t="shared" si="31"/>
        <v>2024-08</v>
      </c>
    </row>
    <row r="423" spans="1:15" x14ac:dyDescent="0.25">
      <c r="A423" s="9" t="s">
        <v>308</v>
      </c>
      <c r="B423" s="9" t="s">
        <v>309</v>
      </c>
      <c r="C423" s="25" t="s">
        <v>205</v>
      </c>
      <c r="D423" s="19">
        <v>109.2</v>
      </c>
      <c r="E423" s="19">
        <v>109.77</v>
      </c>
      <c r="F423" s="19">
        <v>108.31</v>
      </c>
      <c r="G423" s="19">
        <v>109.57</v>
      </c>
      <c r="H423" s="19">
        <v>109.57</v>
      </c>
      <c r="I423" s="15">
        <v>3360038</v>
      </c>
      <c r="J423" s="19">
        <f t="shared" si="32"/>
        <v>0.33882783882782996</v>
      </c>
      <c r="K423" s="19">
        <f t="shared" si="33"/>
        <v>106.42900000000002</v>
      </c>
      <c r="L423" s="19">
        <f t="shared" si="29"/>
        <v>110.90240000000001</v>
      </c>
      <c r="M423" s="19">
        <f>MAX(G264:G423)</f>
        <v>162.13</v>
      </c>
      <c r="N423" s="19">
        <f t="shared" si="30"/>
        <v>-32.41842965521495</v>
      </c>
      <c r="O423" s="9" t="str">
        <f t="shared" si="31"/>
        <v>2024-08</v>
      </c>
    </row>
    <row r="424" spans="1:15" x14ac:dyDescent="0.25">
      <c r="A424" s="9" t="s">
        <v>308</v>
      </c>
      <c r="B424" s="9" t="s">
        <v>309</v>
      </c>
      <c r="C424" s="25" t="s">
        <v>206</v>
      </c>
      <c r="D424" s="19">
        <v>109.57</v>
      </c>
      <c r="E424" s="19">
        <v>110.81</v>
      </c>
      <c r="F424" s="19">
        <v>109.12</v>
      </c>
      <c r="G424" s="19">
        <v>110.22</v>
      </c>
      <c r="H424" s="19">
        <v>110.22</v>
      </c>
      <c r="I424" s="15">
        <v>2620748</v>
      </c>
      <c r="J424" s="19">
        <f t="shared" si="32"/>
        <v>0.59322807337775463</v>
      </c>
      <c r="K424" s="19">
        <f t="shared" si="33"/>
        <v>106.7115</v>
      </c>
      <c r="L424" s="19">
        <f t="shared" si="29"/>
        <v>110.75560000000002</v>
      </c>
      <c r="M424" s="19">
        <f>MAX(G264:G424)</f>
        <v>162.13</v>
      </c>
      <c r="N424" s="19">
        <f t="shared" si="30"/>
        <v>-32.017516807500151</v>
      </c>
      <c r="O424" s="9" t="str">
        <f t="shared" si="31"/>
        <v>2024-08</v>
      </c>
    </row>
    <row r="425" spans="1:15" x14ac:dyDescent="0.25">
      <c r="A425" s="9" t="s">
        <v>308</v>
      </c>
      <c r="B425" s="9" t="s">
        <v>309</v>
      </c>
      <c r="C425" s="25" t="s">
        <v>207</v>
      </c>
      <c r="D425" s="19">
        <v>110.22</v>
      </c>
      <c r="E425" s="19">
        <v>110.31</v>
      </c>
      <c r="F425" s="19">
        <v>109.34</v>
      </c>
      <c r="G425" s="19">
        <v>109.96</v>
      </c>
      <c r="H425" s="19">
        <v>109.96</v>
      </c>
      <c r="I425" s="15">
        <v>4041404</v>
      </c>
      <c r="J425" s="19">
        <f t="shared" si="32"/>
        <v>-0.23589185265832438</v>
      </c>
      <c r="K425" s="19">
        <f t="shared" si="33"/>
        <v>106.97750000000001</v>
      </c>
      <c r="L425" s="19">
        <f t="shared" si="29"/>
        <v>110.5802</v>
      </c>
      <c r="M425" s="19">
        <f>MAX(G264:G425)</f>
        <v>162.13</v>
      </c>
      <c r="N425" s="19">
        <f t="shared" si="30"/>
        <v>-32.177881946586076</v>
      </c>
      <c r="O425" s="9" t="str">
        <f t="shared" si="31"/>
        <v>2024-08</v>
      </c>
    </row>
    <row r="426" spans="1:15" x14ac:dyDescent="0.25">
      <c r="A426" s="9" t="s">
        <v>308</v>
      </c>
      <c r="B426" s="9" t="s">
        <v>309</v>
      </c>
      <c r="C426" s="25" t="s">
        <v>208</v>
      </c>
      <c r="D426" s="19">
        <v>109.96</v>
      </c>
      <c r="E426" s="19">
        <v>110.1</v>
      </c>
      <c r="F426" s="19">
        <v>108.57</v>
      </c>
      <c r="G426" s="19">
        <v>108.98</v>
      </c>
      <c r="H426" s="19">
        <v>108.98</v>
      </c>
      <c r="I426" s="15">
        <v>3018592</v>
      </c>
      <c r="J426" s="19">
        <f t="shared" si="32"/>
        <v>-0.89123317570024541</v>
      </c>
      <c r="K426" s="19">
        <f t="shared" si="33"/>
        <v>107.19500000000001</v>
      </c>
      <c r="L426" s="19">
        <f t="shared" si="29"/>
        <v>110.38500000000002</v>
      </c>
      <c r="M426" s="19">
        <f>MAX(G264:G426)</f>
        <v>162.13</v>
      </c>
      <c r="N426" s="19">
        <f t="shared" si="30"/>
        <v>-32.782335163140687</v>
      </c>
      <c r="O426" s="9" t="str">
        <f t="shared" si="31"/>
        <v>2024-08</v>
      </c>
    </row>
    <row r="427" spans="1:15" x14ac:dyDescent="0.25">
      <c r="A427" s="9" t="s">
        <v>308</v>
      </c>
      <c r="B427" s="9" t="s">
        <v>309</v>
      </c>
      <c r="C427" s="25" t="s">
        <v>209</v>
      </c>
      <c r="D427" s="19">
        <v>108.98</v>
      </c>
      <c r="E427" s="19">
        <v>109.01</v>
      </c>
      <c r="F427" s="19">
        <v>108.01</v>
      </c>
      <c r="G427" s="19">
        <v>108.59</v>
      </c>
      <c r="H427" s="19">
        <v>108.59</v>
      </c>
      <c r="I427" s="15">
        <v>1750131</v>
      </c>
      <c r="J427" s="19">
        <f t="shared" si="32"/>
        <v>-0.35786382822536295</v>
      </c>
      <c r="K427" s="19">
        <f t="shared" si="33"/>
        <v>107.46200000000002</v>
      </c>
      <c r="L427" s="19">
        <f t="shared" si="29"/>
        <v>110.15800000000002</v>
      </c>
      <c r="M427" s="19">
        <f>MAX(G264:G427)</f>
        <v>162.13</v>
      </c>
      <c r="N427" s="19">
        <f t="shared" si="30"/>
        <v>-33.022882871769568</v>
      </c>
      <c r="O427" s="9" t="str">
        <f t="shared" si="31"/>
        <v>2024-08</v>
      </c>
    </row>
    <row r="428" spans="1:15" x14ac:dyDescent="0.25">
      <c r="A428" s="9" t="s">
        <v>308</v>
      </c>
      <c r="B428" s="9" t="s">
        <v>309</v>
      </c>
      <c r="C428" s="25" t="s">
        <v>210</v>
      </c>
      <c r="D428" s="19">
        <v>108.59</v>
      </c>
      <c r="E428" s="19">
        <v>110.26</v>
      </c>
      <c r="F428" s="19">
        <v>108.5</v>
      </c>
      <c r="G428" s="19">
        <v>109.63</v>
      </c>
      <c r="H428" s="19">
        <v>109.63</v>
      </c>
      <c r="I428" s="15">
        <v>2698490</v>
      </c>
      <c r="J428" s="19">
        <f t="shared" si="32"/>
        <v>0.95773091444883685</v>
      </c>
      <c r="K428" s="19">
        <f t="shared" si="33"/>
        <v>107.776</v>
      </c>
      <c r="L428" s="19">
        <f t="shared" si="29"/>
        <v>109.98360000000001</v>
      </c>
      <c r="M428" s="19">
        <f>MAX(G264:G428)</f>
        <v>162.13</v>
      </c>
      <c r="N428" s="19">
        <f t="shared" si="30"/>
        <v>-32.381422315425894</v>
      </c>
      <c r="O428" s="9" t="str">
        <f t="shared" si="31"/>
        <v>2024-08</v>
      </c>
    </row>
    <row r="429" spans="1:15" x14ac:dyDescent="0.25">
      <c r="A429" s="9" t="s">
        <v>308</v>
      </c>
      <c r="B429" s="9" t="s">
        <v>309</v>
      </c>
      <c r="C429" s="25" t="s">
        <v>211</v>
      </c>
      <c r="D429" s="19">
        <v>109.63</v>
      </c>
      <c r="E429" s="19">
        <v>110.35</v>
      </c>
      <c r="F429" s="19">
        <v>106.34</v>
      </c>
      <c r="G429" s="19">
        <v>107.67</v>
      </c>
      <c r="H429" s="19">
        <v>107.67</v>
      </c>
      <c r="I429" s="15">
        <v>1832991</v>
      </c>
      <c r="J429" s="19">
        <f t="shared" si="32"/>
        <v>-1.7878317978655422</v>
      </c>
      <c r="K429" s="19">
        <f t="shared" si="33"/>
        <v>107.60550000000001</v>
      </c>
      <c r="L429" s="19">
        <f t="shared" si="29"/>
        <v>109.8216</v>
      </c>
      <c r="M429" s="19">
        <f>MAX(G264:G429)</f>
        <v>162.13</v>
      </c>
      <c r="N429" s="19">
        <f t="shared" si="30"/>
        <v>-33.590328748535129</v>
      </c>
      <c r="O429" s="9" t="str">
        <f t="shared" si="31"/>
        <v>2024-08</v>
      </c>
    </row>
    <row r="430" spans="1:15" x14ac:dyDescent="0.25">
      <c r="A430" s="9" t="s">
        <v>308</v>
      </c>
      <c r="B430" s="9" t="s">
        <v>309</v>
      </c>
      <c r="C430" s="25" t="s">
        <v>212</v>
      </c>
      <c r="D430" s="19">
        <v>107.67</v>
      </c>
      <c r="E430" s="19">
        <v>107.88</v>
      </c>
      <c r="F430" s="19">
        <v>107.38</v>
      </c>
      <c r="G430" s="19">
        <v>107.87</v>
      </c>
      <c r="H430" s="19">
        <v>107.87</v>
      </c>
      <c r="I430" s="15">
        <v>3597406</v>
      </c>
      <c r="J430" s="19">
        <f t="shared" si="32"/>
        <v>0.18575276307235333</v>
      </c>
      <c r="K430" s="19">
        <f t="shared" si="33"/>
        <v>107.38600000000001</v>
      </c>
      <c r="L430" s="19">
        <f t="shared" si="29"/>
        <v>109.65899999999999</v>
      </c>
      <c r="M430" s="19">
        <f>MAX(G264:G430)</f>
        <v>162.13</v>
      </c>
      <c r="N430" s="19">
        <f t="shared" si="30"/>
        <v>-33.466970949238259</v>
      </c>
      <c r="O430" s="9" t="str">
        <f t="shared" si="31"/>
        <v>2024-08</v>
      </c>
    </row>
    <row r="431" spans="1:15" x14ac:dyDescent="0.25">
      <c r="A431" s="9" t="s">
        <v>308</v>
      </c>
      <c r="B431" s="9" t="s">
        <v>309</v>
      </c>
      <c r="C431" s="25" t="s">
        <v>213</v>
      </c>
      <c r="D431" s="19">
        <v>107.87</v>
      </c>
      <c r="E431" s="19">
        <v>108.46</v>
      </c>
      <c r="F431" s="19">
        <v>106.45</v>
      </c>
      <c r="G431" s="19">
        <v>106.88</v>
      </c>
      <c r="H431" s="19">
        <v>106.88</v>
      </c>
      <c r="I431" s="15">
        <v>5257312</v>
      </c>
      <c r="J431" s="19">
        <f t="shared" si="32"/>
        <v>-0.91777139148976461</v>
      </c>
      <c r="K431" s="19">
        <f t="shared" si="33"/>
        <v>107.244</v>
      </c>
      <c r="L431" s="19">
        <f t="shared" si="29"/>
        <v>109.47539999999999</v>
      </c>
      <c r="M431" s="19">
        <f>MAX(G264:G431)</f>
        <v>162.13</v>
      </c>
      <c r="N431" s="19">
        <f t="shared" si="30"/>
        <v>-34.077592055757727</v>
      </c>
      <c r="O431" s="9" t="str">
        <f t="shared" si="31"/>
        <v>2024-08</v>
      </c>
    </row>
    <row r="432" spans="1:15" x14ac:dyDescent="0.25">
      <c r="A432" s="9" t="s">
        <v>308</v>
      </c>
      <c r="B432" s="9" t="s">
        <v>309</v>
      </c>
      <c r="C432" s="25" t="s">
        <v>214</v>
      </c>
      <c r="D432" s="19">
        <v>106.88</v>
      </c>
      <c r="E432" s="19">
        <v>107.62</v>
      </c>
      <c r="F432" s="19">
        <v>106.51</v>
      </c>
      <c r="G432" s="19">
        <v>107.58</v>
      </c>
      <c r="H432" s="19">
        <v>107.58</v>
      </c>
      <c r="I432" s="15">
        <v>5070169</v>
      </c>
      <c r="J432" s="19">
        <f t="shared" si="32"/>
        <v>0.65494011976048172</v>
      </c>
      <c r="K432" s="19">
        <f t="shared" si="33"/>
        <v>107.1165</v>
      </c>
      <c r="L432" s="19">
        <f t="shared" si="29"/>
        <v>109.32179999999998</v>
      </c>
      <c r="M432" s="19">
        <f>MAX(G264:G432)</f>
        <v>162.13</v>
      </c>
      <c r="N432" s="19">
        <f t="shared" si="30"/>
        <v>-33.645839758218713</v>
      </c>
      <c r="O432" s="9" t="str">
        <f t="shared" si="31"/>
        <v>2024-08</v>
      </c>
    </row>
    <row r="433" spans="1:15" x14ac:dyDescent="0.25">
      <c r="A433" s="9" t="s">
        <v>308</v>
      </c>
      <c r="B433" s="9" t="s">
        <v>309</v>
      </c>
      <c r="C433" s="25" t="s">
        <v>215</v>
      </c>
      <c r="D433" s="19">
        <v>107.58</v>
      </c>
      <c r="E433" s="19">
        <v>108.24</v>
      </c>
      <c r="F433" s="19">
        <v>107.49</v>
      </c>
      <c r="G433" s="19">
        <v>108.05</v>
      </c>
      <c r="H433" s="19">
        <v>108.05</v>
      </c>
      <c r="I433" s="15">
        <v>4734063</v>
      </c>
      <c r="J433" s="19">
        <f t="shared" si="32"/>
        <v>0.43688417921546646</v>
      </c>
      <c r="K433" s="19">
        <f t="shared" si="33"/>
        <v>107.41300000000001</v>
      </c>
      <c r="L433" s="19">
        <f t="shared" si="29"/>
        <v>109.20199999999998</v>
      </c>
      <c r="M433" s="19">
        <f>MAX(G264:G433)</f>
        <v>162.13</v>
      </c>
      <c r="N433" s="19">
        <f t="shared" si="30"/>
        <v>-33.35594892987109</v>
      </c>
      <c r="O433" s="9" t="str">
        <f t="shared" si="31"/>
        <v>2024-08</v>
      </c>
    </row>
    <row r="434" spans="1:15" x14ac:dyDescent="0.25">
      <c r="A434" s="9" t="s">
        <v>308</v>
      </c>
      <c r="B434" s="9" t="s">
        <v>309</v>
      </c>
      <c r="C434" s="25" t="s">
        <v>216</v>
      </c>
      <c r="D434" s="19">
        <v>108.05</v>
      </c>
      <c r="E434" s="19">
        <v>108.34</v>
      </c>
      <c r="F434" s="19">
        <v>107.48</v>
      </c>
      <c r="G434" s="19">
        <v>107.61</v>
      </c>
      <c r="H434" s="19">
        <v>107.61</v>
      </c>
      <c r="I434" s="15">
        <v>3100534</v>
      </c>
      <c r="J434" s="19">
        <f t="shared" si="32"/>
        <v>-0.4072188801480775</v>
      </c>
      <c r="K434" s="19">
        <f t="shared" si="33"/>
        <v>107.71799999999999</v>
      </c>
      <c r="L434" s="19">
        <f t="shared" si="29"/>
        <v>109.06339999999999</v>
      </c>
      <c r="M434" s="19">
        <f>MAX(G264:G434)</f>
        <v>162.13</v>
      </c>
      <c r="N434" s="19">
        <f t="shared" si="30"/>
        <v>-33.627336088324185</v>
      </c>
      <c r="O434" s="9" t="str">
        <f t="shared" si="31"/>
        <v>2024-08</v>
      </c>
    </row>
    <row r="435" spans="1:15" x14ac:dyDescent="0.25">
      <c r="A435" s="9" t="s">
        <v>308</v>
      </c>
      <c r="B435" s="9" t="s">
        <v>309</v>
      </c>
      <c r="C435" s="25" t="s">
        <v>217</v>
      </c>
      <c r="D435" s="19">
        <v>107.61</v>
      </c>
      <c r="E435" s="19">
        <v>108.52</v>
      </c>
      <c r="F435" s="19">
        <v>107.17</v>
      </c>
      <c r="G435" s="19">
        <v>108.18</v>
      </c>
      <c r="H435" s="19">
        <v>108.18</v>
      </c>
      <c r="I435" s="15">
        <v>5026647</v>
      </c>
      <c r="J435" s="19">
        <f t="shared" si="32"/>
        <v>0.5296905492054711</v>
      </c>
      <c r="K435" s="19">
        <f t="shared" si="33"/>
        <v>108.01699999999998</v>
      </c>
      <c r="L435" s="19">
        <f t="shared" si="29"/>
        <v>108.94779999999997</v>
      </c>
      <c r="M435" s="19">
        <f>MAX(G264:G435)</f>
        <v>162.13</v>
      </c>
      <c r="N435" s="19">
        <f t="shared" si="30"/>
        <v>-33.275766360328127</v>
      </c>
      <c r="O435" s="9" t="str">
        <f t="shared" si="31"/>
        <v>2024-08</v>
      </c>
    </row>
    <row r="436" spans="1:15" x14ac:dyDescent="0.25">
      <c r="A436" s="9" t="s">
        <v>308</v>
      </c>
      <c r="B436" s="9" t="s">
        <v>309</v>
      </c>
      <c r="C436" s="25" t="s">
        <v>218</v>
      </c>
      <c r="D436" s="19">
        <v>108.18</v>
      </c>
      <c r="E436" s="19">
        <v>109.25</v>
      </c>
      <c r="F436" s="19">
        <v>107.85</v>
      </c>
      <c r="G436" s="19">
        <v>108.91</v>
      </c>
      <c r="H436" s="19">
        <v>108.91</v>
      </c>
      <c r="I436" s="15">
        <v>5686173</v>
      </c>
      <c r="J436" s="19">
        <f t="shared" si="32"/>
        <v>0.67480125716397643</v>
      </c>
      <c r="K436" s="19">
        <f t="shared" si="33"/>
        <v>108.25349999999999</v>
      </c>
      <c r="L436" s="19">
        <f t="shared" si="29"/>
        <v>108.86199999999997</v>
      </c>
      <c r="M436" s="19">
        <f>MAX(G264:G436)</f>
        <v>162.13</v>
      </c>
      <c r="N436" s="19">
        <f t="shared" si="30"/>
        <v>-32.825510392894593</v>
      </c>
      <c r="O436" s="9" t="str">
        <f t="shared" si="31"/>
        <v>2024-08</v>
      </c>
    </row>
    <row r="437" spans="1:15" x14ac:dyDescent="0.25">
      <c r="A437" s="9" t="s">
        <v>308</v>
      </c>
      <c r="B437" s="9" t="s">
        <v>309</v>
      </c>
      <c r="C437" s="25" t="s">
        <v>219</v>
      </c>
      <c r="D437" s="19">
        <v>108.91</v>
      </c>
      <c r="E437" s="19">
        <v>109.49</v>
      </c>
      <c r="F437" s="19">
        <v>108.75</v>
      </c>
      <c r="G437" s="19">
        <v>109.31</v>
      </c>
      <c r="H437" s="19">
        <v>109.31</v>
      </c>
      <c r="I437" s="15">
        <v>3880329</v>
      </c>
      <c r="J437" s="19">
        <f t="shared" si="32"/>
        <v>0.36727573225599641</v>
      </c>
      <c r="K437" s="19">
        <f t="shared" si="33"/>
        <v>108.482</v>
      </c>
      <c r="L437" s="19">
        <f t="shared" si="29"/>
        <v>108.76559999999998</v>
      </c>
      <c r="M437" s="19">
        <f>MAX(G264:G437)</f>
        <v>162.13</v>
      </c>
      <c r="N437" s="19">
        <f t="shared" si="30"/>
        <v>-32.578794794300862</v>
      </c>
      <c r="O437" s="9" t="str">
        <f t="shared" si="31"/>
        <v>2024-08</v>
      </c>
    </row>
    <row r="438" spans="1:15" x14ac:dyDescent="0.25">
      <c r="A438" s="9" t="s">
        <v>308</v>
      </c>
      <c r="B438" s="9" t="s">
        <v>309</v>
      </c>
      <c r="C438" s="25" t="s">
        <v>220</v>
      </c>
      <c r="D438" s="19">
        <v>109.31</v>
      </c>
      <c r="E438" s="19">
        <v>109.95</v>
      </c>
      <c r="F438" s="19">
        <v>109.25</v>
      </c>
      <c r="G438" s="19">
        <v>109.57</v>
      </c>
      <c r="H438" s="19">
        <v>109.57</v>
      </c>
      <c r="I438" s="15">
        <v>2772850</v>
      </c>
      <c r="J438" s="19">
        <f t="shared" si="32"/>
        <v>0.23785563992314598</v>
      </c>
      <c r="K438" s="19">
        <f t="shared" si="33"/>
        <v>108.6765</v>
      </c>
      <c r="L438" s="19">
        <f t="shared" si="29"/>
        <v>108.66819999999998</v>
      </c>
      <c r="M438" s="19">
        <f>MAX(G264:G438)</f>
        <v>162.13</v>
      </c>
      <c r="N438" s="19">
        <f t="shared" si="30"/>
        <v>-32.41842965521495</v>
      </c>
      <c r="O438" s="9" t="str">
        <f t="shared" si="31"/>
        <v>2024-08</v>
      </c>
    </row>
    <row r="439" spans="1:15" x14ac:dyDescent="0.25">
      <c r="A439" s="9" t="s">
        <v>308</v>
      </c>
      <c r="B439" s="9" t="s">
        <v>309</v>
      </c>
      <c r="C439" s="25" t="s">
        <v>221</v>
      </c>
      <c r="D439" s="19">
        <v>109.57</v>
      </c>
      <c r="E439" s="19">
        <v>111.35</v>
      </c>
      <c r="F439" s="19">
        <v>109.34</v>
      </c>
      <c r="G439" s="19">
        <v>111.3</v>
      </c>
      <c r="H439" s="19">
        <v>111.3</v>
      </c>
      <c r="I439" s="15">
        <v>2683516</v>
      </c>
      <c r="J439" s="19">
        <f t="shared" si="32"/>
        <v>1.5788993337592445</v>
      </c>
      <c r="K439" s="19">
        <f t="shared" si="33"/>
        <v>108.87950000000004</v>
      </c>
      <c r="L439" s="19">
        <f t="shared" si="29"/>
        <v>108.62859999999996</v>
      </c>
      <c r="M439" s="19">
        <f>MAX(G264:G439)</f>
        <v>162.13</v>
      </c>
      <c r="N439" s="19">
        <f t="shared" si="30"/>
        <v>-31.351384691297106</v>
      </c>
      <c r="O439" s="9" t="str">
        <f t="shared" si="31"/>
        <v>2024-09</v>
      </c>
    </row>
    <row r="440" spans="1:15" x14ac:dyDescent="0.25">
      <c r="A440" s="9" t="s">
        <v>308</v>
      </c>
      <c r="B440" s="9" t="s">
        <v>309</v>
      </c>
      <c r="C440" s="25" t="s">
        <v>222</v>
      </c>
      <c r="D440" s="19">
        <v>111.3</v>
      </c>
      <c r="E440" s="19">
        <v>112.55</v>
      </c>
      <c r="F440" s="19">
        <v>110.59</v>
      </c>
      <c r="G440" s="19">
        <v>111</v>
      </c>
      <c r="H440" s="19">
        <v>111</v>
      </c>
      <c r="I440" s="15">
        <v>4752318</v>
      </c>
      <c r="J440" s="19">
        <f t="shared" si="32"/>
        <v>-0.26954177897573872</v>
      </c>
      <c r="K440" s="19">
        <f t="shared" si="33"/>
        <v>108.95249999999999</v>
      </c>
      <c r="L440" s="19">
        <f t="shared" si="29"/>
        <v>108.60019999999997</v>
      </c>
      <c r="M440" s="19">
        <f>MAX(G264:G440)</f>
        <v>162.13</v>
      </c>
      <c r="N440" s="19">
        <f t="shared" si="30"/>
        <v>-31.536421390242396</v>
      </c>
      <c r="O440" s="9" t="str">
        <f t="shared" si="31"/>
        <v>2024-09</v>
      </c>
    </row>
    <row r="441" spans="1:15" x14ac:dyDescent="0.25">
      <c r="A441" s="9" t="s">
        <v>308</v>
      </c>
      <c r="B441" s="9" t="s">
        <v>309</v>
      </c>
      <c r="C441" s="25" t="s">
        <v>223</v>
      </c>
      <c r="D441" s="19">
        <v>111</v>
      </c>
      <c r="E441" s="19">
        <v>113.06</v>
      </c>
      <c r="F441" s="19">
        <v>110.68</v>
      </c>
      <c r="G441" s="19">
        <v>112.15</v>
      </c>
      <c r="H441" s="19">
        <v>112.15</v>
      </c>
      <c r="I441" s="15">
        <v>6466865</v>
      </c>
      <c r="J441" s="19">
        <f t="shared" si="32"/>
        <v>1.0360360360360412</v>
      </c>
      <c r="K441" s="19">
        <f t="shared" si="33"/>
        <v>109.11150000000001</v>
      </c>
      <c r="L441" s="19">
        <f t="shared" ref="L441:L504" si="34">AVERAGE(G392:G441)</f>
        <v>108.59999999999997</v>
      </c>
      <c r="M441" s="19">
        <f>MAX(G264:G441)</f>
        <v>162.13</v>
      </c>
      <c r="N441" s="19">
        <f t="shared" si="30"/>
        <v>-30.827114044285441</v>
      </c>
      <c r="O441" s="9" t="str">
        <f t="shared" si="31"/>
        <v>2024-09</v>
      </c>
    </row>
    <row r="442" spans="1:15" x14ac:dyDescent="0.25">
      <c r="A442" s="9" t="s">
        <v>308</v>
      </c>
      <c r="B442" s="9" t="s">
        <v>309</v>
      </c>
      <c r="C442" s="25" t="s">
        <v>224</v>
      </c>
      <c r="D442" s="19">
        <v>112.15</v>
      </c>
      <c r="E442" s="19">
        <v>112.81</v>
      </c>
      <c r="F442" s="19">
        <v>111.37</v>
      </c>
      <c r="G442" s="19">
        <v>111.51</v>
      </c>
      <c r="H442" s="19">
        <v>111.51</v>
      </c>
      <c r="I442" s="15">
        <v>4680454</v>
      </c>
      <c r="J442" s="19">
        <f t="shared" si="32"/>
        <v>-0.57066428889879672</v>
      </c>
      <c r="K442" s="19">
        <f t="shared" si="33"/>
        <v>109.227</v>
      </c>
      <c r="L442" s="19">
        <f t="shared" si="34"/>
        <v>108.55739999999997</v>
      </c>
      <c r="M442" s="19">
        <f>MAX(G264:G442)</f>
        <v>162.13</v>
      </c>
      <c r="N442" s="19">
        <f t="shared" si="30"/>
        <v>-31.221859002035394</v>
      </c>
      <c r="O442" s="9" t="str">
        <f t="shared" si="31"/>
        <v>2024-09</v>
      </c>
    </row>
    <row r="443" spans="1:15" x14ac:dyDescent="0.25">
      <c r="A443" s="9" t="s">
        <v>308</v>
      </c>
      <c r="B443" s="9" t="s">
        <v>309</v>
      </c>
      <c r="C443" s="25" t="s">
        <v>225</v>
      </c>
      <c r="D443" s="19">
        <v>111.51</v>
      </c>
      <c r="E443" s="19">
        <v>113.79</v>
      </c>
      <c r="F443" s="19">
        <v>111.4</v>
      </c>
      <c r="G443" s="19">
        <v>113.44</v>
      </c>
      <c r="H443" s="19">
        <v>113.44</v>
      </c>
      <c r="I443" s="15">
        <v>2035302</v>
      </c>
      <c r="J443" s="19">
        <f t="shared" si="32"/>
        <v>1.7307864765491818</v>
      </c>
      <c r="K443" s="19">
        <f t="shared" si="33"/>
        <v>109.42050000000002</v>
      </c>
      <c r="L443" s="19">
        <f t="shared" si="34"/>
        <v>108.56739999999998</v>
      </c>
      <c r="M443" s="19">
        <f>MAX(G264:G443)</f>
        <v>162.13</v>
      </c>
      <c r="N443" s="19">
        <f t="shared" si="30"/>
        <v>-30.031456238820699</v>
      </c>
      <c r="O443" s="9" t="str">
        <f t="shared" si="31"/>
        <v>2024-09</v>
      </c>
    </row>
    <row r="444" spans="1:15" x14ac:dyDescent="0.25">
      <c r="A444" s="9" t="s">
        <v>308</v>
      </c>
      <c r="B444" s="9" t="s">
        <v>309</v>
      </c>
      <c r="C444" s="25" t="s">
        <v>226</v>
      </c>
      <c r="D444" s="19">
        <v>113.44</v>
      </c>
      <c r="E444" s="19">
        <v>115.25</v>
      </c>
      <c r="F444" s="19">
        <v>112.83</v>
      </c>
      <c r="G444" s="19">
        <v>114.72</v>
      </c>
      <c r="H444" s="19">
        <v>114.72</v>
      </c>
      <c r="I444" s="15">
        <v>4469301</v>
      </c>
      <c r="J444" s="19">
        <f t="shared" si="32"/>
        <v>1.1283497884344156</v>
      </c>
      <c r="K444" s="19">
        <f t="shared" si="33"/>
        <v>109.6455</v>
      </c>
      <c r="L444" s="19">
        <f t="shared" si="34"/>
        <v>108.63259999999998</v>
      </c>
      <c r="M444" s="19">
        <f>MAX(G264:G444)</f>
        <v>162.13</v>
      </c>
      <c r="N444" s="19">
        <f t="shared" si="30"/>
        <v>-29.241966323320788</v>
      </c>
      <c r="O444" s="9" t="str">
        <f t="shared" si="31"/>
        <v>2024-09</v>
      </c>
    </row>
    <row r="445" spans="1:15" x14ac:dyDescent="0.25">
      <c r="A445" s="9" t="s">
        <v>308</v>
      </c>
      <c r="B445" s="9" t="s">
        <v>309</v>
      </c>
      <c r="C445" s="25" t="s">
        <v>227</v>
      </c>
      <c r="D445" s="19">
        <v>114.72</v>
      </c>
      <c r="E445" s="19">
        <v>116.46</v>
      </c>
      <c r="F445" s="19">
        <v>114.69</v>
      </c>
      <c r="G445" s="19">
        <v>116.4</v>
      </c>
      <c r="H445" s="19">
        <v>116.4</v>
      </c>
      <c r="I445" s="15">
        <v>4855004</v>
      </c>
      <c r="J445" s="19">
        <f t="shared" si="32"/>
        <v>1.4644351464435206</v>
      </c>
      <c r="K445" s="19">
        <f t="shared" si="33"/>
        <v>109.9675</v>
      </c>
      <c r="L445" s="19">
        <f t="shared" si="34"/>
        <v>108.69539999999998</v>
      </c>
      <c r="M445" s="19">
        <f>MAX(G264:G445)</f>
        <v>162.13</v>
      </c>
      <c r="N445" s="19">
        <f t="shared" si="30"/>
        <v>-28.205760809227158</v>
      </c>
      <c r="O445" s="9" t="str">
        <f t="shared" si="31"/>
        <v>2024-09</v>
      </c>
    </row>
    <row r="446" spans="1:15" x14ac:dyDescent="0.25">
      <c r="A446" s="9" t="s">
        <v>308</v>
      </c>
      <c r="B446" s="9" t="s">
        <v>309</v>
      </c>
      <c r="C446" s="25" t="s">
        <v>228</v>
      </c>
      <c r="D446" s="19">
        <v>116.4</v>
      </c>
      <c r="E446" s="19">
        <v>116.44</v>
      </c>
      <c r="F446" s="19">
        <v>115.43</v>
      </c>
      <c r="G446" s="19">
        <v>115.95</v>
      </c>
      <c r="H446" s="19">
        <v>115.95</v>
      </c>
      <c r="I446" s="15">
        <v>6223116</v>
      </c>
      <c r="J446" s="19">
        <f t="shared" si="32"/>
        <v>-0.38659793814433235</v>
      </c>
      <c r="K446" s="19">
        <f t="shared" si="33"/>
        <v>110.31599999999999</v>
      </c>
      <c r="L446" s="19">
        <f t="shared" si="34"/>
        <v>108.72339999999997</v>
      </c>
      <c r="M446" s="19">
        <f>MAX(G264:G446)</f>
        <v>162.13</v>
      </c>
      <c r="N446" s="19">
        <f t="shared" si="30"/>
        <v>-28.483315857645096</v>
      </c>
      <c r="O446" s="9" t="str">
        <f t="shared" si="31"/>
        <v>2024-09</v>
      </c>
    </row>
    <row r="447" spans="1:15" x14ac:dyDescent="0.25">
      <c r="A447" s="9" t="s">
        <v>308</v>
      </c>
      <c r="B447" s="9" t="s">
        <v>309</v>
      </c>
      <c r="C447" s="25" t="s">
        <v>229</v>
      </c>
      <c r="D447" s="19">
        <v>115.95</v>
      </c>
      <c r="E447" s="19">
        <v>115.95</v>
      </c>
      <c r="F447" s="19">
        <v>114.84</v>
      </c>
      <c r="G447" s="19">
        <v>115.12</v>
      </c>
      <c r="H447" s="19">
        <v>115.12</v>
      </c>
      <c r="I447" s="15">
        <v>4652659</v>
      </c>
      <c r="J447" s="19">
        <f t="shared" si="32"/>
        <v>-0.71582578697714383</v>
      </c>
      <c r="K447" s="19">
        <f t="shared" si="33"/>
        <v>110.6425</v>
      </c>
      <c r="L447" s="19">
        <f t="shared" si="34"/>
        <v>108.75159999999998</v>
      </c>
      <c r="M447" s="19">
        <f>MAX(G264:G447)</f>
        <v>162.13</v>
      </c>
      <c r="N447" s="19">
        <f t="shared" si="30"/>
        <v>-28.995250724727068</v>
      </c>
      <c r="O447" s="9" t="str">
        <f t="shared" si="31"/>
        <v>2024-09</v>
      </c>
    </row>
    <row r="448" spans="1:15" x14ac:dyDescent="0.25">
      <c r="A448" s="9" t="s">
        <v>308</v>
      </c>
      <c r="B448" s="9" t="s">
        <v>309</v>
      </c>
      <c r="C448" s="25" t="s">
        <v>230</v>
      </c>
      <c r="D448" s="19">
        <v>115.12</v>
      </c>
      <c r="E448" s="19">
        <v>116.65</v>
      </c>
      <c r="F448" s="19">
        <v>114.63</v>
      </c>
      <c r="G448" s="19">
        <v>116.43</v>
      </c>
      <c r="H448" s="19">
        <v>116.43</v>
      </c>
      <c r="I448" s="15">
        <v>2437824</v>
      </c>
      <c r="J448" s="19">
        <f t="shared" si="32"/>
        <v>1.1379430159833237</v>
      </c>
      <c r="K448" s="19">
        <f t="shared" si="33"/>
        <v>110.9825</v>
      </c>
      <c r="L448" s="19">
        <f t="shared" si="34"/>
        <v>108.82979999999998</v>
      </c>
      <c r="M448" s="19">
        <f>MAX(G264:G448)</f>
        <v>162.13</v>
      </c>
      <c r="N448" s="19">
        <f t="shared" si="30"/>
        <v>-28.187257139332626</v>
      </c>
      <c r="O448" s="9" t="str">
        <f t="shared" si="31"/>
        <v>2024-09</v>
      </c>
    </row>
    <row r="449" spans="1:15" x14ac:dyDescent="0.25">
      <c r="A449" s="9" t="s">
        <v>308</v>
      </c>
      <c r="B449" s="9" t="s">
        <v>309</v>
      </c>
      <c r="C449" s="25" t="s">
        <v>231</v>
      </c>
      <c r="D449" s="19">
        <v>116.43</v>
      </c>
      <c r="E449" s="19">
        <v>116.92</v>
      </c>
      <c r="F449" s="19">
        <v>115.25</v>
      </c>
      <c r="G449" s="19">
        <v>115.69</v>
      </c>
      <c r="H449" s="19">
        <v>115.69</v>
      </c>
      <c r="I449" s="15">
        <v>4166750</v>
      </c>
      <c r="J449" s="19">
        <f t="shared" si="32"/>
        <v>-0.63557502361934992</v>
      </c>
      <c r="K449" s="19">
        <f t="shared" si="33"/>
        <v>111.3835</v>
      </c>
      <c r="L449" s="19">
        <f t="shared" si="34"/>
        <v>108.89019999999999</v>
      </c>
      <c r="M449" s="19">
        <f>MAX(G264:G449)</f>
        <v>162.13</v>
      </c>
      <c r="N449" s="19">
        <f t="shared" si="30"/>
        <v>-28.643680996731018</v>
      </c>
      <c r="O449" s="9" t="str">
        <f t="shared" si="31"/>
        <v>2024-09</v>
      </c>
    </row>
    <row r="450" spans="1:15" x14ac:dyDescent="0.25">
      <c r="A450" s="9" t="s">
        <v>308</v>
      </c>
      <c r="B450" s="9" t="s">
        <v>309</v>
      </c>
      <c r="C450" s="25" t="s">
        <v>232</v>
      </c>
      <c r="D450" s="19">
        <v>115.69</v>
      </c>
      <c r="E450" s="19">
        <v>115.93</v>
      </c>
      <c r="F450" s="19">
        <v>114.66</v>
      </c>
      <c r="G450" s="19">
        <v>115.49</v>
      </c>
      <c r="H450" s="19">
        <v>115.49</v>
      </c>
      <c r="I450" s="15">
        <v>3966641</v>
      </c>
      <c r="J450" s="19">
        <f t="shared" si="32"/>
        <v>-0.1728757887457886</v>
      </c>
      <c r="K450" s="19">
        <f t="shared" si="33"/>
        <v>111.7645</v>
      </c>
      <c r="L450" s="19">
        <f t="shared" si="34"/>
        <v>108.91099999999999</v>
      </c>
      <c r="M450" s="19">
        <f>MAX(G264:G450)</f>
        <v>162.13</v>
      </c>
      <c r="N450" s="19">
        <f t="shared" ref="N450:N513" si="35">(G450-M450)/M450*100</f>
        <v>-28.767038796027876</v>
      </c>
      <c r="O450" s="9" t="str">
        <f t="shared" ref="O450:O513" si="36">TEXT(C450,"yyyy-mm")</f>
        <v>2024-09</v>
      </c>
    </row>
    <row r="451" spans="1:15" x14ac:dyDescent="0.25">
      <c r="A451" s="9" t="s">
        <v>308</v>
      </c>
      <c r="B451" s="9" t="s">
        <v>309</v>
      </c>
      <c r="C451" s="25" t="s">
        <v>233</v>
      </c>
      <c r="D451" s="19">
        <v>115.49</v>
      </c>
      <c r="E451" s="19">
        <v>115.71</v>
      </c>
      <c r="F451" s="19">
        <v>112.88</v>
      </c>
      <c r="G451" s="19">
        <v>113.08</v>
      </c>
      <c r="H451" s="19">
        <v>113.08</v>
      </c>
      <c r="I451" s="15">
        <v>2023104</v>
      </c>
      <c r="J451" s="19">
        <f t="shared" si="32"/>
        <v>-2.0867607585072272</v>
      </c>
      <c r="K451" s="19">
        <f t="shared" si="33"/>
        <v>112.07450000000001</v>
      </c>
      <c r="L451" s="19">
        <f t="shared" si="34"/>
        <v>109.03999999999998</v>
      </c>
      <c r="M451" s="19">
        <f>MAX(G264:G451)</f>
        <v>162.13</v>
      </c>
      <c r="N451" s="19">
        <f t="shared" si="35"/>
        <v>-30.253500277555045</v>
      </c>
      <c r="O451" s="9" t="str">
        <f t="shared" si="36"/>
        <v>2024-09</v>
      </c>
    </row>
    <row r="452" spans="1:15" x14ac:dyDescent="0.25">
      <c r="A452" s="9" t="s">
        <v>308</v>
      </c>
      <c r="B452" s="9" t="s">
        <v>309</v>
      </c>
      <c r="C452" s="25" t="s">
        <v>234</v>
      </c>
      <c r="D452" s="19">
        <v>113.08</v>
      </c>
      <c r="E452" s="19">
        <v>115.41</v>
      </c>
      <c r="F452" s="19">
        <v>112.78</v>
      </c>
      <c r="G452" s="19">
        <v>114.65</v>
      </c>
      <c r="H452" s="19">
        <v>114.65</v>
      </c>
      <c r="I452" s="15">
        <v>4168378</v>
      </c>
      <c r="J452" s="19">
        <f t="shared" si="32"/>
        <v>1.388397594623282</v>
      </c>
      <c r="K452" s="19">
        <f t="shared" si="33"/>
        <v>112.42800000000003</v>
      </c>
      <c r="L452" s="19">
        <f t="shared" si="34"/>
        <v>109.19119999999999</v>
      </c>
      <c r="M452" s="19">
        <f>MAX(G264:G452)</f>
        <v>162.13</v>
      </c>
      <c r="N452" s="19">
        <f t="shared" si="35"/>
        <v>-29.285141553074688</v>
      </c>
      <c r="O452" s="9" t="str">
        <f t="shared" si="36"/>
        <v>2024-09</v>
      </c>
    </row>
    <row r="453" spans="1:15" x14ac:dyDescent="0.25">
      <c r="A453" s="9" t="s">
        <v>308</v>
      </c>
      <c r="B453" s="9" t="s">
        <v>309</v>
      </c>
      <c r="C453" s="25" t="s">
        <v>235</v>
      </c>
      <c r="D453" s="19">
        <v>114.65</v>
      </c>
      <c r="E453" s="19">
        <v>114.85</v>
      </c>
      <c r="F453" s="19">
        <v>113.94</v>
      </c>
      <c r="G453" s="19">
        <v>114.15</v>
      </c>
      <c r="H453" s="19">
        <v>114.15</v>
      </c>
      <c r="I453" s="15">
        <v>6382765</v>
      </c>
      <c r="J453" s="19">
        <f t="shared" si="32"/>
        <v>-0.43610989969472302</v>
      </c>
      <c r="K453" s="19">
        <f t="shared" si="33"/>
        <v>112.73300000000002</v>
      </c>
      <c r="L453" s="19">
        <f t="shared" si="34"/>
        <v>109.37339999999999</v>
      </c>
      <c r="M453" s="19">
        <f>MAX(G264:G453)</f>
        <v>162.13</v>
      </c>
      <c r="N453" s="19">
        <f t="shared" si="35"/>
        <v>-29.593536051316839</v>
      </c>
      <c r="O453" s="9" t="str">
        <f t="shared" si="36"/>
        <v>2024-09</v>
      </c>
    </row>
    <row r="454" spans="1:15" x14ac:dyDescent="0.25">
      <c r="A454" s="9" t="s">
        <v>308</v>
      </c>
      <c r="B454" s="9" t="s">
        <v>309</v>
      </c>
      <c r="C454" s="25" t="s">
        <v>236</v>
      </c>
      <c r="D454" s="19">
        <v>114.15</v>
      </c>
      <c r="E454" s="19">
        <v>114.73</v>
      </c>
      <c r="F454" s="19">
        <v>114.01</v>
      </c>
      <c r="G454" s="19">
        <v>114.04</v>
      </c>
      <c r="H454" s="19">
        <v>114.04</v>
      </c>
      <c r="I454" s="15">
        <v>5467100</v>
      </c>
      <c r="J454" s="19">
        <f t="shared" si="32"/>
        <v>-9.6364432763906646E-2</v>
      </c>
      <c r="K454" s="19">
        <f t="shared" si="33"/>
        <v>113.0545</v>
      </c>
      <c r="L454" s="19">
        <f t="shared" si="34"/>
        <v>109.56279999999997</v>
      </c>
      <c r="M454" s="19">
        <f>MAX(G264:G454)</f>
        <v>162.13</v>
      </c>
      <c r="N454" s="19">
        <f t="shared" si="35"/>
        <v>-29.661382840930113</v>
      </c>
      <c r="O454" s="9" t="str">
        <f t="shared" si="36"/>
        <v>2024-09</v>
      </c>
    </row>
    <row r="455" spans="1:15" x14ac:dyDescent="0.25">
      <c r="A455" s="9" t="s">
        <v>308</v>
      </c>
      <c r="B455" s="9" t="s">
        <v>309</v>
      </c>
      <c r="C455" s="25" t="s">
        <v>237</v>
      </c>
      <c r="D455" s="19">
        <v>114.04</v>
      </c>
      <c r="E455" s="19">
        <v>114.89</v>
      </c>
      <c r="F455" s="19">
        <v>114.03</v>
      </c>
      <c r="G455" s="19">
        <v>114.67</v>
      </c>
      <c r="H455" s="19">
        <v>114.67</v>
      </c>
      <c r="I455" s="15">
        <v>2549673</v>
      </c>
      <c r="J455" s="19">
        <f t="shared" si="32"/>
        <v>0.55243774114345445</v>
      </c>
      <c r="K455" s="19">
        <f t="shared" si="33"/>
        <v>113.37900000000002</v>
      </c>
      <c r="L455" s="19">
        <f t="shared" si="34"/>
        <v>109.76339999999999</v>
      </c>
      <c r="M455" s="19">
        <f>MAX(G264:G455)</f>
        <v>162.13</v>
      </c>
      <c r="N455" s="19">
        <f t="shared" si="35"/>
        <v>-29.272805773145006</v>
      </c>
      <c r="O455" s="9" t="str">
        <f t="shared" si="36"/>
        <v>2024-09</v>
      </c>
    </row>
    <row r="456" spans="1:15" x14ac:dyDescent="0.25">
      <c r="A456" s="9" t="s">
        <v>308</v>
      </c>
      <c r="B456" s="9" t="s">
        <v>309</v>
      </c>
      <c r="C456" s="25" t="s">
        <v>238</v>
      </c>
      <c r="D456" s="19">
        <v>114.67</v>
      </c>
      <c r="E456" s="19">
        <v>115.93</v>
      </c>
      <c r="F456" s="19">
        <v>114.65</v>
      </c>
      <c r="G456" s="19">
        <v>115.83</v>
      </c>
      <c r="H456" s="19">
        <v>115.83</v>
      </c>
      <c r="I456" s="15">
        <v>5284146</v>
      </c>
      <c r="J456" s="19">
        <f t="shared" si="32"/>
        <v>1.0115985000436005</v>
      </c>
      <c r="K456" s="19">
        <f t="shared" si="33"/>
        <v>113.72499999999999</v>
      </c>
      <c r="L456" s="19">
        <f t="shared" si="34"/>
        <v>109.98739999999998</v>
      </c>
      <c r="M456" s="19">
        <f>MAX(G264:G456)</f>
        <v>162.13</v>
      </c>
      <c r="N456" s="19">
        <f t="shared" si="35"/>
        <v>-28.557330537223212</v>
      </c>
      <c r="O456" s="9" t="str">
        <f t="shared" si="36"/>
        <v>2024-09</v>
      </c>
    </row>
    <row r="457" spans="1:15" x14ac:dyDescent="0.25">
      <c r="A457" s="9" t="s">
        <v>308</v>
      </c>
      <c r="B457" s="9" t="s">
        <v>309</v>
      </c>
      <c r="C457" s="25" t="s">
        <v>239</v>
      </c>
      <c r="D457" s="19">
        <v>115.83</v>
      </c>
      <c r="E457" s="19">
        <v>115.98</v>
      </c>
      <c r="F457" s="19">
        <v>114.44</v>
      </c>
      <c r="G457" s="19">
        <v>114.52</v>
      </c>
      <c r="H457" s="19">
        <v>114.52</v>
      </c>
      <c r="I457" s="15">
        <v>4789260</v>
      </c>
      <c r="J457" s="19">
        <f t="shared" ref="J457:J525" si="37">IFERROR((G457-G456)/G456*100,"")</f>
        <v>-1.1309677976344661</v>
      </c>
      <c r="K457" s="19">
        <f t="shared" si="33"/>
        <v>113.9855</v>
      </c>
      <c r="L457" s="19">
        <f t="shared" si="34"/>
        <v>110.21279999999999</v>
      </c>
      <c r="M457" s="19">
        <f>MAX(G264:G457)</f>
        <v>162.13</v>
      </c>
      <c r="N457" s="19">
        <f t="shared" si="35"/>
        <v>-29.365324122617654</v>
      </c>
      <c r="O457" s="9" t="str">
        <f t="shared" si="36"/>
        <v>2024-09</v>
      </c>
    </row>
    <row r="458" spans="1:15" x14ac:dyDescent="0.25">
      <c r="A458" s="9" t="s">
        <v>308</v>
      </c>
      <c r="B458" s="9" t="s">
        <v>309</v>
      </c>
      <c r="C458" s="25" t="s">
        <v>240</v>
      </c>
      <c r="D458" s="19">
        <v>114.52</v>
      </c>
      <c r="E458" s="19">
        <v>115.65</v>
      </c>
      <c r="F458" s="19">
        <v>113.76</v>
      </c>
      <c r="G458" s="19">
        <v>114.93</v>
      </c>
      <c r="H458" s="19">
        <v>114.93</v>
      </c>
      <c r="I458" s="15">
        <v>5059878</v>
      </c>
      <c r="J458" s="19">
        <f t="shared" si="37"/>
        <v>0.35801606706253131</v>
      </c>
      <c r="K458" s="19">
        <f t="shared" si="33"/>
        <v>114.2535</v>
      </c>
      <c r="L458" s="19">
        <f t="shared" si="34"/>
        <v>110.4444</v>
      </c>
      <c r="M458" s="19">
        <f>MAX(G264:G458)</f>
        <v>162.13</v>
      </c>
      <c r="N458" s="19">
        <f t="shared" si="35"/>
        <v>-29.112440634059084</v>
      </c>
      <c r="O458" s="9" t="str">
        <f t="shared" si="36"/>
        <v>2024-09</v>
      </c>
    </row>
    <row r="459" spans="1:15" x14ac:dyDescent="0.25">
      <c r="A459" s="9" t="s">
        <v>308</v>
      </c>
      <c r="B459" s="9" t="s">
        <v>309</v>
      </c>
      <c r="C459" s="25" t="s">
        <v>241</v>
      </c>
      <c r="D459" s="19">
        <v>114.93</v>
      </c>
      <c r="E459" s="19">
        <v>115.07</v>
      </c>
      <c r="F459" s="19">
        <v>112.87</v>
      </c>
      <c r="G459" s="19">
        <v>113.11</v>
      </c>
      <c r="H459" s="19">
        <v>113.11</v>
      </c>
      <c r="I459" s="15">
        <v>6642604</v>
      </c>
      <c r="J459" s="19">
        <f t="shared" si="37"/>
        <v>-1.5835726094144325</v>
      </c>
      <c r="K459" s="19">
        <f t="shared" si="33"/>
        <v>114.34400000000001</v>
      </c>
      <c r="L459" s="19">
        <f t="shared" si="34"/>
        <v>110.485</v>
      </c>
      <c r="M459" s="19">
        <f>MAX(G264:G459)</f>
        <v>162.13</v>
      </c>
      <c r="N459" s="19">
        <f t="shared" si="35"/>
        <v>-30.23499660766052</v>
      </c>
      <c r="O459" s="9" t="str">
        <f t="shared" si="36"/>
        <v>2024-09</v>
      </c>
    </row>
    <row r="460" spans="1:15" x14ac:dyDescent="0.25">
      <c r="A460" s="9" t="s">
        <v>308</v>
      </c>
      <c r="B460" s="9" t="s">
        <v>309</v>
      </c>
      <c r="C460" s="25" t="s">
        <v>242</v>
      </c>
      <c r="D460" s="19">
        <v>113.11</v>
      </c>
      <c r="E460" s="19">
        <v>113.47</v>
      </c>
      <c r="F460" s="19">
        <v>111.35</v>
      </c>
      <c r="G460" s="19">
        <v>111.39</v>
      </c>
      <c r="H460" s="19">
        <v>111.39</v>
      </c>
      <c r="I460" s="15">
        <v>337633</v>
      </c>
      <c r="J460" s="19">
        <f t="shared" si="37"/>
        <v>-1.5206436212536458</v>
      </c>
      <c r="K460" s="19">
        <f t="shared" si="33"/>
        <v>114.3635</v>
      </c>
      <c r="L460" s="19">
        <f t="shared" si="34"/>
        <v>110.4676</v>
      </c>
      <c r="M460" s="19">
        <f>MAX(G264:G460)</f>
        <v>162.13</v>
      </c>
      <c r="N460" s="19">
        <f t="shared" si="35"/>
        <v>-31.295873681613518</v>
      </c>
      <c r="O460" s="9" t="str">
        <f t="shared" si="36"/>
        <v>2024-10</v>
      </c>
    </row>
    <row r="461" spans="1:15" x14ac:dyDescent="0.25">
      <c r="A461" s="9" t="s">
        <v>308</v>
      </c>
      <c r="B461" s="9" t="s">
        <v>309</v>
      </c>
      <c r="C461" s="25" t="s">
        <v>243</v>
      </c>
      <c r="D461" s="19">
        <v>111.39</v>
      </c>
      <c r="E461" s="19">
        <v>111.88</v>
      </c>
      <c r="F461" s="19">
        <v>108.01</v>
      </c>
      <c r="G461" s="19">
        <v>108.35</v>
      </c>
      <c r="H461" s="19">
        <v>108.35</v>
      </c>
      <c r="I461" s="15">
        <v>4865902</v>
      </c>
      <c r="J461" s="19">
        <f t="shared" si="37"/>
        <v>-2.7291498339168743</v>
      </c>
      <c r="K461" s="19">
        <f t="shared" si="33"/>
        <v>114.17349999999999</v>
      </c>
      <c r="L461" s="19">
        <f t="shared" si="34"/>
        <v>110.4402</v>
      </c>
      <c r="M461" s="19">
        <f>MAX(G264:G461)</f>
        <v>162.13</v>
      </c>
      <c r="N461" s="19">
        <f t="shared" si="35"/>
        <v>-33.170912230925801</v>
      </c>
      <c r="O461" s="9" t="str">
        <f t="shared" si="36"/>
        <v>2024-10</v>
      </c>
    </row>
    <row r="462" spans="1:15" x14ac:dyDescent="0.25">
      <c r="A462" s="9" t="s">
        <v>308</v>
      </c>
      <c r="B462" s="9" t="s">
        <v>309</v>
      </c>
      <c r="C462" s="25" t="s">
        <v>244</v>
      </c>
      <c r="D462" s="19">
        <v>108.35</v>
      </c>
      <c r="E462" s="19">
        <v>109.23</v>
      </c>
      <c r="F462" s="19">
        <v>108.25</v>
      </c>
      <c r="G462" s="19">
        <v>108.78</v>
      </c>
      <c r="H462" s="19">
        <v>108.78</v>
      </c>
      <c r="I462" s="15">
        <v>2793209</v>
      </c>
      <c r="J462" s="19">
        <f t="shared" si="37"/>
        <v>0.39686202122750974</v>
      </c>
      <c r="K462" s="19">
        <f t="shared" si="33"/>
        <v>114.03700000000001</v>
      </c>
      <c r="L462" s="19">
        <f t="shared" si="34"/>
        <v>110.4132</v>
      </c>
      <c r="M462" s="19">
        <f>MAX(G264:G462)</f>
        <v>162.13</v>
      </c>
      <c r="N462" s="19">
        <f t="shared" si="35"/>
        <v>-32.905692962437548</v>
      </c>
      <c r="O462" s="9" t="str">
        <f t="shared" si="36"/>
        <v>2024-10</v>
      </c>
    </row>
    <row r="463" spans="1:15" x14ac:dyDescent="0.25">
      <c r="A463" s="9" t="s">
        <v>308</v>
      </c>
      <c r="B463" s="9" t="s">
        <v>309</v>
      </c>
      <c r="C463" s="25" t="s">
        <v>245</v>
      </c>
      <c r="D463" s="19">
        <v>108.78</v>
      </c>
      <c r="E463" s="19">
        <v>108.8</v>
      </c>
      <c r="F463" s="19">
        <v>106.98</v>
      </c>
      <c r="G463" s="19">
        <v>107.56</v>
      </c>
      <c r="H463" s="19">
        <v>107.56</v>
      </c>
      <c r="I463" s="15">
        <v>3731368</v>
      </c>
      <c r="J463" s="19">
        <f t="shared" si="37"/>
        <v>-1.1215296929582632</v>
      </c>
      <c r="K463" s="19">
        <f t="shared" si="33"/>
        <v>113.74300000000001</v>
      </c>
      <c r="L463" s="19">
        <f t="shared" si="34"/>
        <v>110.52200000000001</v>
      </c>
      <c r="M463" s="19">
        <f>MAX(G264:G463)</f>
        <v>162.13</v>
      </c>
      <c r="N463" s="19">
        <f t="shared" si="35"/>
        <v>-33.658175538148392</v>
      </c>
      <c r="O463" s="9" t="str">
        <f t="shared" si="36"/>
        <v>2024-10</v>
      </c>
    </row>
    <row r="464" spans="1:15" x14ac:dyDescent="0.25">
      <c r="A464" s="9" t="s">
        <v>308</v>
      </c>
      <c r="B464" s="9" t="s">
        <v>309</v>
      </c>
      <c r="C464" s="25" t="s">
        <v>246</v>
      </c>
      <c r="D464" s="19">
        <v>107.56</v>
      </c>
      <c r="E464" s="19">
        <v>108.6</v>
      </c>
      <c r="F464" s="19">
        <v>106.88</v>
      </c>
      <c r="G464" s="19">
        <v>107.86</v>
      </c>
      <c r="H464" s="19">
        <v>107.86</v>
      </c>
      <c r="I464" s="15">
        <v>3148030</v>
      </c>
      <c r="J464" s="19">
        <f t="shared" si="37"/>
        <v>0.27891409445890403</v>
      </c>
      <c r="K464" s="19">
        <f t="shared" si="33"/>
        <v>113.4</v>
      </c>
      <c r="L464" s="19">
        <f t="shared" si="34"/>
        <v>110.649</v>
      </c>
      <c r="M464" s="19">
        <f>MAX(G264:G464)</f>
        <v>162.13</v>
      </c>
      <c r="N464" s="19">
        <f t="shared" si="35"/>
        <v>-33.473138839203109</v>
      </c>
      <c r="O464" s="9" t="str">
        <f t="shared" si="36"/>
        <v>2024-10</v>
      </c>
    </row>
    <row r="465" spans="1:15" x14ac:dyDescent="0.25">
      <c r="A465" s="9" t="s">
        <v>308</v>
      </c>
      <c r="B465" s="9" t="s">
        <v>309</v>
      </c>
      <c r="C465" s="25" t="s">
        <v>247</v>
      </c>
      <c r="D465" s="19">
        <v>107.86</v>
      </c>
      <c r="E465" s="19">
        <v>108.02</v>
      </c>
      <c r="F465" s="19">
        <v>107.26</v>
      </c>
      <c r="G465" s="19">
        <v>107.56</v>
      </c>
      <c r="H465" s="19">
        <v>107.56</v>
      </c>
      <c r="I465" s="15">
        <v>5526290</v>
      </c>
      <c r="J465" s="19">
        <f t="shared" si="37"/>
        <v>-0.27813832746152156</v>
      </c>
      <c r="K465" s="19">
        <f t="shared" si="33"/>
        <v>112.958</v>
      </c>
      <c r="L465" s="19">
        <f t="shared" si="34"/>
        <v>110.75620000000001</v>
      </c>
      <c r="M465" s="19">
        <f>MAX(G264:G465)</f>
        <v>162.13</v>
      </c>
      <c r="N465" s="19">
        <f t="shared" si="35"/>
        <v>-33.658175538148392</v>
      </c>
      <c r="O465" s="9" t="str">
        <f t="shared" si="36"/>
        <v>2024-10</v>
      </c>
    </row>
    <row r="466" spans="1:15" x14ac:dyDescent="0.25">
      <c r="A466" s="9" t="s">
        <v>308</v>
      </c>
      <c r="B466" s="9" t="s">
        <v>309</v>
      </c>
      <c r="C466" s="25" t="s">
        <v>248</v>
      </c>
      <c r="D466" s="19">
        <v>107.56</v>
      </c>
      <c r="E466" s="19">
        <v>108.8</v>
      </c>
      <c r="F466" s="19">
        <v>107.13</v>
      </c>
      <c r="G466" s="19">
        <v>108.48</v>
      </c>
      <c r="H466" s="19">
        <v>108.48</v>
      </c>
      <c r="I466" s="15">
        <v>3367689</v>
      </c>
      <c r="J466" s="19">
        <f t="shared" si="37"/>
        <v>0.85533655634064865</v>
      </c>
      <c r="K466" s="19">
        <f t="shared" si="33"/>
        <v>112.58449999999998</v>
      </c>
      <c r="L466" s="19">
        <f t="shared" si="34"/>
        <v>110.84220000000001</v>
      </c>
      <c r="M466" s="19">
        <f>MAX(G264:G466)</f>
        <v>162.13</v>
      </c>
      <c r="N466" s="19">
        <f t="shared" si="35"/>
        <v>-33.090729661382831</v>
      </c>
      <c r="O466" s="9" t="str">
        <f t="shared" si="36"/>
        <v>2024-10</v>
      </c>
    </row>
    <row r="467" spans="1:15" x14ac:dyDescent="0.25">
      <c r="A467" s="9" t="s">
        <v>308</v>
      </c>
      <c r="B467" s="9" t="s">
        <v>309</v>
      </c>
      <c r="C467" s="25" t="s">
        <v>249</v>
      </c>
      <c r="D467" s="19">
        <v>108.48</v>
      </c>
      <c r="E467" s="19">
        <v>109.59</v>
      </c>
      <c r="F467" s="19">
        <v>108.44</v>
      </c>
      <c r="G467" s="19">
        <v>109.29</v>
      </c>
      <c r="H467" s="19">
        <v>109.29</v>
      </c>
      <c r="I467" s="15">
        <v>4280752</v>
      </c>
      <c r="J467" s="19">
        <f t="shared" si="37"/>
        <v>0.74668141592920556</v>
      </c>
      <c r="K467" s="19">
        <f t="shared" si="33"/>
        <v>112.29299999999998</v>
      </c>
      <c r="L467" s="19">
        <f t="shared" si="34"/>
        <v>110.93320000000001</v>
      </c>
      <c r="M467" s="19">
        <f>MAX(G264:G467)</f>
        <v>162.13</v>
      </c>
      <c r="N467" s="19">
        <f t="shared" si="35"/>
        <v>-32.591130574230547</v>
      </c>
      <c r="O467" s="9" t="str">
        <f t="shared" si="36"/>
        <v>2024-10</v>
      </c>
    </row>
    <row r="468" spans="1:15" x14ac:dyDescent="0.25">
      <c r="A468" s="9" t="s">
        <v>308</v>
      </c>
      <c r="B468" s="9" t="s">
        <v>309</v>
      </c>
      <c r="C468" s="25" t="s">
        <v>250</v>
      </c>
      <c r="D468" s="19">
        <v>109.29</v>
      </c>
      <c r="E468" s="19">
        <v>110.54</v>
      </c>
      <c r="F468" s="19">
        <v>108.71</v>
      </c>
      <c r="G468" s="19">
        <v>110.06</v>
      </c>
      <c r="H468" s="19">
        <v>110.06</v>
      </c>
      <c r="I468" s="15">
        <v>5043349</v>
      </c>
      <c r="J468" s="19">
        <f t="shared" si="37"/>
        <v>0.70454753408362703</v>
      </c>
      <c r="K468" s="19">
        <f t="shared" si="33"/>
        <v>111.97449999999999</v>
      </c>
      <c r="L468" s="19">
        <f t="shared" si="34"/>
        <v>111.02080000000002</v>
      </c>
      <c r="M468" s="19">
        <f>MAX(G264:G468)</f>
        <v>162.13</v>
      </c>
      <c r="N468" s="19">
        <f t="shared" si="35"/>
        <v>-32.116203046937642</v>
      </c>
      <c r="O468" s="9" t="str">
        <f t="shared" si="36"/>
        <v>2024-10</v>
      </c>
    </row>
    <row r="469" spans="1:15" x14ac:dyDescent="0.25">
      <c r="A469" s="9" t="s">
        <v>308</v>
      </c>
      <c r="B469" s="9" t="s">
        <v>309</v>
      </c>
      <c r="C469" s="25" t="s">
        <v>251</v>
      </c>
      <c r="D469" s="19">
        <v>110.06</v>
      </c>
      <c r="E469" s="19">
        <v>111.55</v>
      </c>
      <c r="F469" s="19">
        <v>109.52</v>
      </c>
      <c r="G469" s="19">
        <v>111.52</v>
      </c>
      <c r="H469" s="19">
        <v>111.52</v>
      </c>
      <c r="I469" s="15">
        <v>5927888</v>
      </c>
      <c r="J469" s="19">
        <f t="shared" si="37"/>
        <v>1.3265491550063544</v>
      </c>
      <c r="K469" s="19">
        <f t="shared" si="33"/>
        <v>111.76599999999999</v>
      </c>
      <c r="L469" s="19">
        <f t="shared" si="34"/>
        <v>111.10640000000005</v>
      </c>
      <c r="M469" s="19">
        <f>MAX(G264:G469)</f>
        <v>162.13</v>
      </c>
      <c r="N469" s="19">
        <f t="shared" si="35"/>
        <v>-31.215691112070559</v>
      </c>
      <c r="O469" s="9" t="str">
        <f t="shared" si="36"/>
        <v>2024-10</v>
      </c>
    </row>
    <row r="470" spans="1:15" x14ac:dyDescent="0.25">
      <c r="A470" s="9" t="s">
        <v>308</v>
      </c>
      <c r="B470" s="9" t="s">
        <v>309</v>
      </c>
      <c r="C470" s="25" t="s">
        <v>252</v>
      </c>
      <c r="D470" s="19">
        <v>111.52</v>
      </c>
      <c r="E470" s="19">
        <v>114.31</v>
      </c>
      <c r="F470" s="19">
        <v>111.51</v>
      </c>
      <c r="G470" s="19">
        <v>114.05</v>
      </c>
      <c r="H470" s="19">
        <v>114.05</v>
      </c>
      <c r="I470" s="15">
        <v>4593732</v>
      </c>
      <c r="J470" s="19">
        <f t="shared" si="37"/>
        <v>2.2686513629842189</v>
      </c>
      <c r="K470" s="19">
        <f t="shared" si="33"/>
        <v>111.694</v>
      </c>
      <c r="L470" s="19">
        <f t="shared" si="34"/>
        <v>111.19660000000002</v>
      </c>
      <c r="M470" s="19">
        <f>MAX(G264:G470)</f>
        <v>162.13</v>
      </c>
      <c r="N470" s="19">
        <f t="shared" si="35"/>
        <v>-29.655214950965274</v>
      </c>
      <c r="O470" s="9" t="str">
        <f t="shared" si="36"/>
        <v>2024-10</v>
      </c>
    </row>
    <row r="471" spans="1:15" x14ac:dyDescent="0.25">
      <c r="A471" s="9" t="s">
        <v>308</v>
      </c>
      <c r="B471" s="9" t="s">
        <v>309</v>
      </c>
      <c r="C471" s="25" t="s">
        <v>253</v>
      </c>
      <c r="D471" s="19">
        <v>114.05</v>
      </c>
      <c r="E471" s="19">
        <v>115</v>
      </c>
      <c r="F471" s="19">
        <v>112.26</v>
      </c>
      <c r="G471" s="19">
        <v>112.29</v>
      </c>
      <c r="H471" s="19">
        <v>112.29</v>
      </c>
      <c r="I471" s="15">
        <v>4022291</v>
      </c>
      <c r="J471" s="19">
        <f t="shared" si="37"/>
        <v>-1.5431828145550119</v>
      </c>
      <c r="K471" s="19">
        <f t="shared" si="33"/>
        <v>111.65449999999998</v>
      </c>
      <c r="L471" s="19">
        <f t="shared" si="34"/>
        <v>111.26300000000001</v>
      </c>
      <c r="M471" s="19">
        <f>MAX(G264:G471)</f>
        <v>162.13</v>
      </c>
      <c r="N471" s="19">
        <f t="shared" si="35"/>
        <v>-30.740763584777643</v>
      </c>
      <c r="O471" s="9" t="str">
        <f t="shared" si="36"/>
        <v>2024-10</v>
      </c>
    </row>
    <row r="472" spans="1:15" x14ac:dyDescent="0.25">
      <c r="A472" s="9" t="s">
        <v>308</v>
      </c>
      <c r="B472" s="9" t="s">
        <v>309</v>
      </c>
      <c r="C472" s="25" t="s">
        <v>254</v>
      </c>
      <c r="D472" s="19">
        <v>112.29</v>
      </c>
      <c r="E472" s="19">
        <v>112.33</v>
      </c>
      <c r="F472" s="19">
        <v>111.04</v>
      </c>
      <c r="G472" s="19">
        <v>111.34</v>
      </c>
      <c r="H472" s="19">
        <v>111.34</v>
      </c>
      <c r="I472" s="15">
        <v>4976289</v>
      </c>
      <c r="J472" s="19">
        <f t="shared" si="37"/>
        <v>-0.84602368866328503</v>
      </c>
      <c r="K472" s="19">
        <f t="shared" si="33"/>
        <v>111.489</v>
      </c>
      <c r="L472" s="19">
        <f t="shared" si="34"/>
        <v>111.30580000000002</v>
      </c>
      <c r="M472" s="19">
        <f>MAX(G264:G472)</f>
        <v>162.13</v>
      </c>
      <c r="N472" s="19">
        <f t="shared" si="35"/>
        <v>-31.326713131437735</v>
      </c>
      <c r="O472" s="9" t="str">
        <f t="shared" si="36"/>
        <v>2024-10</v>
      </c>
    </row>
    <row r="473" spans="1:15" x14ac:dyDescent="0.25">
      <c r="A473" s="9" t="s">
        <v>308</v>
      </c>
      <c r="B473" s="9" t="s">
        <v>309</v>
      </c>
      <c r="C473" s="25" t="s">
        <v>255</v>
      </c>
      <c r="D473" s="19">
        <v>111.34</v>
      </c>
      <c r="E473" s="19">
        <v>111.42</v>
      </c>
      <c r="F473" s="19">
        <v>110.77</v>
      </c>
      <c r="G473" s="19">
        <v>110.79</v>
      </c>
      <c r="H473" s="19">
        <v>110.79</v>
      </c>
      <c r="I473" s="15">
        <v>5907852</v>
      </c>
      <c r="J473" s="19">
        <f t="shared" si="37"/>
        <v>-0.49398239626369417</v>
      </c>
      <c r="K473" s="19">
        <f t="shared" si="33"/>
        <v>111.32099999999998</v>
      </c>
      <c r="L473" s="19">
        <f t="shared" si="34"/>
        <v>111.33020000000002</v>
      </c>
      <c r="M473" s="19">
        <f>MAX(G264:G473)</f>
        <v>162.13</v>
      </c>
      <c r="N473" s="19">
        <f t="shared" si="35"/>
        <v>-31.665947079504097</v>
      </c>
      <c r="O473" s="9" t="str">
        <f t="shared" si="36"/>
        <v>2024-10</v>
      </c>
    </row>
    <row r="474" spans="1:15" x14ac:dyDescent="0.25">
      <c r="A474" s="9" t="s">
        <v>308</v>
      </c>
      <c r="B474" s="9" t="s">
        <v>309</v>
      </c>
      <c r="C474" s="25" t="s">
        <v>256</v>
      </c>
      <c r="D474" s="19">
        <v>110.79</v>
      </c>
      <c r="E474" s="19">
        <v>111.21</v>
      </c>
      <c r="F474" s="19">
        <v>109.95</v>
      </c>
      <c r="G474" s="19">
        <v>110.53</v>
      </c>
      <c r="H474" s="19">
        <v>110.53</v>
      </c>
      <c r="I474" s="15">
        <v>2875596</v>
      </c>
      <c r="J474" s="19">
        <f t="shared" si="37"/>
        <v>-0.23467822005596634</v>
      </c>
      <c r="K474" s="19">
        <f t="shared" si="33"/>
        <v>111.1455</v>
      </c>
      <c r="L474" s="19">
        <f t="shared" si="34"/>
        <v>111.3364</v>
      </c>
      <c r="M474" s="19">
        <f>MAX(G264:G474)</f>
        <v>162.13</v>
      </c>
      <c r="N474" s="19">
        <f t="shared" si="35"/>
        <v>-31.826312218590019</v>
      </c>
      <c r="O474" s="9" t="str">
        <f t="shared" si="36"/>
        <v>2024-10</v>
      </c>
    </row>
    <row r="475" spans="1:15" x14ac:dyDescent="0.25">
      <c r="A475" s="9" t="s">
        <v>308</v>
      </c>
      <c r="B475" s="9" t="s">
        <v>309</v>
      </c>
      <c r="C475" s="25" t="s">
        <v>257</v>
      </c>
      <c r="D475" s="19">
        <v>110.53</v>
      </c>
      <c r="E475" s="19">
        <v>111.6</v>
      </c>
      <c r="F475" s="19">
        <v>109.87</v>
      </c>
      <c r="G475" s="19">
        <v>111.54</v>
      </c>
      <c r="H475" s="19">
        <v>111.54</v>
      </c>
      <c r="I475" s="15">
        <v>3956163</v>
      </c>
      <c r="J475" s="19">
        <f t="shared" si="37"/>
        <v>0.91377906450737822</v>
      </c>
      <c r="K475" s="19">
        <f t="shared" ref="K475:K538" si="38">AVERAGE(G456:G475)</f>
        <v>110.98899999999999</v>
      </c>
      <c r="L475" s="19">
        <f t="shared" si="34"/>
        <v>111.36799999999999</v>
      </c>
      <c r="M475" s="19">
        <f>MAX(G264:G475)</f>
        <v>162.13</v>
      </c>
      <c r="N475" s="19">
        <f t="shared" si="35"/>
        <v>-31.20335533214087</v>
      </c>
      <c r="O475" s="9" t="str">
        <f t="shared" si="36"/>
        <v>2024-10</v>
      </c>
    </row>
    <row r="476" spans="1:15" x14ac:dyDescent="0.25">
      <c r="A476" s="9" t="s">
        <v>308</v>
      </c>
      <c r="B476" s="9" t="s">
        <v>309</v>
      </c>
      <c r="C476" s="25" t="s">
        <v>258</v>
      </c>
      <c r="D476" s="19">
        <v>111.54</v>
      </c>
      <c r="E476" s="19">
        <v>111.75</v>
      </c>
      <c r="F476" s="19">
        <v>111.38</v>
      </c>
      <c r="G476" s="19">
        <v>111.39</v>
      </c>
      <c r="H476" s="19">
        <v>111.39</v>
      </c>
      <c r="I476" s="15">
        <v>6898899</v>
      </c>
      <c r="J476" s="19">
        <f t="shared" si="37"/>
        <v>-0.13448090371167803</v>
      </c>
      <c r="K476" s="19">
        <f t="shared" si="38"/>
        <v>110.76699999999998</v>
      </c>
      <c r="L476" s="19">
        <f t="shared" si="34"/>
        <v>111.4162</v>
      </c>
      <c r="M476" s="19">
        <f>MAX(G264:G476)</f>
        <v>162.13</v>
      </c>
      <c r="N476" s="19">
        <f t="shared" si="35"/>
        <v>-31.295873681613518</v>
      </c>
      <c r="O476" s="9" t="str">
        <f t="shared" si="36"/>
        <v>2024-10</v>
      </c>
    </row>
    <row r="477" spans="1:15" x14ac:dyDescent="0.25">
      <c r="A477" s="9" t="s">
        <v>308</v>
      </c>
      <c r="B477" s="9" t="s">
        <v>309</v>
      </c>
      <c r="C477" s="25" t="s">
        <v>259</v>
      </c>
      <c r="D477" s="19">
        <v>111.39</v>
      </c>
      <c r="E477" s="19">
        <v>111.52</v>
      </c>
      <c r="F477" s="19">
        <v>110.87</v>
      </c>
      <c r="G477" s="19">
        <v>111.39</v>
      </c>
      <c r="H477" s="19">
        <v>111.39</v>
      </c>
      <c r="I477" s="15">
        <v>2186886</v>
      </c>
      <c r="J477" s="19">
        <f t="shared" si="37"/>
        <v>0</v>
      </c>
      <c r="K477" s="19">
        <f t="shared" si="38"/>
        <v>110.61049999999997</v>
      </c>
      <c r="L477" s="19">
        <f t="shared" si="34"/>
        <v>111.47220000000002</v>
      </c>
      <c r="M477" s="19">
        <f>MAX(G264:G477)</f>
        <v>162.13</v>
      </c>
      <c r="N477" s="19">
        <f t="shared" si="35"/>
        <v>-31.295873681613518</v>
      </c>
      <c r="O477" s="9" t="str">
        <f t="shared" si="36"/>
        <v>2024-10</v>
      </c>
    </row>
    <row r="478" spans="1:15" x14ac:dyDescent="0.25">
      <c r="A478" s="9" t="s">
        <v>308</v>
      </c>
      <c r="B478" s="9" t="s">
        <v>309</v>
      </c>
      <c r="C478" s="25" t="s">
        <v>260</v>
      </c>
      <c r="D478" s="19">
        <v>111.39</v>
      </c>
      <c r="E478" s="19">
        <v>111.89</v>
      </c>
      <c r="F478" s="19">
        <v>110.77</v>
      </c>
      <c r="G478" s="19">
        <v>111.49</v>
      </c>
      <c r="H478" s="19">
        <v>111.49</v>
      </c>
      <c r="I478" s="15">
        <v>3008007</v>
      </c>
      <c r="J478" s="19">
        <f t="shared" si="37"/>
        <v>8.9774665589365574E-2</v>
      </c>
      <c r="K478" s="19">
        <f t="shared" si="38"/>
        <v>110.43849999999998</v>
      </c>
      <c r="L478" s="19">
        <f t="shared" si="34"/>
        <v>111.50940000000003</v>
      </c>
      <c r="M478" s="19">
        <f>MAX(G264:G478)</f>
        <v>162.13</v>
      </c>
      <c r="N478" s="19">
        <f t="shared" si="35"/>
        <v>-31.23419478196509</v>
      </c>
      <c r="O478" s="9" t="str">
        <f t="shared" si="36"/>
        <v>2024-10</v>
      </c>
    </row>
    <row r="479" spans="1:15" x14ac:dyDescent="0.25">
      <c r="A479" s="9" t="s">
        <v>308</v>
      </c>
      <c r="B479" s="9" t="s">
        <v>309</v>
      </c>
      <c r="C479" s="25" t="s">
        <v>261</v>
      </c>
      <c r="D479" s="19">
        <v>111.49</v>
      </c>
      <c r="E479" s="19">
        <v>112.42</v>
      </c>
      <c r="F479" s="19">
        <v>110.91</v>
      </c>
      <c r="G479" s="19">
        <v>111.88</v>
      </c>
      <c r="H479" s="19">
        <v>111.88</v>
      </c>
      <c r="I479" s="15">
        <v>2742851</v>
      </c>
      <c r="J479" s="19">
        <f t="shared" si="37"/>
        <v>0.34980715759260972</v>
      </c>
      <c r="K479" s="19">
        <f t="shared" si="38"/>
        <v>110.377</v>
      </c>
      <c r="L479" s="19">
        <f t="shared" si="34"/>
        <v>111.59360000000002</v>
      </c>
      <c r="M479" s="19">
        <f>MAX(G264:G479)</f>
        <v>162.13</v>
      </c>
      <c r="N479" s="19">
        <f t="shared" si="35"/>
        <v>-30.993647073336213</v>
      </c>
      <c r="O479" s="9" t="str">
        <f t="shared" si="36"/>
        <v>2024-10</v>
      </c>
    </row>
    <row r="480" spans="1:15" x14ac:dyDescent="0.25">
      <c r="A480" s="9" t="s">
        <v>308</v>
      </c>
      <c r="B480" s="9" t="s">
        <v>309</v>
      </c>
      <c r="C480" s="25" t="s">
        <v>262</v>
      </c>
      <c r="D480" s="19">
        <v>111.88</v>
      </c>
      <c r="E480" s="19">
        <v>112.34</v>
      </c>
      <c r="F480" s="19">
        <v>111.55</v>
      </c>
      <c r="G480" s="19">
        <v>111.82</v>
      </c>
      <c r="H480" s="19">
        <v>111.82</v>
      </c>
      <c r="I480" s="15">
        <v>2261121</v>
      </c>
      <c r="J480" s="19">
        <f t="shared" si="37"/>
        <v>-5.3628888094388878E-2</v>
      </c>
      <c r="K480" s="19">
        <f t="shared" si="38"/>
        <v>110.39850000000001</v>
      </c>
      <c r="L480" s="19">
        <f t="shared" si="34"/>
        <v>111.67260000000002</v>
      </c>
      <c r="M480" s="19">
        <f>MAX(G264:G480)</f>
        <v>162.13</v>
      </c>
      <c r="N480" s="19">
        <f t="shared" si="35"/>
        <v>-31.030654413125276</v>
      </c>
      <c r="O480" s="9" t="str">
        <f t="shared" si="36"/>
        <v>2024-10</v>
      </c>
    </row>
    <row r="481" spans="1:15" x14ac:dyDescent="0.25">
      <c r="A481" s="9" t="s">
        <v>308</v>
      </c>
      <c r="B481" s="9" t="s">
        <v>309</v>
      </c>
      <c r="C481" s="25" t="s">
        <v>263</v>
      </c>
      <c r="D481" s="19">
        <v>111.82</v>
      </c>
      <c r="E481" s="19">
        <v>112.17</v>
      </c>
      <c r="F481" s="19">
        <v>110.85</v>
      </c>
      <c r="G481" s="19">
        <v>111.45</v>
      </c>
      <c r="H481" s="19">
        <v>111.45</v>
      </c>
      <c r="I481" s="15">
        <v>1535938</v>
      </c>
      <c r="J481" s="19">
        <f t="shared" si="37"/>
        <v>-0.33088892863529812</v>
      </c>
      <c r="K481" s="19">
        <f t="shared" si="38"/>
        <v>110.55349999999999</v>
      </c>
      <c r="L481" s="19">
        <f t="shared" si="34"/>
        <v>111.76400000000001</v>
      </c>
      <c r="M481" s="19">
        <f>MAX(G264:G481)</f>
        <v>162.13</v>
      </c>
      <c r="N481" s="19">
        <f t="shared" si="35"/>
        <v>-31.258866341824458</v>
      </c>
      <c r="O481" s="9" t="str">
        <f t="shared" si="36"/>
        <v>2024-10</v>
      </c>
    </row>
    <row r="482" spans="1:15" x14ac:dyDescent="0.25">
      <c r="A482" s="9" t="s">
        <v>308</v>
      </c>
      <c r="B482" s="9" t="s">
        <v>309</v>
      </c>
      <c r="C482" s="25" t="s">
        <v>264</v>
      </c>
      <c r="D482" s="19">
        <v>111.45</v>
      </c>
      <c r="E482" s="19">
        <v>112.42</v>
      </c>
      <c r="F482" s="19">
        <v>111.4</v>
      </c>
      <c r="G482" s="19">
        <v>112.18</v>
      </c>
      <c r="H482" s="19">
        <v>112.18</v>
      </c>
      <c r="I482" s="15">
        <v>6256641</v>
      </c>
      <c r="J482" s="19">
        <f t="shared" si="37"/>
        <v>0.65500224315837052</v>
      </c>
      <c r="K482" s="19">
        <f t="shared" si="38"/>
        <v>110.72349999999999</v>
      </c>
      <c r="L482" s="19">
        <f t="shared" si="34"/>
        <v>111.85600000000002</v>
      </c>
      <c r="M482" s="19">
        <f>MAX(G264:G482)</f>
        <v>162.13</v>
      </c>
      <c r="N482" s="19">
        <f t="shared" si="35"/>
        <v>-30.808610374390916</v>
      </c>
      <c r="O482" s="9" t="str">
        <f t="shared" si="36"/>
        <v>2024-10</v>
      </c>
    </row>
    <row r="483" spans="1:15" x14ac:dyDescent="0.25">
      <c r="A483" s="9" t="s">
        <v>308</v>
      </c>
      <c r="B483" s="9" t="s">
        <v>309</v>
      </c>
      <c r="C483" s="25" t="s">
        <v>265</v>
      </c>
      <c r="D483" s="19">
        <v>112.18</v>
      </c>
      <c r="E483" s="19">
        <v>112.33</v>
      </c>
      <c r="F483" s="19">
        <v>110.75</v>
      </c>
      <c r="G483" s="19">
        <v>110.81</v>
      </c>
      <c r="H483" s="19">
        <v>110.81</v>
      </c>
      <c r="I483" s="15">
        <v>3871061</v>
      </c>
      <c r="J483" s="19">
        <f t="shared" si="37"/>
        <v>-1.2212515599928726</v>
      </c>
      <c r="K483" s="19">
        <f t="shared" si="38"/>
        <v>110.886</v>
      </c>
      <c r="L483" s="19">
        <f t="shared" si="34"/>
        <v>111.91120000000001</v>
      </c>
      <c r="M483" s="19">
        <f>MAX(G264:G483)</f>
        <v>162.13</v>
      </c>
      <c r="N483" s="19">
        <f t="shared" si="35"/>
        <v>-31.653611299574415</v>
      </c>
      <c r="O483" s="9" t="str">
        <f t="shared" si="36"/>
        <v>2024-11</v>
      </c>
    </row>
    <row r="484" spans="1:15" x14ac:dyDescent="0.25">
      <c r="A484" s="9" t="s">
        <v>308</v>
      </c>
      <c r="B484" s="9" t="s">
        <v>309</v>
      </c>
      <c r="C484" s="25" t="s">
        <v>266</v>
      </c>
      <c r="D484" s="19">
        <v>110.81</v>
      </c>
      <c r="E484" s="19">
        <v>113.01</v>
      </c>
      <c r="F484" s="19">
        <v>110.55</v>
      </c>
      <c r="G484" s="19">
        <v>112.82</v>
      </c>
      <c r="H484" s="19">
        <v>112.82</v>
      </c>
      <c r="I484" s="15">
        <v>4872600</v>
      </c>
      <c r="J484" s="19">
        <f t="shared" si="37"/>
        <v>1.8139157115783691</v>
      </c>
      <c r="K484" s="19">
        <f t="shared" si="38"/>
        <v>111.13400000000004</v>
      </c>
      <c r="L484" s="19">
        <f t="shared" si="34"/>
        <v>112.01540000000001</v>
      </c>
      <c r="M484" s="19">
        <f>MAX(G264:G484)</f>
        <v>162.13</v>
      </c>
      <c r="N484" s="19">
        <f t="shared" si="35"/>
        <v>-30.413865416640967</v>
      </c>
      <c r="O484" s="9" t="str">
        <f t="shared" si="36"/>
        <v>2024-11</v>
      </c>
    </row>
    <row r="485" spans="1:15" x14ac:dyDescent="0.25">
      <c r="A485" s="9" t="s">
        <v>308</v>
      </c>
      <c r="B485" s="9" t="s">
        <v>309</v>
      </c>
      <c r="C485" s="25" t="s">
        <v>267</v>
      </c>
      <c r="D485" s="19">
        <v>112.82</v>
      </c>
      <c r="E485" s="19">
        <v>113.77</v>
      </c>
      <c r="F485" s="19">
        <v>111.67</v>
      </c>
      <c r="G485" s="19">
        <v>111.68</v>
      </c>
      <c r="H485" s="19">
        <v>111.68</v>
      </c>
      <c r="I485" s="15">
        <v>5837779</v>
      </c>
      <c r="J485" s="19">
        <f t="shared" si="37"/>
        <v>-1.0104591384506172</v>
      </c>
      <c r="K485" s="19">
        <f t="shared" si="38"/>
        <v>111.33999999999999</v>
      </c>
      <c r="L485" s="19">
        <f t="shared" si="34"/>
        <v>112.08540000000001</v>
      </c>
      <c r="M485" s="19">
        <f>MAX(G264:G485)</f>
        <v>162.13</v>
      </c>
      <c r="N485" s="19">
        <f t="shared" si="35"/>
        <v>-31.117004872633064</v>
      </c>
      <c r="O485" s="9" t="str">
        <f t="shared" si="36"/>
        <v>2024-11</v>
      </c>
    </row>
    <row r="486" spans="1:15" x14ac:dyDescent="0.25">
      <c r="A486" s="9" t="s">
        <v>308</v>
      </c>
      <c r="B486" s="9" t="s">
        <v>309</v>
      </c>
      <c r="C486" s="25" t="s">
        <v>268</v>
      </c>
      <c r="D486" s="19">
        <v>111.68</v>
      </c>
      <c r="E486" s="19">
        <v>114.23</v>
      </c>
      <c r="F486" s="19">
        <v>111.33</v>
      </c>
      <c r="G486" s="19">
        <v>113.87</v>
      </c>
      <c r="H486" s="19">
        <v>113.87</v>
      </c>
      <c r="I486" s="15">
        <v>5795339</v>
      </c>
      <c r="J486" s="19">
        <f t="shared" si="37"/>
        <v>1.9609598853868173</v>
      </c>
      <c r="K486" s="19">
        <f t="shared" si="38"/>
        <v>111.60949999999998</v>
      </c>
      <c r="L486" s="19">
        <f t="shared" si="34"/>
        <v>112.1846</v>
      </c>
      <c r="M486" s="19">
        <f>MAX(G264:G486)</f>
        <v>162.13</v>
      </c>
      <c r="N486" s="19">
        <f t="shared" si="35"/>
        <v>-29.766236970332443</v>
      </c>
      <c r="O486" s="9" t="str">
        <f t="shared" si="36"/>
        <v>2024-11</v>
      </c>
    </row>
    <row r="487" spans="1:15" x14ac:dyDescent="0.25">
      <c r="A487" s="9" t="s">
        <v>308</v>
      </c>
      <c r="B487" s="9" t="s">
        <v>309</v>
      </c>
      <c r="C487" s="25" t="s">
        <v>269</v>
      </c>
      <c r="D487" s="19">
        <v>113.87</v>
      </c>
      <c r="E487" s="19">
        <v>114.99</v>
      </c>
      <c r="F487" s="19">
        <v>113.81</v>
      </c>
      <c r="G487" s="19">
        <v>114.51</v>
      </c>
      <c r="H487" s="19">
        <v>114.51</v>
      </c>
      <c r="I487" s="15">
        <v>3133337</v>
      </c>
      <c r="J487" s="19">
        <f t="shared" si="37"/>
        <v>0.56204443663827219</v>
      </c>
      <c r="K487" s="19">
        <f t="shared" si="38"/>
        <v>111.87050000000002</v>
      </c>
      <c r="L487" s="19">
        <f t="shared" si="34"/>
        <v>112.28860000000003</v>
      </c>
      <c r="M487" s="19">
        <f>MAX(G264:G487)</f>
        <v>162.13</v>
      </c>
      <c r="N487" s="19">
        <f t="shared" si="35"/>
        <v>-29.37149201258249</v>
      </c>
      <c r="O487" s="9" t="str">
        <f t="shared" si="36"/>
        <v>2024-11</v>
      </c>
    </row>
    <row r="488" spans="1:15" x14ac:dyDescent="0.25">
      <c r="A488" s="9" t="s">
        <v>308</v>
      </c>
      <c r="B488" s="9" t="s">
        <v>309</v>
      </c>
      <c r="C488" s="25" t="s">
        <v>270</v>
      </c>
      <c r="D488" s="19">
        <v>114.51</v>
      </c>
      <c r="E488" s="19">
        <v>114.64</v>
      </c>
      <c r="F488" s="19">
        <v>113.53</v>
      </c>
      <c r="G488" s="19">
        <v>113.97</v>
      </c>
      <c r="H488" s="19">
        <v>113.97</v>
      </c>
      <c r="I488" s="15">
        <v>3062241</v>
      </c>
      <c r="J488" s="19">
        <f t="shared" si="37"/>
        <v>-0.47157453497511675</v>
      </c>
      <c r="K488" s="19">
        <f t="shared" si="38"/>
        <v>112.066</v>
      </c>
      <c r="L488" s="19">
        <f t="shared" si="34"/>
        <v>112.37660000000004</v>
      </c>
      <c r="M488" s="19">
        <f>MAX(G264:G488)</f>
        <v>162.13</v>
      </c>
      <c r="N488" s="19">
        <f t="shared" si="35"/>
        <v>-29.704558070684016</v>
      </c>
      <c r="O488" s="9" t="str">
        <f t="shared" si="36"/>
        <v>2024-11</v>
      </c>
    </row>
    <row r="489" spans="1:15" x14ac:dyDescent="0.25">
      <c r="A489" s="9" t="s">
        <v>308</v>
      </c>
      <c r="B489" s="9" t="s">
        <v>309</v>
      </c>
      <c r="C489" s="25" t="s">
        <v>271</v>
      </c>
      <c r="D489" s="19">
        <v>113.97</v>
      </c>
      <c r="E489" s="19">
        <v>114.02</v>
      </c>
      <c r="F489" s="19">
        <v>112.22</v>
      </c>
      <c r="G489" s="19">
        <v>112.76</v>
      </c>
      <c r="H489" s="19">
        <v>112.76</v>
      </c>
      <c r="I489" s="15">
        <v>3531153</v>
      </c>
      <c r="J489" s="19">
        <f t="shared" si="37"/>
        <v>-1.0616828990085057</v>
      </c>
      <c r="K489" s="19">
        <f t="shared" si="38"/>
        <v>112.12800000000001</v>
      </c>
      <c r="L489" s="19">
        <f t="shared" si="34"/>
        <v>112.40580000000004</v>
      </c>
      <c r="M489" s="19">
        <f>MAX(G264:G489)</f>
        <v>162.13</v>
      </c>
      <c r="N489" s="19">
        <f t="shared" si="35"/>
        <v>-30.450872756430019</v>
      </c>
      <c r="O489" s="9" t="str">
        <f t="shared" si="36"/>
        <v>2024-11</v>
      </c>
    </row>
    <row r="490" spans="1:15" x14ac:dyDescent="0.25">
      <c r="A490" s="9" t="s">
        <v>308</v>
      </c>
      <c r="B490" s="9" t="s">
        <v>309</v>
      </c>
      <c r="C490" s="25" t="s">
        <v>272</v>
      </c>
      <c r="D490" s="19">
        <v>112.76</v>
      </c>
      <c r="E490" s="19">
        <v>113.02</v>
      </c>
      <c r="F490" s="19">
        <v>112.11</v>
      </c>
      <c r="G490" s="19">
        <v>112.46</v>
      </c>
      <c r="H490" s="19">
        <v>112.46</v>
      </c>
      <c r="I490" s="15">
        <v>4221487</v>
      </c>
      <c r="J490" s="19">
        <f t="shared" si="37"/>
        <v>-0.26605179141540564</v>
      </c>
      <c r="K490" s="19">
        <f t="shared" si="38"/>
        <v>112.04850000000002</v>
      </c>
      <c r="L490" s="19">
        <f t="shared" si="34"/>
        <v>112.43500000000002</v>
      </c>
      <c r="M490" s="19">
        <f>MAX(G264:G490)</f>
        <v>162.13</v>
      </c>
      <c r="N490" s="19">
        <f t="shared" si="35"/>
        <v>-30.635909455375316</v>
      </c>
      <c r="O490" s="9" t="str">
        <f t="shared" si="36"/>
        <v>2024-11</v>
      </c>
    </row>
    <row r="491" spans="1:15" x14ac:dyDescent="0.25">
      <c r="A491" s="9" t="s">
        <v>308</v>
      </c>
      <c r="B491" s="9" t="s">
        <v>309</v>
      </c>
      <c r="C491" s="25" t="s">
        <v>273</v>
      </c>
      <c r="D491" s="19">
        <v>112.46</v>
      </c>
      <c r="E491" s="19">
        <v>112.52</v>
      </c>
      <c r="F491" s="19">
        <v>111.92</v>
      </c>
      <c r="G491" s="19">
        <v>112.21</v>
      </c>
      <c r="H491" s="19">
        <v>112.21</v>
      </c>
      <c r="I491" s="15">
        <v>3627881</v>
      </c>
      <c r="J491" s="19">
        <f t="shared" si="37"/>
        <v>-0.22230126267117198</v>
      </c>
      <c r="K491" s="19">
        <f t="shared" si="38"/>
        <v>112.0445</v>
      </c>
      <c r="L491" s="19">
        <f t="shared" si="34"/>
        <v>112.43620000000003</v>
      </c>
      <c r="M491" s="19">
        <f>MAX(G264:G491)</f>
        <v>162.13</v>
      </c>
      <c r="N491" s="19">
        <f t="shared" si="35"/>
        <v>-30.790106704496395</v>
      </c>
      <c r="O491" s="9" t="str">
        <f t="shared" si="36"/>
        <v>2024-11</v>
      </c>
    </row>
    <row r="492" spans="1:15" x14ac:dyDescent="0.25">
      <c r="A492" s="9" t="s">
        <v>308</v>
      </c>
      <c r="B492" s="9" t="s">
        <v>309</v>
      </c>
      <c r="C492" s="25" t="s">
        <v>274</v>
      </c>
      <c r="D492" s="19">
        <v>112.21</v>
      </c>
      <c r="E492" s="19">
        <v>113.92</v>
      </c>
      <c r="F492" s="19">
        <v>111.97</v>
      </c>
      <c r="G492" s="19">
        <v>113.63</v>
      </c>
      <c r="H492" s="19">
        <v>113.63</v>
      </c>
      <c r="I492" s="15">
        <v>2459363</v>
      </c>
      <c r="J492" s="19">
        <f t="shared" si="37"/>
        <v>1.2654843596827394</v>
      </c>
      <c r="K492" s="19">
        <f t="shared" si="38"/>
        <v>112.15899999999999</v>
      </c>
      <c r="L492" s="19">
        <f t="shared" si="34"/>
        <v>112.47860000000003</v>
      </c>
      <c r="M492" s="19">
        <f>MAX(G264:G492)</f>
        <v>162.13</v>
      </c>
      <c r="N492" s="19">
        <f t="shared" si="35"/>
        <v>-29.914266329488683</v>
      </c>
      <c r="O492" s="9" t="str">
        <f t="shared" si="36"/>
        <v>2024-11</v>
      </c>
    </row>
    <row r="493" spans="1:15" x14ac:dyDescent="0.25">
      <c r="A493" s="9" t="s">
        <v>308</v>
      </c>
      <c r="B493" s="9" t="s">
        <v>309</v>
      </c>
      <c r="C493" s="25" t="s">
        <v>275</v>
      </c>
      <c r="D493" s="19">
        <v>113.63</v>
      </c>
      <c r="E493" s="19">
        <v>115.7</v>
      </c>
      <c r="F493" s="19">
        <v>113.47</v>
      </c>
      <c r="G493" s="19">
        <v>114.76</v>
      </c>
      <c r="H493" s="19">
        <v>114.76</v>
      </c>
      <c r="I493" s="15">
        <v>3779786</v>
      </c>
      <c r="J493" s="19">
        <f t="shared" si="37"/>
        <v>0.99445568951862151</v>
      </c>
      <c r="K493" s="19">
        <f t="shared" si="38"/>
        <v>112.3575</v>
      </c>
      <c r="L493" s="19">
        <f t="shared" si="34"/>
        <v>112.50500000000004</v>
      </c>
      <c r="M493" s="19">
        <f>MAX(G264:G493)</f>
        <v>162.13</v>
      </c>
      <c r="N493" s="19">
        <f t="shared" si="35"/>
        <v>-29.217294763461414</v>
      </c>
      <c r="O493" s="9" t="str">
        <f t="shared" si="36"/>
        <v>2024-11</v>
      </c>
    </row>
    <row r="494" spans="1:15" x14ac:dyDescent="0.25">
      <c r="A494" s="9" t="s">
        <v>308</v>
      </c>
      <c r="B494" s="9" t="s">
        <v>309</v>
      </c>
      <c r="C494" s="25" t="s">
        <v>276</v>
      </c>
      <c r="D494" s="19">
        <v>114.76</v>
      </c>
      <c r="E494" s="19">
        <v>116.91</v>
      </c>
      <c r="F494" s="19">
        <v>114.53</v>
      </c>
      <c r="G494" s="19">
        <v>116.34</v>
      </c>
      <c r="H494" s="19">
        <v>116.34</v>
      </c>
      <c r="I494" s="15">
        <v>2091206</v>
      </c>
      <c r="J494" s="19">
        <f t="shared" si="37"/>
        <v>1.3767863367026825</v>
      </c>
      <c r="K494" s="19">
        <f t="shared" si="38"/>
        <v>112.64800000000002</v>
      </c>
      <c r="L494" s="19">
        <f t="shared" si="34"/>
        <v>112.53740000000003</v>
      </c>
      <c r="M494" s="19">
        <f>MAX(G264:G494)</f>
        <v>162.13</v>
      </c>
      <c r="N494" s="19">
        <f t="shared" si="35"/>
        <v>-28.242768149016218</v>
      </c>
      <c r="O494" s="9" t="str">
        <f t="shared" si="36"/>
        <v>2024-11</v>
      </c>
    </row>
    <row r="495" spans="1:15" x14ac:dyDescent="0.25">
      <c r="A495" s="9" t="s">
        <v>308</v>
      </c>
      <c r="B495" s="9" t="s">
        <v>309</v>
      </c>
      <c r="C495" s="25" t="s">
        <v>277</v>
      </c>
      <c r="D495" s="19">
        <v>116.34</v>
      </c>
      <c r="E495" s="19">
        <v>116.57</v>
      </c>
      <c r="F495" s="19">
        <v>114.33</v>
      </c>
      <c r="G495" s="19">
        <v>115.35</v>
      </c>
      <c r="H495" s="19">
        <v>115.35</v>
      </c>
      <c r="I495" s="15">
        <v>2982120</v>
      </c>
      <c r="J495" s="19">
        <f t="shared" si="37"/>
        <v>-0.85095410005158068</v>
      </c>
      <c r="K495" s="19">
        <f t="shared" si="38"/>
        <v>112.8385</v>
      </c>
      <c r="L495" s="19">
        <f t="shared" si="34"/>
        <v>112.51640000000003</v>
      </c>
      <c r="M495" s="19">
        <f>MAX(G264:G495)</f>
        <v>162.13</v>
      </c>
      <c r="N495" s="19">
        <f t="shared" si="35"/>
        <v>-28.853389255535681</v>
      </c>
      <c r="O495" s="9" t="str">
        <f t="shared" si="36"/>
        <v>2024-11</v>
      </c>
    </row>
    <row r="496" spans="1:15" x14ac:dyDescent="0.25">
      <c r="A496" s="9" t="s">
        <v>308</v>
      </c>
      <c r="B496" s="9" t="s">
        <v>309</v>
      </c>
      <c r="C496" s="25" t="s">
        <v>278</v>
      </c>
      <c r="D496" s="19">
        <v>115.35</v>
      </c>
      <c r="E496" s="19">
        <v>115.43</v>
      </c>
      <c r="F496" s="19">
        <v>114.95</v>
      </c>
      <c r="G496" s="19">
        <v>114.97</v>
      </c>
      <c r="H496" s="19">
        <v>114.97</v>
      </c>
      <c r="I496" s="15">
        <v>3794177</v>
      </c>
      <c r="J496" s="19">
        <f t="shared" si="37"/>
        <v>-0.32943216298222405</v>
      </c>
      <c r="K496" s="19">
        <f t="shared" si="38"/>
        <v>113.01749999999997</v>
      </c>
      <c r="L496" s="19">
        <f t="shared" si="34"/>
        <v>112.49680000000002</v>
      </c>
      <c r="M496" s="19">
        <f>MAX(G264:G496)</f>
        <v>162.13</v>
      </c>
      <c r="N496" s="19">
        <f t="shared" si="35"/>
        <v>-29.087769074199716</v>
      </c>
      <c r="O496" s="9" t="str">
        <f t="shared" si="36"/>
        <v>2024-11</v>
      </c>
    </row>
    <row r="497" spans="1:15" x14ac:dyDescent="0.25">
      <c r="A497" s="9" t="s">
        <v>308</v>
      </c>
      <c r="B497" s="9" t="s">
        <v>309</v>
      </c>
      <c r="C497" s="25" t="s">
        <v>279</v>
      </c>
      <c r="D497" s="19">
        <v>114.97</v>
      </c>
      <c r="E497" s="19">
        <v>115.05</v>
      </c>
      <c r="F497" s="19">
        <v>113.63</v>
      </c>
      <c r="G497" s="19">
        <v>113.75</v>
      </c>
      <c r="H497" s="19">
        <v>113.75</v>
      </c>
      <c r="I497" s="15">
        <v>4246731</v>
      </c>
      <c r="J497" s="19">
        <f t="shared" si="37"/>
        <v>-1.0611463860137418</v>
      </c>
      <c r="K497" s="19">
        <f t="shared" si="38"/>
        <v>113.13549999999998</v>
      </c>
      <c r="L497" s="19">
        <f t="shared" si="34"/>
        <v>112.46940000000002</v>
      </c>
      <c r="M497" s="19">
        <f>MAX(G264:G497)</f>
        <v>162.13</v>
      </c>
      <c r="N497" s="19">
        <f t="shared" si="35"/>
        <v>-29.840251649910567</v>
      </c>
      <c r="O497" s="9" t="str">
        <f t="shared" si="36"/>
        <v>2024-11</v>
      </c>
    </row>
    <row r="498" spans="1:15" x14ac:dyDescent="0.25">
      <c r="A498" s="9" t="s">
        <v>308</v>
      </c>
      <c r="B498" s="9" t="s">
        <v>309</v>
      </c>
      <c r="C498" s="25" t="s">
        <v>280</v>
      </c>
      <c r="D498" s="19">
        <v>113.75</v>
      </c>
      <c r="E498" s="19">
        <v>114.53</v>
      </c>
      <c r="F498" s="19">
        <v>113.12</v>
      </c>
      <c r="G498" s="19">
        <v>113.22</v>
      </c>
      <c r="H498" s="19">
        <v>113.22</v>
      </c>
      <c r="I498" s="15">
        <v>3367913</v>
      </c>
      <c r="J498" s="19">
        <f t="shared" si="37"/>
        <v>-0.46593406593406694</v>
      </c>
      <c r="K498" s="19">
        <f t="shared" si="38"/>
        <v>113.22200000000001</v>
      </c>
      <c r="L498" s="19">
        <f t="shared" si="34"/>
        <v>112.40520000000004</v>
      </c>
      <c r="M498" s="19">
        <f>MAX(G264:G498)</f>
        <v>162.13</v>
      </c>
      <c r="N498" s="19">
        <f t="shared" si="35"/>
        <v>-30.167149818047246</v>
      </c>
      <c r="O498" s="9" t="str">
        <f t="shared" si="36"/>
        <v>2024-11</v>
      </c>
    </row>
    <row r="499" spans="1:15" x14ac:dyDescent="0.25">
      <c r="A499" s="9" t="s">
        <v>308</v>
      </c>
      <c r="B499" s="9" t="s">
        <v>309</v>
      </c>
      <c r="C499" s="25" t="s">
        <v>281</v>
      </c>
      <c r="D499" s="19">
        <v>113.22</v>
      </c>
      <c r="E499" s="19">
        <v>113.62</v>
      </c>
      <c r="F499" s="19">
        <v>112.53</v>
      </c>
      <c r="G499" s="19">
        <v>112.63</v>
      </c>
      <c r="H499" s="19">
        <v>112.63</v>
      </c>
      <c r="I499" s="15">
        <v>3303039</v>
      </c>
      <c r="J499" s="19">
        <f t="shared" si="37"/>
        <v>-0.52110934463875946</v>
      </c>
      <c r="K499" s="19">
        <f t="shared" si="38"/>
        <v>113.2595</v>
      </c>
      <c r="L499" s="19">
        <f t="shared" si="34"/>
        <v>112.34400000000004</v>
      </c>
      <c r="M499" s="19">
        <f>MAX(G264:G499)</f>
        <v>162.13</v>
      </c>
      <c r="N499" s="19">
        <f t="shared" si="35"/>
        <v>-30.531055325972982</v>
      </c>
      <c r="O499" s="9" t="str">
        <f t="shared" si="36"/>
        <v>2024-11</v>
      </c>
    </row>
    <row r="500" spans="1:15" x14ac:dyDescent="0.25">
      <c r="A500" s="9" t="s">
        <v>308</v>
      </c>
      <c r="B500" s="9" t="s">
        <v>309</v>
      </c>
      <c r="C500" s="25" t="s">
        <v>282</v>
      </c>
      <c r="D500" s="19">
        <v>112.63</v>
      </c>
      <c r="E500" s="19">
        <v>113.49</v>
      </c>
      <c r="F500" s="19">
        <v>110.03</v>
      </c>
      <c r="G500" s="19">
        <v>110.42</v>
      </c>
      <c r="H500" s="19">
        <v>110.42</v>
      </c>
      <c r="I500" s="15">
        <v>2819258</v>
      </c>
      <c r="J500" s="19">
        <f t="shared" si="37"/>
        <v>-1.9621770398650393</v>
      </c>
      <c r="K500" s="19">
        <f t="shared" si="38"/>
        <v>113.1895</v>
      </c>
      <c r="L500" s="19">
        <f t="shared" si="34"/>
        <v>112.24260000000004</v>
      </c>
      <c r="M500" s="19">
        <f>MAX(G264:G500)</f>
        <v>162.13</v>
      </c>
      <c r="N500" s="19">
        <f t="shared" si="35"/>
        <v>-31.894159008203292</v>
      </c>
      <c r="O500" s="9" t="str">
        <f t="shared" si="36"/>
        <v>2024-11</v>
      </c>
    </row>
    <row r="501" spans="1:15" x14ac:dyDescent="0.25">
      <c r="A501" s="9" t="s">
        <v>308</v>
      </c>
      <c r="B501" s="9" t="s">
        <v>309</v>
      </c>
      <c r="C501" s="25" t="s">
        <v>283</v>
      </c>
      <c r="D501" s="19">
        <v>110.42</v>
      </c>
      <c r="E501" s="19">
        <v>110.85</v>
      </c>
      <c r="F501" s="19">
        <v>108.87</v>
      </c>
      <c r="G501" s="19">
        <v>109.37</v>
      </c>
      <c r="H501" s="19">
        <v>109.37</v>
      </c>
      <c r="I501" s="15">
        <v>2882715</v>
      </c>
      <c r="J501" s="19">
        <f t="shared" si="37"/>
        <v>-0.9509146893678655</v>
      </c>
      <c r="K501" s="19">
        <f t="shared" si="38"/>
        <v>113.0855</v>
      </c>
      <c r="L501" s="19">
        <f t="shared" si="34"/>
        <v>112.16840000000002</v>
      </c>
      <c r="M501" s="19">
        <f>MAX(G264:G501)</f>
        <v>162.13</v>
      </c>
      <c r="N501" s="19">
        <f t="shared" si="35"/>
        <v>-32.541787454511805</v>
      </c>
      <c r="O501" s="9" t="str">
        <f t="shared" si="36"/>
        <v>2024-11</v>
      </c>
    </row>
    <row r="502" spans="1:15" x14ac:dyDescent="0.25">
      <c r="A502" s="9" t="s">
        <v>308</v>
      </c>
      <c r="B502" s="9" t="s">
        <v>309</v>
      </c>
      <c r="C502" s="25" t="s">
        <v>284</v>
      </c>
      <c r="D502" s="19">
        <v>109.37</v>
      </c>
      <c r="E502" s="19">
        <v>111.06</v>
      </c>
      <c r="F502" s="19">
        <v>109.05</v>
      </c>
      <c r="G502" s="19">
        <v>110.33</v>
      </c>
      <c r="H502" s="19">
        <v>110.33</v>
      </c>
      <c r="I502" s="15">
        <v>3785924</v>
      </c>
      <c r="J502" s="19">
        <f t="shared" si="37"/>
        <v>0.87775441163024015</v>
      </c>
      <c r="K502" s="19">
        <f t="shared" si="38"/>
        <v>112.99300000000001</v>
      </c>
      <c r="L502" s="19">
        <f t="shared" si="34"/>
        <v>112.08200000000002</v>
      </c>
      <c r="M502" s="19">
        <f>MAX(G264:G502)</f>
        <v>162.13</v>
      </c>
      <c r="N502" s="19">
        <f t="shared" si="35"/>
        <v>-31.949670017886877</v>
      </c>
      <c r="O502" s="9" t="str">
        <f t="shared" si="36"/>
        <v>2024-11</v>
      </c>
    </row>
    <row r="503" spans="1:15" x14ac:dyDescent="0.25">
      <c r="A503" s="9" t="s">
        <v>308</v>
      </c>
      <c r="B503" s="9" t="s">
        <v>309</v>
      </c>
      <c r="C503" s="25" t="s">
        <v>285</v>
      </c>
      <c r="D503" s="19">
        <v>110.33</v>
      </c>
      <c r="E503" s="19">
        <v>112.42</v>
      </c>
      <c r="F503" s="19">
        <v>110.13</v>
      </c>
      <c r="G503" s="19">
        <v>111.98</v>
      </c>
      <c r="H503" s="19">
        <v>111.98</v>
      </c>
      <c r="I503" s="15">
        <v>4334156</v>
      </c>
      <c r="J503" s="19">
        <f t="shared" si="37"/>
        <v>1.4955134596211417</v>
      </c>
      <c r="K503" s="19">
        <f t="shared" si="38"/>
        <v>113.05149999999999</v>
      </c>
      <c r="L503" s="19">
        <f t="shared" si="34"/>
        <v>112.0386</v>
      </c>
      <c r="M503" s="19">
        <f>MAX(G264:G503)</f>
        <v>162.13</v>
      </c>
      <c r="N503" s="19">
        <f t="shared" si="35"/>
        <v>-30.931968173687778</v>
      </c>
      <c r="O503" s="9" t="str">
        <f t="shared" si="36"/>
        <v>2024-11</v>
      </c>
    </row>
    <row r="504" spans="1:15" x14ac:dyDescent="0.25">
      <c r="A504" s="9" t="s">
        <v>308</v>
      </c>
      <c r="B504" s="9" t="s">
        <v>309</v>
      </c>
      <c r="C504" s="25" t="s">
        <v>286</v>
      </c>
      <c r="D504" s="19">
        <v>111.98</v>
      </c>
      <c r="E504" s="19">
        <v>113.42</v>
      </c>
      <c r="F504" s="19">
        <v>111.51</v>
      </c>
      <c r="G504" s="19">
        <v>112.15</v>
      </c>
      <c r="H504" s="19">
        <v>112.15</v>
      </c>
      <c r="I504" s="15">
        <v>2779072</v>
      </c>
      <c r="J504" s="19">
        <f t="shared" si="37"/>
        <v>0.15181282371852267</v>
      </c>
      <c r="K504" s="19">
        <f t="shared" si="38"/>
        <v>113.018</v>
      </c>
      <c r="L504" s="19">
        <f t="shared" si="34"/>
        <v>112.0008</v>
      </c>
      <c r="M504" s="19">
        <f>MAX(G264:G504)</f>
        <v>162.13</v>
      </c>
      <c r="N504" s="19">
        <f t="shared" si="35"/>
        <v>-30.827114044285441</v>
      </c>
      <c r="O504" s="9" t="str">
        <f t="shared" si="36"/>
        <v>2024-12</v>
      </c>
    </row>
    <row r="505" spans="1:15" x14ac:dyDescent="0.25">
      <c r="A505" s="9" t="s">
        <v>308</v>
      </c>
      <c r="B505" s="9" t="s">
        <v>309</v>
      </c>
      <c r="C505" s="25" t="s">
        <v>287</v>
      </c>
      <c r="D505" s="19">
        <v>112.15</v>
      </c>
      <c r="E505" s="19">
        <v>112.74</v>
      </c>
      <c r="F505" s="19">
        <v>111.54</v>
      </c>
      <c r="G505" s="19">
        <v>112.58</v>
      </c>
      <c r="H505" s="19">
        <v>112.58</v>
      </c>
      <c r="I505" s="15">
        <v>4473047</v>
      </c>
      <c r="J505" s="19">
        <f t="shared" si="37"/>
        <v>0.38341506910387213</v>
      </c>
      <c r="K505" s="19">
        <f t="shared" si="38"/>
        <v>113.06299999999999</v>
      </c>
      <c r="L505" s="19">
        <f t="shared" ref="L505:L568" si="39">AVERAGE(G456:G505)</f>
        <v>111.959</v>
      </c>
      <c r="M505" s="19">
        <f>MAX(G264:G505)</f>
        <v>162.13</v>
      </c>
      <c r="N505" s="19">
        <f t="shared" si="35"/>
        <v>-30.561894775797199</v>
      </c>
      <c r="O505" s="9" t="str">
        <f t="shared" si="36"/>
        <v>2024-12</v>
      </c>
    </row>
    <row r="506" spans="1:15" x14ac:dyDescent="0.25">
      <c r="A506" s="9" t="s">
        <v>308</v>
      </c>
      <c r="B506" s="9" t="s">
        <v>309</v>
      </c>
      <c r="C506" s="25" t="s">
        <v>288</v>
      </c>
      <c r="D506" s="19">
        <v>112.58</v>
      </c>
      <c r="E506" s="19">
        <v>112.93</v>
      </c>
      <c r="F506" s="19">
        <v>112.51</v>
      </c>
      <c r="G506" s="19">
        <v>112.53</v>
      </c>
      <c r="H506" s="19">
        <v>112.53</v>
      </c>
      <c r="I506" s="15">
        <v>4450200</v>
      </c>
      <c r="J506" s="19">
        <f t="shared" si="37"/>
        <v>-4.4412861964822491E-2</v>
      </c>
      <c r="K506" s="19">
        <f t="shared" si="38"/>
        <v>112.99600000000001</v>
      </c>
      <c r="L506" s="19">
        <f t="shared" si="39"/>
        <v>111.89299999999999</v>
      </c>
      <c r="M506" s="19">
        <f>MAX(G264:G506)</f>
        <v>162.13</v>
      </c>
      <c r="N506" s="19">
        <f t="shared" si="35"/>
        <v>-30.59273422562141</v>
      </c>
      <c r="O506" s="9" t="str">
        <f t="shared" si="36"/>
        <v>2024-12</v>
      </c>
    </row>
    <row r="507" spans="1:15" x14ac:dyDescent="0.25">
      <c r="A507" s="9" t="s">
        <v>308</v>
      </c>
      <c r="B507" s="9" t="s">
        <v>309</v>
      </c>
      <c r="C507" s="25" t="s">
        <v>289</v>
      </c>
      <c r="D507" s="19">
        <v>112.53</v>
      </c>
      <c r="E507" s="19">
        <v>112.59</v>
      </c>
      <c r="F507" s="19">
        <v>111.62</v>
      </c>
      <c r="G507" s="19">
        <v>111.81</v>
      </c>
      <c r="H507" s="19">
        <v>111.81</v>
      </c>
      <c r="I507" s="15">
        <v>3049035</v>
      </c>
      <c r="J507" s="19">
        <f t="shared" si="37"/>
        <v>-0.63982937883231039</v>
      </c>
      <c r="K507" s="19">
        <f t="shared" si="38"/>
        <v>112.86100000000002</v>
      </c>
      <c r="L507" s="19">
        <f t="shared" si="39"/>
        <v>111.83879999999999</v>
      </c>
      <c r="M507" s="19">
        <f>MAX(G264:G507)</f>
        <v>162.13</v>
      </c>
      <c r="N507" s="19">
        <f t="shared" si="35"/>
        <v>-31.036822303090112</v>
      </c>
      <c r="O507" s="9" t="str">
        <f t="shared" si="36"/>
        <v>2024-12</v>
      </c>
    </row>
    <row r="508" spans="1:15" x14ac:dyDescent="0.25">
      <c r="A508" s="9" t="s">
        <v>308</v>
      </c>
      <c r="B508" s="9" t="s">
        <v>309</v>
      </c>
      <c r="C508" s="25" t="s">
        <v>290</v>
      </c>
      <c r="D508" s="19">
        <v>111.81</v>
      </c>
      <c r="E508" s="19">
        <v>112.08</v>
      </c>
      <c r="F508" s="19">
        <v>110.66</v>
      </c>
      <c r="G508" s="19">
        <v>111.25</v>
      </c>
      <c r="H508" s="19">
        <v>111.25</v>
      </c>
      <c r="I508" s="15">
        <v>5024791</v>
      </c>
      <c r="J508" s="19">
        <f t="shared" si="37"/>
        <v>-0.50084965566586381</v>
      </c>
      <c r="K508" s="19">
        <f t="shared" si="38"/>
        <v>112.72499999999999</v>
      </c>
      <c r="L508" s="19">
        <f t="shared" si="39"/>
        <v>111.76520000000001</v>
      </c>
      <c r="M508" s="19">
        <f>MAX(G264:G508)</f>
        <v>162.13</v>
      </c>
      <c r="N508" s="19">
        <f t="shared" si="35"/>
        <v>-31.382224141121323</v>
      </c>
      <c r="O508" s="9" t="str">
        <f t="shared" si="36"/>
        <v>2024-12</v>
      </c>
    </row>
    <row r="509" spans="1:15" x14ac:dyDescent="0.25">
      <c r="A509" s="9" t="s">
        <v>308</v>
      </c>
      <c r="B509" s="9" t="s">
        <v>309</v>
      </c>
      <c r="C509" s="25" t="s">
        <v>291</v>
      </c>
      <c r="D509" s="19">
        <v>111.25</v>
      </c>
      <c r="E509" s="19">
        <v>111.62</v>
      </c>
      <c r="F509" s="19">
        <v>110.1</v>
      </c>
      <c r="G509" s="19">
        <v>110.49</v>
      </c>
      <c r="H509" s="19">
        <v>110.49</v>
      </c>
      <c r="I509" s="15">
        <v>2337302</v>
      </c>
      <c r="J509" s="19">
        <f t="shared" si="37"/>
        <v>-0.68314606741573491</v>
      </c>
      <c r="K509" s="19">
        <f t="shared" si="38"/>
        <v>112.61149999999998</v>
      </c>
      <c r="L509" s="19">
        <f t="shared" si="39"/>
        <v>111.71279999999999</v>
      </c>
      <c r="M509" s="19">
        <f>MAX(G264:G509)</f>
        <v>162.13</v>
      </c>
      <c r="N509" s="19">
        <f t="shared" si="35"/>
        <v>-31.850983778449393</v>
      </c>
      <c r="O509" s="9" t="str">
        <f t="shared" si="36"/>
        <v>2024-12</v>
      </c>
    </row>
    <row r="510" spans="1:15" x14ac:dyDescent="0.25">
      <c r="A510" s="9" t="s">
        <v>308</v>
      </c>
      <c r="B510" s="9" t="s">
        <v>309</v>
      </c>
      <c r="C510" s="25" t="s">
        <v>292</v>
      </c>
      <c r="D510" s="19">
        <v>110.49</v>
      </c>
      <c r="E510" s="19">
        <v>110.97</v>
      </c>
      <c r="F510" s="19">
        <v>109.9</v>
      </c>
      <c r="G510" s="19">
        <v>110.96</v>
      </c>
      <c r="H510" s="19">
        <v>110.96</v>
      </c>
      <c r="I510" s="15">
        <v>3006165</v>
      </c>
      <c r="J510" s="19">
        <f t="shared" si="37"/>
        <v>0.42537786224997631</v>
      </c>
      <c r="K510" s="19">
        <f t="shared" si="38"/>
        <v>112.5365</v>
      </c>
      <c r="L510" s="19">
        <f t="shared" si="39"/>
        <v>111.70419999999999</v>
      </c>
      <c r="M510" s="19">
        <f>MAX(G264:G510)</f>
        <v>162.13</v>
      </c>
      <c r="N510" s="19">
        <f t="shared" si="35"/>
        <v>-31.56109295010177</v>
      </c>
      <c r="O510" s="9" t="str">
        <f t="shared" si="36"/>
        <v>2024-12</v>
      </c>
    </row>
    <row r="511" spans="1:15" x14ac:dyDescent="0.25">
      <c r="A511" s="9" t="s">
        <v>308</v>
      </c>
      <c r="B511" s="9" t="s">
        <v>309</v>
      </c>
      <c r="C511" s="25" t="s">
        <v>293</v>
      </c>
      <c r="D511" s="19">
        <v>110.96</v>
      </c>
      <c r="E511" s="19">
        <v>111.27</v>
      </c>
      <c r="F511" s="19">
        <v>109.46</v>
      </c>
      <c r="G511" s="19">
        <v>110.18</v>
      </c>
      <c r="H511" s="19">
        <v>110.18</v>
      </c>
      <c r="I511" s="15">
        <v>5196423</v>
      </c>
      <c r="J511" s="19">
        <f t="shared" si="37"/>
        <v>-0.70295602018744319</v>
      </c>
      <c r="K511" s="19">
        <f t="shared" si="38"/>
        <v>112.43499999999999</v>
      </c>
      <c r="L511" s="19">
        <f t="shared" si="39"/>
        <v>111.74079999999998</v>
      </c>
      <c r="M511" s="19">
        <f>MAX(G264:G511)</f>
        <v>162.13</v>
      </c>
      <c r="N511" s="19">
        <f t="shared" si="35"/>
        <v>-32.042188367359522</v>
      </c>
      <c r="O511" s="9" t="str">
        <f t="shared" si="36"/>
        <v>2024-12</v>
      </c>
    </row>
    <row r="512" spans="1:15" x14ac:dyDescent="0.25">
      <c r="A512" s="9" t="s">
        <v>308</v>
      </c>
      <c r="B512" s="9" t="s">
        <v>309</v>
      </c>
      <c r="C512" s="25" t="s">
        <v>294</v>
      </c>
      <c r="D512" s="19">
        <v>110.18</v>
      </c>
      <c r="E512" s="19">
        <v>110.25</v>
      </c>
      <c r="F512" s="19">
        <v>109.14</v>
      </c>
      <c r="G512" s="19">
        <v>109.44</v>
      </c>
      <c r="H512" s="19">
        <v>109.44</v>
      </c>
      <c r="I512" s="15">
        <v>2874391</v>
      </c>
      <c r="J512" s="19">
        <f t="shared" si="37"/>
        <v>-0.67162824469051463</v>
      </c>
      <c r="K512" s="19">
        <f t="shared" si="38"/>
        <v>112.22550000000001</v>
      </c>
      <c r="L512" s="19">
        <f t="shared" si="39"/>
        <v>111.75399999999998</v>
      </c>
      <c r="M512" s="19">
        <f>MAX(G264:G512)</f>
        <v>162.13</v>
      </c>
      <c r="N512" s="19">
        <f t="shared" si="35"/>
        <v>-32.498612224757913</v>
      </c>
      <c r="O512" s="9" t="str">
        <f t="shared" si="36"/>
        <v>2024-12</v>
      </c>
    </row>
    <row r="513" spans="1:15" x14ac:dyDescent="0.25">
      <c r="A513" s="9" t="s">
        <v>308</v>
      </c>
      <c r="B513" s="9" t="s">
        <v>309</v>
      </c>
      <c r="C513" s="25" t="s">
        <v>295</v>
      </c>
      <c r="D513" s="19">
        <v>109.44</v>
      </c>
      <c r="E513" s="19">
        <v>109.63</v>
      </c>
      <c r="F513" s="19">
        <v>108.27</v>
      </c>
      <c r="G513" s="19">
        <v>108.89</v>
      </c>
      <c r="H513" s="19">
        <v>108.89</v>
      </c>
      <c r="I513" s="15">
        <v>1843769</v>
      </c>
      <c r="J513" s="19">
        <f t="shared" si="37"/>
        <v>-0.50255847953216115</v>
      </c>
      <c r="K513" s="19">
        <f t="shared" si="38"/>
        <v>111.93199999999999</v>
      </c>
      <c r="L513" s="19">
        <f t="shared" si="39"/>
        <v>111.78059999999998</v>
      </c>
      <c r="M513" s="19">
        <f>MAX(G264:G513)</f>
        <v>162.13</v>
      </c>
      <c r="N513" s="19">
        <f t="shared" si="35"/>
        <v>-32.837846172824278</v>
      </c>
      <c r="O513" s="9" t="str">
        <f t="shared" si="36"/>
        <v>2024-12</v>
      </c>
    </row>
    <row r="514" spans="1:15" x14ac:dyDescent="0.25">
      <c r="A514" s="9" t="s">
        <v>308</v>
      </c>
      <c r="B514" s="9" t="s">
        <v>309</v>
      </c>
      <c r="C514" s="25" t="s">
        <v>296</v>
      </c>
      <c r="D514" s="19">
        <v>108.89</v>
      </c>
      <c r="E514" s="19">
        <v>110.38</v>
      </c>
      <c r="F514" s="19">
        <v>108.45</v>
      </c>
      <c r="G514" s="19">
        <v>110.3</v>
      </c>
      <c r="H514" s="19">
        <v>110.3</v>
      </c>
      <c r="I514" s="15">
        <v>5517299</v>
      </c>
      <c r="J514" s="19">
        <f t="shared" si="37"/>
        <v>1.2948847460740165</v>
      </c>
      <c r="K514" s="19">
        <f t="shared" si="38"/>
        <v>111.63000000000002</v>
      </c>
      <c r="L514" s="19">
        <f t="shared" si="39"/>
        <v>111.82940000000001</v>
      </c>
      <c r="M514" s="19">
        <f>MAX(G264:G514)</f>
        <v>162.13</v>
      </c>
      <c r="N514" s="19">
        <f t="shared" ref="N514:N577" si="40">(G514-M514)/M514*100</f>
        <v>-31.968173687781409</v>
      </c>
      <c r="O514" s="9" t="str">
        <f t="shared" ref="O514:O577" si="41">TEXT(C514,"yyyy-mm")</f>
        <v>2024-12</v>
      </c>
    </row>
    <row r="515" spans="1:15" x14ac:dyDescent="0.25">
      <c r="A515" s="9" t="s">
        <v>308</v>
      </c>
      <c r="B515" s="9" t="s">
        <v>309</v>
      </c>
      <c r="C515" s="25" t="s">
        <v>297</v>
      </c>
      <c r="D515" s="19">
        <v>110.3</v>
      </c>
      <c r="E515" s="19">
        <v>110.89</v>
      </c>
      <c r="F515" s="19">
        <v>109.71</v>
      </c>
      <c r="G515" s="19">
        <v>110.8</v>
      </c>
      <c r="H515" s="19">
        <v>110.8</v>
      </c>
      <c r="I515" s="15">
        <v>5019993</v>
      </c>
      <c r="J515" s="19">
        <f t="shared" si="37"/>
        <v>0.45330915684496825</v>
      </c>
      <c r="K515" s="19">
        <f t="shared" si="38"/>
        <v>111.40250000000003</v>
      </c>
      <c r="L515" s="19">
        <f t="shared" si="39"/>
        <v>111.8942</v>
      </c>
      <c r="M515" s="19">
        <f>MAX(G264:G515)</f>
        <v>162.13</v>
      </c>
      <c r="N515" s="19">
        <f t="shared" si="40"/>
        <v>-31.659779189539261</v>
      </c>
      <c r="O515" s="9" t="str">
        <f t="shared" si="41"/>
        <v>2024-12</v>
      </c>
    </row>
    <row r="516" spans="1:15" x14ac:dyDescent="0.25">
      <c r="A516" s="9" t="s">
        <v>308</v>
      </c>
      <c r="B516" s="9" t="s">
        <v>309</v>
      </c>
      <c r="C516" s="25" t="s">
        <v>298</v>
      </c>
      <c r="D516" s="19">
        <v>110.8</v>
      </c>
      <c r="E516" s="19">
        <v>112.49</v>
      </c>
      <c r="F516" s="19">
        <v>110.68</v>
      </c>
      <c r="G516" s="19">
        <v>112.48</v>
      </c>
      <c r="H516" s="19">
        <v>112.48</v>
      </c>
      <c r="I516" s="15">
        <v>5401141</v>
      </c>
      <c r="J516" s="19">
        <f t="shared" si="37"/>
        <v>1.5162454873646272</v>
      </c>
      <c r="K516" s="19">
        <f t="shared" si="38"/>
        <v>111.27800000000002</v>
      </c>
      <c r="L516" s="19">
        <f t="shared" si="39"/>
        <v>111.97419999999998</v>
      </c>
      <c r="M516" s="19">
        <f>MAX(G264:G516)</f>
        <v>162.13</v>
      </c>
      <c r="N516" s="19">
        <f t="shared" si="40"/>
        <v>-30.623573675445627</v>
      </c>
      <c r="O516" s="9" t="str">
        <f t="shared" si="41"/>
        <v>2024-12</v>
      </c>
    </row>
    <row r="517" spans="1:15" x14ac:dyDescent="0.25">
      <c r="A517" s="9" t="s">
        <v>308</v>
      </c>
      <c r="B517" s="9" t="s">
        <v>309</v>
      </c>
      <c r="C517" s="25" t="s">
        <v>299</v>
      </c>
      <c r="D517" s="19">
        <v>112.48</v>
      </c>
      <c r="E517" s="19">
        <v>113.92</v>
      </c>
      <c r="F517" s="19">
        <v>112.47</v>
      </c>
      <c r="G517" s="19">
        <v>113.37</v>
      </c>
      <c r="H517" s="19">
        <v>113.37</v>
      </c>
      <c r="I517" s="15">
        <v>3718621</v>
      </c>
      <c r="J517" s="19">
        <f t="shared" si="37"/>
        <v>0.79125177809388392</v>
      </c>
      <c r="K517" s="19">
        <f t="shared" si="38"/>
        <v>111.25899999999999</v>
      </c>
      <c r="L517" s="19">
        <f t="shared" si="39"/>
        <v>112.0558</v>
      </c>
      <c r="M517" s="19">
        <f>MAX(G264:G517)</f>
        <v>162.13</v>
      </c>
      <c r="N517" s="19">
        <f t="shared" si="40"/>
        <v>-30.074631468574598</v>
      </c>
      <c r="O517" s="9" t="str">
        <f t="shared" si="41"/>
        <v>2024-12</v>
      </c>
    </row>
    <row r="518" spans="1:15" x14ac:dyDescent="0.25">
      <c r="A518" s="9" t="s">
        <v>308</v>
      </c>
      <c r="B518" s="9" t="s">
        <v>309</v>
      </c>
      <c r="C518" s="25" t="s">
        <v>300</v>
      </c>
      <c r="D518" s="19">
        <v>113.37</v>
      </c>
      <c r="E518" s="19">
        <v>113.93</v>
      </c>
      <c r="F518" s="19">
        <v>113.06</v>
      </c>
      <c r="G518" s="19">
        <v>113.35</v>
      </c>
      <c r="H518" s="19">
        <v>113.35</v>
      </c>
      <c r="I518" s="15">
        <v>2783377</v>
      </c>
      <c r="J518" s="19">
        <f t="shared" si="37"/>
        <v>-1.7641351327520712E-2</v>
      </c>
      <c r="K518" s="19">
        <f t="shared" si="38"/>
        <v>111.2655</v>
      </c>
      <c r="L518" s="19">
        <f t="shared" si="39"/>
        <v>112.12160000000002</v>
      </c>
      <c r="M518" s="19">
        <f>MAX(G264:G518)</f>
        <v>162.13</v>
      </c>
      <c r="N518" s="19">
        <f t="shared" si="40"/>
        <v>-30.086967248504287</v>
      </c>
      <c r="O518" s="9" t="str">
        <f t="shared" si="41"/>
        <v>2024-12</v>
      </c>
    </row>
    <row r="519" spans="1:15" x14ac:dyDescent="0.25">
      <c r="A519" s="9" t="s">
        <v>308</v>
      </c>
      <c r="B519" s="9" t="s">
        <v>309</v>
      </c>
      <c r="C519" s="25" t="s">
        <v>301</v>
      </c>
      <c r="D519" s="19">
        <v>113.35</v>
      </c>
      <c r="E519" s="19">
        <v>115.31</v>
      </c>
      <c r="F519" s="19">
        <v>113.05</v>
      </c>
      <c r="G519" s="19">
        <v>114.89</v>
      </c>
      <c r="H519" s="19">
        <v>114.89</v>
      </c>
      <c r="I519" s="15">
        <v>3427331</v>
      </c>
      <c r="J519" s="19">
        <f t="shared" si="37"/>
        <v>1.3586237318041519</v>
      </c>
      <c r="K519" s="19">
        <f t="shared" si="38"/>
        <v>111.3785</v>
      </c>
      <c r="L519" s="19">
        <f t="shared" si="39"/>
        <v>112.18900000000004</v>
      </c>
      <c r="M519" s="19">
        <f>MAX(G264:G519)</f>
        <v>162.13</v>
      </c>
      <c r="N519" s="19">
        <f t="shared" si="40"/>
        <v>-29.137112193918458</v>
      </c>
      <c r="O519" s="9" t="str">
        <f t="shared" si="41"/>
        <v>2024-12</v>
      </c>
    </row>
    <row r="520" spans="1:15" x14ac:dyDescent="0.25">
      <c r="A520" s="9" t="s">
        <v>308</v>
      </c>
      <c r="B520" s="9" t="s">
        <v>309</v>
      </c>
      <c r="C520" s="25" t="s">
        <v>302</v>
      </c>
      <c r="D520" s="19">
        <v>114.89</v>
      </c>
      <c r="E520" s="19">
        <v>115.14</v>
      </c>
      <c r="F520" s="19">
        <v>114.45</v>
      </c>
      <c r="G520" s="19">
        <v>114.78</v>
      </c>
      <c r="H520" s="19">
        <v>114.78</v>
      </c>
      <c r="I520" s="15">
        <v>3843873</v>
      </c>
      <c r="J520" s="19">
        <f t="shared" si="37"/>
        <v>-9.5743754895986979E-2</v>
      </c>
      <c r="K520" s="19">
        <f t="shared" si="38"/>
        <v>111.59650000000002</v>
      </c>
      <c r="L520" s="19">
        <f t="shared" si="39"/>
        <v>112.20360000000002</v>
      </c>
      <c r="M520" s="19">
        <f>MAX(G264:G520)</f>
        <v>162.13</v>
      </c>
      <c r="N520" s="19">
        <f t="shared" si="40"/>
        <v>-29.204958983531732</v>
      </c>
      <c r="O520" s="9" t="str">
        <f t="shared" si="41"/>
        <v>2024-12</v>
      </c>
    </row>
    <row r="521" spans="1:15" x14ac:dyDescent="0.25">
      <c r="A521" s="9" t="s">
        <v>308</v>
      </c>
      <c r="B521" s="9" t="s">
        <v>309</v>
      </c>
      <c r="C521" s="25" t="s">
        <v>303</v>
      </c>
      <c r="D521" s="19">
        <v>114.78</v>
      </c>
      <c r="E521" s="19">
        <v>115.11</v>
      </c>
      <c r="F521" s="19">
        <v>111.06</v>
      </c>
      <c r="G521" s="19">
        <v>111.36</v>
      </c>
      <c r="H521" s="19">
        <v>111.36</v>
      </c>
      <c r="I521" s="15">
        <v>6369760</v>
      </c>
      <c r="J521" s="19">
        <f t="shared" si="37"/>
        <v>-2.9796131730266611</v>
      </c>
      <c r="K521" s="19">
        <f t="shared" si="38"/>
        <v>111.69600000000003</v>
      </c>
      <c r="L521" s="19">
        <f t="shared" si="39"/>
        <v>112.185</v>
      </c>
      <c r="M521" s="19">
        <f>MAX(G264:G521)</f>
        <v>162.13</v>
      </c>
      <c r="N521" s="19">
        <f t="shared" si="40"/>
        <v>-31.31437735150805</v>
      </c>
      <c r="O521" s="9" t="str">
        <f t="shared" si="41"/>
        <v>2024-12</v>
      </c>
    </row>
    <row r="522" spans="1:15" x14ac:dyDescent="0.25">
      <c r="A522" s="9" t="s">
        <v>308</v>
      </c>
      <c r="B522" s="9" t="s">
        <v>309</v>
      </c>
      <c r="C522" s="25" t="s">
        <v>304</v>
      </c>
      <c r="D522" s="19">
        <v>111.36</v>
      </c>
      <c r="E522" s="19">
        <v>112.61</v>
      </c>
      <c r="F522" s="19">
        <v>110.7</v>
      </c>
      <c r="G522" s="19">
        <v>112.2</v>
      </c>
      <c r="H522" s="19">
        <v>112.2</v>
      </c>
      <c r="I522" s="15">
        <v>4123257</v>
      </c>
      <c r="J522" s="19">
        <f t="shared" si="37"/>
        <v>0.7543103448275893</v>
      </c>
      <c r="K522" s="19">
        <f t="shared" si="38"/>
        <v>111.7895</v>
      </c>
      <c r="L522" s="19">
        <f t="shared" si="39"/>
        <v>112.20219999999999</v>
      </c>
      <c r="M522" s="19">
        <f>MAX(G264:G522)</f>
        <v>162.13</v>
      </c>
      <c r="N522" s="19">
        <f t="shared" si="40"/>
        <v>-30.796274594461231</v>
      </c>
      <c r="O522" s="9" t="str">
        <f t="shared" si="41"/>
        <v>2024-12</v>
      </c>
    </row>
    <row r="523" spans="1:15" x14ac:dyDescent="0.25">
      <c r="A523" s="9" t="s">
        <v>308</v>
      </c>
      <c r="B523" s="9" t="s">
        <v>309</v>
      </c>
      <c r="C523" s="25" t="s">
        <v>305</v>
      </c>
      <c r="D523" s="19">
        <v>112.2</v>
      </c>
      <c r="E523" s="19">
        <v>112.9</v>
      </c>
      <c r="F523" s="19">
        <v>111.89</v>
      </c>
      <c r="G523" s="19">
        <v>112.16</v>
      </c>
      <c r="H523" s="19">
        <v>112.16</v>
      </c>
      <c r="I523" s="15">
        <v>3453944</v>
      </c>
      <c r="J523" s="19">
        <f t="shared" si="37"/>
        <v>-3.5650623885923577E-2</v>
      </c>
      <c r="K523" s="19">
        <f t="shared" si="38"/>
        <v>111.79849999999999</v>
      </c>
      <c r="L523" s="19">
        <f t="shared" si="39"/>
        <v>112.22959999999999</v>
      </c>
      <c r="M523" s="19">
        <f>MAX(G264:G523)</f>
        <v>162.13</v>
      </c>
      <c r="N523" s="19">
        <f t="shared" si="40"/>
        <v>-30.820946154320605</v>
      </c>
      <c r="O523" s="9" t="str">
        <f t="shared" si="41"/>
        <v>2024-12</v>
      </c>
    </row>
    <row r="524" spans="1:15" x14ac:dyDescent="0.25">
      <c r="A524" s="9" t="s">
        <v>308</v>
      </c>
      <c r="B524" s="9" t="s">
        <v>309</v>
      </c>
      <c r="C524" s="25" t="s">
        <v>306</v>
      </c>
      <c r="D524" s="19">
        <v>112.16</v>
      </c>
      <c r="E524" s="19">
        <v>112.67</v>
      </c>
      <c r="F524" s="19">
        <v>111.87</v>
      </c>
      <c r="G524" s="19">
        <v>112.07</v>
      </c>
      <c r="H524" s="19">
        <v>112.07</v>
      </c>
      <c r="I524" s="15">
        <v>3941697</v>
      </c>
      <c r="J524" s="19">
        <f t="shared" si="37"/>
        <v>-8.0242510699004468E-2</v>
      </c>
      <c r="K524" s="19">
        <f t="shared" si="38"/>
        <v>111.7945</v>
      </c>
      <c r="L524" s="19">
        <f t="shared" si="39"/>
        <v>112.26039999999999</v>
      </c>
      <c r="M524" s="19">
        <f>MAX(G264:G524)</f>
        <v>162.13</v>
      </c>
      <c r="N524" s="19">
        <f t="shared" si="40"/>
        <v>-30.876457164004194</v>
      </c>
      <c r="O524" s="9" t="str">
        <f t="shared" si="41"/>
        <v>2024-12</v>
      </c>
    </row>
    <row r="525" spans="1:15" x14ac:dyDescent="0.25">
      <c r="A525" s="9" t="s">
        <v>308</v>
      </c>
      <c r="B525" s="9" t="s">
        <v>309</v>
      </c>
      <c r="C525" s="25" t="s">
        <v>307</v>
      </c>
      <c r="D525" s="19">
        <v>112.07</v>
      </c>
      <c r="E525" s="19">
        <v>112.96</v>
      </c>
      <c r="F525" s="19">
        <v>111.33</v>
      </c>
      <c r="G525" s="19">
        <v>112.61</v>
      </c>
      <c r="H525" s="19">
        <v>112.61</v>
      </c>
      <c r="I525" s="15">
        <v>3313662</v>
      </c>
      <c r="J525" s="19">
        <f t="shared" si="37"/>
        <v>0.4818417060765649</v>
      </c>
      <c r="K525" s="19">
        <f t="shared" si="38"/>
        <v>111.79600000000001</v>
      </c>
      <c r="L525" s="19">
        <f t="shared" si="39"/>
        <v>112.28179999999996</v>
      </c>
      <c r="M525" s="19">
        <f>MAX(G264:G525)</f>
        <v>162.13</v>
      </c>
      <c r="N525" s="19">
        <f t="shared" si="40"/>
        <v>-30.543391105902668</v>
      </c>
      <c r="O525" s="9" t="str">
        <f t="shared" si="41"/>
        <v>2024-12</v>
      </c>
    </row>
    <row r="526" spans="1:15" x14ac:dyDescent="0.25">
      <c r="A526" s="9" t="s">
        <v>310</v>
      </c>
      <c r="B526" s="9" t="s">
        <v>311</v>
      </c>
      <c r="C526" s="25" t="s">
        <v>46</v>
      </c>
      <c r="D526" s="19">
        <v>150</v>
      </c>
      <c r="E526" s="19">
        <v>151.72999999999999</v>
      </c>
      <c r="F526" s="19">
        <v>149.16</v>
      </c>
      <c r="G526" s="19">
        <v>151.56</v>
      </c>
      <c r="H526" s="19">
        <v>151.56</v>
      </c>
      <c r="I526" s="15">
        <v>6044922</v>
      </c>
      <c r="J526" s="19"/>
      <c r="K526" s="19"/>
      <c r="L526" s="19"/>
      <c r="M526" s="19">
        <f>MAX(G526:G526)</f>
        <v>151.56</v>
      </c>
      <c r="N526" s="19">
        <f t="shared" si="40"/>
        <v>0</v>
      </c>
      <c r="O526" s="9" t="str">
        <f t="shared" si="41"/>
        <v>2024-01</v>
      </c>
    </row>
    <row r="527" spans="1:15" x14ac:dyDescent="0.25">
      <c r="A527" s="9" t="s">
        <v>310</v>
      </c>
      <c r="B527" s="9" t="s">
        <v>311</v>
      </c>
      <c r="C527" s="25" t="s">
        <v>47</v>
      </c>
      <c r="D527" s="19">
        <v>151.56</v>
      </c>
      <c r="E527" s="19">
        <v>151.77000000000001</v>
      </c>
      <c r="F527" s="19">
        <v>151.16</v>
      </c>
      <c r="G527" s="19">
        <v>151.35</v>
      </c>
      <c r="H527" s="19">
        <v>151.35</v>
      </c>
      <c r="I527" s="15">
        <v>4155798</v>
      </c>
      <c r="J527" s="19">
        <f t="shared" ref="J527:J590" si="42">IFERROR((G527-G526)/G526*100,"")</f>
        <v>-0.13855898653998941</v>
      </c>
      <c r="K527" s="19"/>
      <c r="L527" s="19"/>
      <c r="M527" s="19">
        <f>MAX(G526:G527)</f>
        <v>151.56</v>
      </c>
      <c r="N527" s="19">
        <f t="shared" si="40"/>
        <v>-0.13855898653998941</v>
      </c>
      <c r="O527" s="9" t="str">
        <f t="shared" si="41"/>
        <v>2024-01</v>
      </c>
    </row>
    <row r="528" spans="1:15" x14ac:dyDescent="0.25">
      <c r="A528" s="9" t="s">
        <v>310</v>
      </c>
      <c r="B528" s="9" t="s">
        <v>311</v>
      </c>
      <c r="C528" s="25" t="s">
        <v>48</v>
      </c>
      <c r="D528" s="19">
        <v>151.35</v>
      </c>
      <c r="E528" s="19">
        <v>153.72999999999999</v>
      </c>
      <c r="F528" s="19">
        <v>150.88</v>
      </c>
      <c r="G528" s="19">
        <v>153.36000000000001</v>
      </c>
      <c r="H528" s="19">
        <v>153.36000000000001</v>
      </c>
      <c r="I528" s="15">
        <v>4081686</v>
      </c>
      <c r="J528" s="19">
        <f t="shared" si="42"/>
        <v>1.3280475718533329</v>
      </c>
      <c r="K528" s="19"/>
      <c r="L528" s="19"/>
      <c r="M528" s="19">
        <f>MAX(G526:G528)</f>
        <v>153.36000000000001</v>
      </c>
      <c r="N528" s="19">
        <f t="shared" si="40"/>
        <v>0</v>
      </c>
      <c r="O528" s="9" t="str">
        <f t="shared" si="41"/>
        <v>2024-01</v>
      </c>
    </row>
    <row r="529" spans="1:15" x14ac:dyDescent="0.25">
      <c r="A529" s="9" t="s">
        <v>310</v>
      </c>
      <c r="B529" s="9" t="s">
        <v>311</v>
      </c>
      <c r="C529" s="25" t="s">
        <v>49</v>
      </c>
      <c r="D529" s="19">
        <v>153.36000000000001</v>
      </c>
      <c r="E529" s="19">
        <v>156.26</v>
      </c>
      <c r="F529" s="19">
        <v>153.34</v>
      </c>
      <c r="G529" s="19">
        <v>155.94999999999999</v>
      </c>
      <c r="H529" s="19">
        <v>155.94999999999999</v>
      </c>
      <c r="I529" s="15">
        <v>4966712</v>
      </c>
      <c r="J529" s="19">
        <f t="shared" si="42"/>
        <v>1.6888367240479751</v>
      </c>
      <c r="K529" s="19"/>
      <c r="L529" s="19"/>
      <c r="M529" s="19">
        <f>MAX(G526:G529)</f>
        <v>155.94999999999999</v>
      </c>
      <c r="N529" s="19">
        <f t="shared" si="40"/>
        <v>0</v>
      </c>
      <c r="O529" s="9" t="str">
        <f t="shared" si="41"/>
        <v>2024-01</v>
      </c>
    </row>
    <row r="530" spans="1:15" x14ac:dyDescent="0.25">
      <c r="A530" s="9" t="s">
        <v>310</v>
      </c>
      <c r="B530" s="9" t="s">
        <v>311</v>
      </c>
      <c r="C530" s="25" t="s">
        <v>50</v>
      </c>
      <c r="D530" s="19">
        <v>155.94999999999999</v>
      </c>
      <c r="E530" s="19">
        <v>156.84</v>
      </c>
      <c r="F530" s="19">
        <v>155.65</v>
      </c>
      <c r="G530" s="19">
        <v>156.19999999999999</v>
      </c>
      <c r="H530" s="19">
        <v>156.19999999999999</v>
      </c>
      <c r="I530" s="15">
        <v>7047257</v>
      </c>
      <c r="J530" s="19">
        <f t="shared" si="42"/>
        <v>0.16030779095864062</v>
      </c>
      <c r="K530" s="19"/>
      <c r="L530" s="19"/>
      <c r="M530" s="19">
        <f>MAX(G526:G530)</f>
        <v>156.19999999999999</v>
      </c>
      <c r="N530" s="19">
        <f t="shared" si="40"/>
        <v>0</v>
      </c>
      <c r="O530" s="9" t="str">
        <f t="shared" si="41"/>
        <v>2024-01</v>
      </c>
    </row>
    <row r="531" spans="1:15" x14ac:dyDescent="0.25">
      <c r="A531" s="9" t="s">
        <v>310</v>
      </c>
      <c r="B531" s="9" t="s">
        <v>311</v>
      </c>
      <c r="C531" s="25" t="s">
        <v>51</v>
      </c>
      <c r="D531" s="19">
        <v>156.19999999999999</v>
      </c>
      <c r="E531" s="19">
        <v>157.07</v>
      </c>
      <c r="F531" s="19">
        <v>155.38999999999999</v>
      </c>
      <c r="G531" s="19">
        <v>156.16</v>
      </c>
      <c r="H531" s="19">
        <v>156.16</v>
      </c>
      <c r="I531" s="15">
        <v>1721772</v>
      </c>
      <c r="J531" s="19">
        <f t="shared" si="42"/>
        <v>-2.5608194622274039E-2</v>
      </c>
      <c r="K531" s="19"/>
      <c r="L531" s="19"/>
      <c r="M531" s="19">
        <f>MAX(G526:G531)</f>
        <v>156.19999999999999</v>
      </c>
      <c r="N531" s="19">
        <f t="shared" si="40"/>
        <v>-2.5608194622274039E-2</v>
      </c>
      <c r="O531" s="9" t="str">
        <f t="shared" si="41"/>
        <v>2024-01</v>
      </c>
    </row>
    <row r="532" spans="1:15" x14ac:dyDescent="0.25">
      <c r="A532" s="9" t="s">
        <v>310</v>
      </c>
      <c r="B532" s="9" t="s">
        <v>311</v>
      </c>
      <c r="C532" s="25" t="s">
        <v>52</v>
      </c>
      <c r="D532" s="19">
        <v>156.16</v>
      </c>
      <c r="E532" s="19">
        <v>159.07</v>
      </c>
      <c r="F532" s="19">
        <v>155.30000000000001</v>
      </c>
      <c r="G532" s="19">
        <v>158.09</v>
      </c>
      <c r="H532" s="19">
        <v>158.09</v>
      </c>
      <c r="I532" s="15">
        <v>3476613</v>
      </c>
      <c r="J532" s="19">
        <f t="shared" si="42"/>
        <v>1.2359118852459061</v>
      </c>
      <c r="K532" s="19"/>
      <c r="L532" s="19"/>
      <c r="M532" s="19">
        <f>MAX(G526:G532)</f>
        <v>158.09</v>
      </c>
      <c r="N532" s="19">
        <f t="shared" si="40"/>
        <v>0</v>
      </c>
      <c r="O532" s="9" t="str">
        <f t="shared" si="41"/>
        <v>2024-01</v>
      </c>
    </row>
    <row r="533" spans="1:15" x14ac:dyDescent="0.25">
      <c r="A533" s="9" t="s">
        <v>310</v>
      </c>
      <c r="B533" s="9" t="s">
        <v>311</v>
      </c>
      <c r="C533" s="25" t="s">
        <v>53</v>
      </c>
      <c r="D533" s="19">
        <v>158.09</v>
      </c>
      <c r="E533" s="19">
        <v>158.13999999999999</v>
      </c>
      <c r="F533" s="19">
        <v>157.09</v>
      </c>
      <c r="G533" s="19">
        <v>157.5</v>
      </c>
      <c r="H533" s="19">
        <v>157.5</v>
      </c>
      <c r="I533" s="15">
        <v>4732448</v>
      </c>
      <c r="J533" s="19">
        <f t="shared" si="42"/>
        <v>-0.37320513631475954</v>
      </c>
      <c r="K533" s="19"/>
      <c r="L533" s="19"/>
      <c r="M533" s="19">
        <f>MAX(G526:G533)</f>
        <v>158.09</v>
      </c>
      <c r="N533" s="19">
        <f t="shared" si="40"/>
        <v>-0.37320513631475954</v>
      </c>
      <c r="O533" s="9" t="str">
        <f t="shared" si="41"/>
        <v>2024-01</v>
      </c>
    </row>
    <row r="534" spans="1:15" x14ac:dyDescent="0.25">
      <c r="A534" s="9" t="s">
        <v>310</v>
      </c>
      <c r="B534" s="9" t="s">
        <v>311</v>
      </c>
      <c r="C534" s="25" t="s">
        <v>54</v>
      </c>
      <c r="D534" s="19">
        <v>157.5</v>
      </c>
      <c r="E534" s="19">
        <v>170.03</v>
      </c>
      <c r="F534" s="19">
        <v>157.19999999999999</v>
      </c>
      <c r="G534" s="19">
        <v>169.46</v>
      </c>
      <c r="H534" s="19">
        <v>169.46</v>
      </c>
      <c r="I534" s="15">
        <v>4897044</v>
      </c>
      <c r="J534" s="19">
        <f t="shared" si="42"/>
        <v>7.5936507936507986</v>
      </c>
      <c r="K534" s="19"/>
      <c r="L534" s="19"/>
      <c r="M534" s="19">
        <f>MAX(G526:G534)</f>
        <v>169.46</v>
      </c>
      <c r="N534" s="19">
        <f t="shared" si="40"/>
        <v>0</v>
      </c>
      <c r="O534" s="9" t="str">
        <f t="shared" si="41"/>
        <v>2024-01</v>
      </c>
    </row>
    <row r="535" spans="1:15" x14ac:dyDescent="0.25">
      <c r="A535" s="9" t="s">
        <v>310</v>
      </c>
      <c r="B535" s="9" t="s">
        <v>311</v>
      </c>
      <c r="C535" s="25" t="s">
        <v>55</v>
      </c>
      <c r="D535" s="19">
        <v>169.46</v>
      </c>
      <c r="E535" s="19">
        <v>171.35</v>
      </c>
      <c r="F535" s="19">
        <v>168.55</v>
      </c>
      <c r="G535" s="19">
        <v>171.2</v>
      </c>
      <c r="H535" s="19">
        <v>171.2</v>
      </c>
      <c r="I535" s="15">
        <v>4854438</v>
      </c>
      <c r="J535" s="19">
        <f t="shared" si="42"/>
        <v>1.0267909831228494</v>
      </c>
      <c r="K535" s="19"/>
      <c r="L535" s="19"/>
      <c r="M535" s="19">
        <f>MAX(G526:G535)</f>
        <v>171.2</v>
      </c>
      <c r="N535" s="19">
        <f t="shared" si="40"/>
        <v>0</v>
      </c>
      <c r="O535" s="9" t="str">
        <f t="shared" si="41"/>
        <v>2024-01</v>
      </c>
    </row>
    <row r="536" spans="1:15" x14ac:dyDescent="0.25">
      <c r="A536" s="9" t="s">
        <v>310</v>
      </c>
      <c r="B536" s="9" t="s">
        <v>311</v>
      </c>
      <c r="C536" s="25" t="s">
        <v>56</v>
      </c>
      <c r="D536" s="19">
        <v>171.2</v>
      </c>
      <c r="E536" s="19">
        <v>172.77</v>
      </c>
      <c r="F536" s="19">
        <v>170.86</v>
      </c>
      <c r="G536" s="19">
        <v>171.78</v>
      </c>
      <c r="H536" s="19">
        <v>171.78</v>
      </c>
      <c r="I536" s="15">
        <v>6715879</v>
      </c>
      <c r="J536" s="19">
        <f t="shared" si="42"/>
        <v>0.3387850467289793</v>
      </c>
      <c r="K536" s="19"/>
      <c r="L536" s="19"/>
      <c r="M536" s="19">
        <f>MAX(G526:G536)</f>
        <v>171.78</v>
      </c>
      <c r="N536" s="19">
        <f t="shared" si="40"/>
        <v>0</v>
      </c>
      <c r="O536" s="9" t="str">
        <f t="shared" si="41"/>
        <v>2024-01</v>
      </c>
    </row>
    <row r="537" spans="1:15" x14ac:dyDescent="0.25">
      <c r="A537" s="9" t="s">
        <v>310</v>
      </c>
      <c r="B537" s="9" t="s">
        <v>311</v>
      </c>
      <c r="C537" s="25" t="s">
        <v>57</v>
      </c>
      <c r="D537" s="19">
        <v>171.78</v>
      </c>
      <c r="E537" s="19">
        <v>172.25</v>
      </c>
      <c r="F537" s="19">
        <v>171.14</v>
      </c>
      <c r="G537" s="19">
        <v>172.09</v>
      </c>
      <c r="H537" s="19">
        <v>172.09</v>
      </c>
      <c r="I537" s="15">
        <v>5084422</v>
      </c>
      <c r="J537" s="19">
        <f t="shared" si="42"/>
        <v>0.18046338339737006</v>
      </c>
      <c r="K537" s="19"/>
      <c r="L537" s="19"/>
      <c r="M537" s="19">
        <f>MAX(G526:G537)</f>
        <v>172.09</v>
      </c>
      <c r="N537" s="19">
        <f t="shared" si="40"/>
        <v>0</v>
      </c>
      <c r="O537" s="9" t="str">
        <f t="shared" si="41"/>
        <v>2024-01</v>
      </c>
    </row>
    <row r="538" spans="1:15" x14ac:dyDescent="0.25">
      <c r="A538" s="9" t="s">
        <v>310</v>
      </c>
      <c r="B538" s="9" t="s">
        <v>311</v>
      </c>
      <c r="C538" s="25" t="s">
        <v>58</v>
      </c>
      <c r="D538" s="19">
        <v>172.09</v>
      </c>
      <c r="E538" s="19">
        <v>172.54</v>
      </c>
      <c r="F538" s="19">
        <v>171.26</v>
      </c>
      <c r="G538" s="19">
        <v>171.55</v>
      </c>
      <c r="H538" s="19">
        <v>171.55</v>
      </c>
      <c r="I538" s="15">
        <v>3649498</v>
      </c>
      <c r="J538" s="19">
        <f t="shared" si="42"/>
        <v>-0.31378929629844388</v>
      </c>
      <c r="K538" s="19"/>
      <c r="L538" s="19"/>
      <c r="M538" s="19">
        <f>MAX(G526:G538)</f>
        <v>172.09</v>
      </c>
      <c r="N538" s="19">
        <f t="shared" si="40"/>
        <v>-0.31378929629844388</v>
      </c>
      <c r="O538" s="9" t="str">
        <f t="shared" si="41"/>
        <v>2024-01</v>
      </c>
    </row>
    <row r="539" spans="1:15" x14ac:dyDescent="0.25">
      <c r="A539" s="9" t="s">
        <v>310</v>
      </c>
      <c r="B539" s="9" t="s">
        <v>311</v>
      </c>
      <c r="C539" s="25" t="s">
        <v>59</v>
      </c>
      <c r="D539" s="19">
        <v>171.55</v>
      </c>
      <c r="E539" s="19">
        <v>172.02</v>
      </c>
      <c r="F539" s="19">
        <v>168.6</v>
      </c>
      <c r="G539" s="19">
        <v>168.6</v>
      </c>
      <c r="H539" s="19">
        <v>168.6</v>
      </c>
      <c r="I539" s="15">
        <v>5328948</v>
      </c>
      <c r="J539" s="19">
        <f t="shared" si="42"/>
        <v>-1.7196152725153113</v>
      </c>
      <c r="K539" s="19"/>
      <c r="L539" s="19"/>
      <c r="M539" s="19">
        <f>MAX(G526:G539)</f>
        <v>172.09</v>
      </c>
      <c r="N539" s="19">
        <f t="shared" si="40"/>
        <v>-2.0280086001510891</v>
      </c>
      <c r="O539" s="9" t="str">
        <f t="shared" si="41"/>
        <v>2024-01</v>
      </c>
    </row>
    <row r="540" spans="1:15" x14ac:dyDescent="0.25">
      <c r="A540" s="9" t="s">
        <v>310</v>
      </c>
      <c r="B540" s="9" t="s">
        <v>311</v>
      </c>
      <c r="C540" s="25" t="s">
        <v>60</v>
      </c>
      <c r="D540" s="19">
        <v>168.6</v>
      </c>
      <c r="E540" s="19">
        <v>169.22</v>
      </c>
      <c r="F540" s="19">
        <v>168.56</v>
      </c>
      <c r="G540" s="19">
        <v>169.04</v>
      </c>
      <c r="H540" s="19">
        <v>169.04</v>
      </c>
      <c r="I540" s="15">
        <v>4547763</v>
      </c>
      <c r="J540" s="19">
        <f t="shared" si="42"/>
        <v>0.26097271648872938</v>
      </c>
      <c r="K540" s="19"/>
      <c r="L540" s="19"/>
      <c r="M540" s="19">
        <f>MAX(G526:G540)</f>
        <v>172.09</v>
      </c>
      <c r="N540" s="19">
        <f t="shared" si="40"/>
        <v>-1.7723284327967987</v>
      </c>
      <c r="O540" s="9" t="str">
        <f t="shared" si="41"/>
        <v>2024-01</v>
      </c>
    </row>
    <row r="541" spans="1:15" x14ac:dyDescent="0.25">
      <c r="A541" s="9" t="s">
        <v>310</v>
      </c>
      <c r="B541" s="9" t="s">
        <v>311</v>
      </c>
      <c r="C541" s="25" t="s">
        <v>61</v>
      </c>
      <c r="D541" s="19">
        <v>169.04</v>
      </c>
      <c r="E541" s="19">
        <v>171.18</v>
      </c>
      <c r="F541" s="19">
        <v>168.32</v>
      </c>
      <c r="G541" s="19">
        <v>169.76</v>
      </c>
      <c r="H541" s="19">
        <v>169.76</v>
      </c>
      <c r="I541" s="15">
        <v>5455599</v>
      </c>
      <c r="J541" s="19">
        <f t="shared" si="42"/>
        <v>0.4259346900141972</v>
      </c>
      <c r="K541" s="19"/>
      <c r="L541" s="19"/>
      <c r="M541" s="19">
        <f>MAX(G526:G541)</f>
        <v>172.09</v>
      </c>
      <c r="N541" s="19">
        <f t="shared" si="40"/>
        <v>-1.3539427043988683</v>
      </c>
      <c r="O541" s="9" t="str">
        <f t="shared" si="41"/>
        <v>2024-01</v>
      </c>
    </row>
    <row r="542" spans="1:15" x14ac:dyDescent="0.25">
      <c r="A542" s="9" t="s">
        <v>310</v>
      </c>
      <c r="B542" s="9" t="s">
        <v>311</v>
      </c>
      <c r="C542" s="25" t="s">
        <v>62</v>
      </c>
      <c r="D542" s="19">
        <v>169.76</v>
      </c>
      <c r="E542" s="19">
        <v>172.58</v>
      </c>
      <c r="F542" s="19">
        <v>169.64</v>
      </c>
      <c r="G542" s="19">
        <v>172</v>
      </c>
      <c r="H542" s="19">
        <v>172</v>
      </c>
      <c r="I542" s="15">
        <v>1606198</v>
      </c>
      <c r="J542" s="19">
        <f t="shared" si="42"/>
        <v>1.3195098963242278</v>
      </c>
      <c r="K542" s="19"/>
      <c r="L542" s="19"/>
      <c r="M542" s="19">
        <f>MAX(G526:G542)</f>
        <v>172.09</v>
      </c>
      <c r="N542" s="19">
        <f t="shared" si="40"/>
        <v>-5.2298216049743398E-2</v>
      </c>
      <c r="O542" s="9" t="str">
        <f t="shared" si="41"/>
        <v>2024-01</v>
      </c>
    </row>
    <row r="543" spans="1:15" x14ac:dyDescent="0.25">
      <c r="A543" s="9" t="s">
        <v>310</v>
      </c>
      <c r="B543" s="9" t="s">
        <v>311</v>
      </c>
      <c r="C543" s="25" t="s">
        <v>63</v>
      </c>
      <c r="D543" s="19">
        <v>172</v>
      </c>
      <c r="E543" s="19">
        <v>172.6</v>
      </c>
      <c r="F543" s="19">
        <v>168.94</v>
      </c>
      <c r="G543" s="19">
        <v>169.24</v>
      </c>
      <c r="H543" s="19">
        <v>169.24</v>
      </c>
      <c r="I543" s="15">
        <v>1899510</v>
      </c>
      <c r="J543" s="19">
        <f t="shared" si="42"/>
        <v>-1.6046511627906923</v>
      </c>
      <c r="K543" s="19"/>
      <c r="L543" s="19"/>
      <c r="M543" s="19">
        <f>MAX(G526:G543)</f>
        <v>172.09</v>
      </c>
      <c r="N543" s="19">
        <f t="shared" si="40"/>
        <v>-1.6561101749084748</v>
      </c>
      <c r="O543" s="9" t="str">
        <f t="shared" si="41"/>
        <v>2024-01</v>
      </c>
    </row>
    <row r="544" spans="1:15" x14ac:dyDescent="0.25">
      <c r="A544" s="9" t="s">
        <v>310</v>
      </c>
      <c r="B544" s="9" t="s">
        <v>311</v>
      </c>
      <c r="C544" s="25" t="s">
        <v>64</v>
      </c>
      <c r="D544" s="19">
        <v>169.24</v>
      </c>
      <c r="E544" s="19">
        <v>170.59</v>
      </c>
      <c r="F544" s="19">
        <v>168.1</v>
      </c>
      <c r="G544" s="19">
        <v>169.94</v>
      </c>
      <c r="H544" s="19">
        <v>169.94</v>
      </c>
      <c r="I544" s="15">
        <v>2900184</v>
      </c>
      <c r="J544" s="19">
        <f t="shared" si="42"/>
        <v>0.41361380288347238</v>
      </c>
      <c r="K544" s="19"/>
      <c r="L544" s="19"/>
      <c r="M544" s="19">
        <f>MAX(G526:G544)</f>
        <v>172.09</v>
      </c>
      <c r="N544" s="19">
        <f t="shared" si="40"/>
        <v>-1.2493462722993813</v>
      </c>
      <c r="O544" s="9" t="str">
        <f t="shared" si="41"/>
        <v>2024-01</v>
      </c>
    </row>
    <row r="545" spans="1:15" x14ac:dyDescent="0.25">
      <c r="A545" s="9" t="s">
        <v>310</v>
      </c>
      <c r="B545" s="9" t="s">
        <v>311</v>
      </c>
      <c r="C545" s="25" t="s">
        <v>65</v>
      </c>
      <c r="D545" s="19">
        <v>169.94</v>
      </c>
      <c r="E545" s="19">
        <v>171.67</v>
      </c>
      <c r="F545" s="19">
        <v>169.07</v>
      </c>
      <c r="G545" s="19">
        <v>171.34</v>
      </c>
      <c r="H545" s="19">
        <v>171.34</v>
      </c>
      <c r="I545" s="15">
        <v>5512567</v>
      </c>
      <c r="J545" s="19">
        <f t="shared" si="42"/>
        <v>0.8238201718253535</v>
      </c>
      <c r="K545" s="19">
        <f t="shared" ref="K545:K608" si="43">AVERAGE(G526:G545)</f>
        <v>164.30849999999998</v>
      </c>
      <c r="L545" s="19"/>
      <c r="M545" s="19">
        <f>MAX(G526:G545)</f>
        <v>172.09</v>
      </c>
      <c r="N545" s="19">
        <f t="shared" si="40"/>
        <v>-0.4358184670811785</v>
      </c>
      <c r="O545" s="9" t="str">
        <f t="shared" si="41"/>
        <v>2024-01</v>
      </c>
    </row>
    <row r="546" spans="1:15" x14ac:dyDescent="0.25">
      <c r="A546" s="9" t="s">
        <v>310</v>
      </c>
      <c r="B546" s="9" t="s">
        <v>311</v>
      </c>
      <c r="C546" s="25" t="s">
        <v>66</v>
      </c>
      <c r="D546" s="19">
        <v>171.34</v>
      </c>
      <c r="E546" s="19">
        <v>173.42</v>
      </c>
      <c r="F546" s="19">
        <v>171.04</v>
      </c>
      <c r="G546" s="19">
        <v>172.3</v>
      </c>
      <c r="H546" s="19">
        <v>172.3</v>
      </c>
      <c r="I546" s="15">
        <v>2717047</v>
      </c>
      <c r="J546" s="19">
        <f t="shared" si="42"/>
        <v>0.56028948289950264</v>
      </c>
      <c r="K546" s="19">
        <f t="shared" si="43"/>
        <v>165.34550000000002</v>
      </c>
      <c r="L546" s="19"/>
      <c r="M546" s="19">
        <f>MAX(G526:G546)</f>
        <v>172.3</v>
      </c>
      <c r="N546" s="19">
        <f t="shared" si="40"/>
        <v>0</v>
      </c>
      <c r="O546" s="9" t="str">
        <f t="shared" si="41"/>
        <v>2024-01</v>
      </c>
    </row>
    <row r="547" spans="1:15" x14ac:dyDescent="0.25">
      <c r="A547" s="9" t="s">
        <v>310</v>
      </c>
      <c r="B547" s="9" t="s">
        <v>311</v>
      </c>
      <c r="C547" s="25" t="s">
        <v>67</v>
      </c>
      <c r="D547" s="19">
        <v>172.3</v>
      </c>
      <c r="E547" s="19">
        <v>172.7</v>
      </c>
      <c r="F547" s="19">
        <v>170.47</v>
      </c>
      <c r="G547" s="19">
        <v>171.93</v>
      </c>
      <c r="H547" s="19">
        <v>171.93</v>
      </c>
      <c r="I547" s="15">
        <v>4047810</v>
      </c>
      <c r="J547" s="19">
        <f t="shared" si="42"/>
        <v>-0.2147417295415</v>
      </c>
      <c r="K547" s="19">
        <f t="shared" si="43"/>
        <v>166.37449999999998</v>
      </c>
      <c r="L547" s="19"/>
      <c r="M547" s="19">
        <f>MAX(G526:G547)</f>
        <v>172.3</v>
      </c>
      <c r="N547" s="19">
        <f t="shared" si="40"/>
        <v>-0.2147417295415</v>
      </c>
      <c r="O547" s="9" t="str">
        <f t="shared" si="41"/>
        <v>2024-01</v>
      </c>
    </row>
    <row r="548" spans="1:15" x14ac:dyDescent="0.25">
      <c r="A548" s="9" t="s">
        <v>310</v>
      </c>
      <c r="B548" s="9" t="s">
        <v>311</v>
      </c>
      <c r="C548" s="25" t="s">
        <v>68</v>
      </c>
      <c r="D548" s="19">
        <v>171.93</v>
      </c>
      <c r="E548" s="19">
        <v>171.98</v>
      </c>
      <c r="F548" s="19">
        <v>163.41999999999999</v>
      </c>
      <c r="G548" s="19">
        <v>164.06</v>
      </c>
      <c r="H548" s="19">
        <v>164.06</v>
      </c>
      <c r="I548" s="15">
        <v>5207509</v>
      </c>
      <c r="J548" s="19">
        <f t="shared" si="42"/>
        <v>-4.5774443087302998</v>
      </c>
      <c r="K548" s="19">
        <f t="shared" si="43"/>
        <v>166.90950000000001</v>
      </c>
      <c r="L548" s="19"/>
      <c r="M548" s="19">
        <f>MAX(G526:G548)</f>
        <v>172.3</v>
      </c>
      <c r="N548" s="19">
        <f t="shared" si="40"/>
        <v>-4.782356355194433</v>
      </c>
      <c r="O548" s="9" t="str">
        <f t="shared" si="41"/>
        <v>2024-01</v>
      </c>
    </row>
    <row r="549" spans="1:15" x14ac:dyDescent="0.25">
      <c r="A549" s="9" t="s">
        <v>310</v>
      </c>
      <c r="B549" s="9" t="s">
        <v>311</v>
      </c>
      <c r="C549" s="25" t="s">
        <v>69</v>
      </c>
      <c r="D549" s="19">
        <v>164.06</v>
      </c>
      <c r="E549" s="19">
        <v>164.9</v>
      </c>
      <c r="F549" s="19">
        <v>161.6</v>
      </c>
      <c r="G549" s="19">
        <v>162.19</v>
      </c>
      <c r="H549" s="19">
        <v>162.19</v>
      </c>
      <c r="I549" s="15">
        <v>5831599</v>
      </c>
      <c r="J549" s="19">
        <f t="shared" si="42"/>
        <v>-1.139826892600271</v>
      </c>
      <c r="K549" s="19">
        <f t="shared" si="43"/>
        <v>167.22150000000002</v>
      </c>
      <c r="L549" s="19"/>
      <c r="M549" s="19">
        <f>MAX(G526:G549)</f>
        <v>172.3</v>
      </c>
      <c r="N549" s="19">
        <f t="shared" si="40"/>
        <v>-5.8676726639582197</v>
      </c>
      <c r="O549" s="9" t="str">
        <f t="shared" si="41"/>
        <v>2024-02</v>
      </c>
    </row>
    <row r="550" spans="1:15" x14ac:dyDescent="0.25">
      <c r="A550" s="9" t="s">
        <v>310</v>
      </c>
      <c r="B550" s="9" t="s">
        <v>311</v>
      </c>
      <c r="C550" s="25" t="s">
        <v>70</v>
      </c>
      <c r="D550" s="19">
        <v>162.19</v>
      </c>
      <c r="E550" s="19">
        <v>162.43</v>
      </c>
      <c r="F550" s="19">
        <v>155.88</v>
      </c>
      <c r="G550" s="19">
        <v>155.96</v>
      </c>
      <c r="H550" s="19">
        <v>155.96</v>
      </c>
      <c r="I550" s="15">
        <v>5088985</v>
      </c>
      <c r="J550" s="19">
        <f t="shared" si="42"/>
        <v>-3.8411739318083664</v>
      </c>
      <c r="K550" s="19">
        <f t="shared" si="43"/>
        <v>167.20949999999999</v>
      </c>
      <c r="L550" s="19"/>
      <c r="M550" s="19">
        <f>MAX(G526:G550)</f>
        <v>172.3</v>
      </c>
      <c r="N550" s="19">
        <f t="shared" si="40"/>
        <v>-9.4834590829947771</v>
      </c>
      <c r="O550" s="9" t="str">
        <f t="shared" si="41"/>
        <v>2024-02</v>
      </c>
    </row>
    <row r="551" spans="1:15" x14ac:dyDescent="0.25">
      <c r="A551" s="9" t="s">
        <v>310</v>
      </c>
      <c r="B551" s="9" t="s">
        <v>311</v>
      </c>
      <c r="C551" s="25" t="s">
        <v>71</v>
      </c>
      <c r="D551" s="19">
        <v>155.96</v>
      </c>
      <c r="E551" s="19">
        <v>157.72</v>
      </c>
      <c r="F551" s="19">
        <v>154.34</v>
      </c>
      <c r="G551" s="19">
        <v>157.68</v>
      </c>
      <c r="H551" s="19">
        <v>157.68</v>
      </c>
      <c r="I551" s="15">
        <v>6474655</v>
      </c>
      <c r="J551" s="19">
        <f t="shared" si="42"/>
        <v>1.1028468838163623</v>
      </c>
      <c r="K551" s="19">
        <f t="shared" si="43"/>
        <v>167.28550000000001</v>
      </c>
      <c r="L551" s="19"/>
      <c r="M551" s="19">
        <f>MAX(G526:G551)</f>
        <v>172.3</v>
      </c>
      <c r="N551" s="19">
        <f t="shared" si="40"/>
        <v>-8.4852002321532218</v>
      </c>
      <c r="O551" s="9" t="str">
        <f t="shared" si="41"/>
        <v>2024-02</v>
      </c>
    </row>
    <row r="552" spans="1:15" x14ac:dyDescent="0.25">
      <c r="A552" s="9" t="s">
        <v>310</v>
      </c>
      <c r="B552" s="9" t="s">
        <v>311</v>
      </c>
      <c r="C552" s="25" t="s">
        <v>72</v>
      </c>
      <c r="D552" s="19">
        <v>157.68</v>
      </c>
      <c r="E552" s="19">
        <v>160.01</v>
      </c>
      <c r="F552" s="19">
        <v>157.28</v>
      </c>
      <c r="G552" s="19">
        <v>159.63999999999999</v>
      </c>
      <c r="H552" s="19">
        <v>159.63999999999999</v>
      </c>
      <c r="I552" s="15">
        <v>4703294</v>
      </c>
      <c r="J552" s="19">
        <f t="shared" si="42"/>
        <v>1.2430238457635587</v>
      </c>
      <c r="K552" s="19">
        <f t="shared" si="43"/>
        <v>167.363</v>
      </c>
      <c r="L552" s="19"/>
      <c r="M552" s="19">
        <f>MAX(G526:G552)</f>
        <v>172.3</v>
      </c>
      <c r="N552" s="19">
        <f t="shared" si="40"/>
        <v>-7.3476494486361137</v>
      </c>
      <c r="O552" s="9" t="str">
        <f t="shared" si="41"/>
        <v>2024-02</v>
      </c>
    </row>
    <row r="553" spans="1:15" x14ac:dyDescent="0.25">
      <c r="A553" s="9" t="s">
        <v>310</v>
      </c>
      <c r="B553" s="9" t="s">
        <v>311</v>
      </c>
      <c r="C553" s="25" t="s">
        <v>73</v>
      </c>
      <c r="D553" s="19">
        <v>159.63999999999999</v>
      </c>
      <c r="E553" s="19">
        <v>160.69999999999999</v>
      </c>
      <c r="F553" s="19">
        <v>159.41</v>
      </c>
      <c r="G553" s="19">
        <v>160.21</v>
      </c>
      <c r="H553" s="19">
        <v>160.21</v>
      </c>
      <c r="I553" s="15">
        <v>6418636</v>
      </c>
      <c r="J553" s="19">
        <f t="shared" si="42"/>
        <v>0.35705337008269961</v>
      </c>
      <c r="K553" s="19">
        <f t="shared" si="43"/>
        <v>167.49849999999998</v>
      </c>
      <c r="L553" s="19"/>
      <c r="M553" s="19">
        <f>MAX(G526:G553)</f>
        <v>172.3</v>
      </c>
      <c r="N553" s="19">
        <f t="shared" si="40"/>
        <v>-7.0168311085316324</v>
      </c>
      <c r="O553" s="9" t="str">
        <f t="shared" si="41"/>
        <v>2024-02</v>
      </c>
    </row>
    <row r="554" spans="1:15" x14ac:dyDescent="0.25">
      <c r="A554" s="9" t="s">
        <v>310</v>
      </c>
      <c r="B554" s="9" t="s">
        <v>311</v>
      </c>
      <c r="C554" s="25" t="s">
        <v>74</v>
      </c>
      <c r="D554" s="19">
        <v>160.21</v>
      </c>
      <c r="E554" s="19">
        <v>163.87</v>
      </c>
      <c r="F554" s="19">
        <v>159.80000000000001</v>
      </c>
      <c r="G554" s="19">
        <v>162.74</v>
      </c>
      <c r="H554" s="19">
        <v>162.74</v>
      </c>
      <c r="I554" s="15">
        <v>2830315</v>
      </c>
      <c r="J554" s="19">
        <f t="shared" si="42"/>
        <v>1.5791773297546976</v>
      </c>
      <c r="K554" s="19">
        <f t="shared" si="43"/>
        <v>167.16249999999999</v>
      </c>
      <c r="L554" s="19"/>
      <c r="M554" s="19">
        <f>MAX(G526:G554)</f>
        <v>172.3</v>
      </c>
      <c r="N554" s="19">
        <f t="shared" si="40"/>
        <v>-5.5484619849100412</v>
      </c>
      <c r="O554" s="9" t="str">
        <f t="shared" si="41"/>
        <v>2024-02</v>
      </c>
    </row>
    <row r="555" spans="1:15" x14ac:dyDescent="0.25">
      <c r="A555" s="9" t="s">
        <v>310</v>
      </c>
      <c r="B555" s="9" t="s">
        <v>311</v>
      </c>
      <c r="C555" s="25" t="s">
        <v>75</v>
      </c>
      <c r="D555" s="19">
        <v>162.74</v>
      </c>
      <c r="E555" s="19">
        <v>168.62</v>
      </c>
      <c r="F555" s="19">
        <v>162.5</v>
      </c>
      <c r="G555" s="19">
        <v>168.39</v>
      </c>
      <c r="H555" s="19">
        <v>168.39</v>
      </c>
      <c r="I555" s="15">
        <v>3779998</v>
      </c>
      <c r="J555" s="19">
        <f t="shared" si="42"/>
        <v>3.47179550202776</v>
      </c>
      <c r="K555" s="19">
        <f t="shared" si="43"/>
        <v>167.02199999999999</v>
      </c>
      <c r="L555" s="19"/>
      <c r="M555" s="19">
        <f>MAX(G526:G555)</f>
        <v>172.3</v>
      </c>
      <c r="N555" s="19">
        <f t="shared" si="40"/>
        <v>-2.2692977365061084</v>
      </c>
      <c r="O555" s="9" t="str">
        <f t="shared" si="41"/>
        <v>2024-02</v>
      </c>
    </row>
    <row r="556" spans="1:15" x14ac:dyDescent="0.25">
      <c r="A556" s="9" t="s">
        <v>310</v>
      </c>
      <c r="B556" s="9" t="s">
        <v>311</v>
      </c>
      <c r="C556" s="25" t="s">
        <v>76</v>
      </c>
      <c r="D556" s="19">
        <v>168.39</v>
      </c>
      <c r="E556" s="19">
        <v>172.38</v>
      </c>
      <c r="F556" s="19">
        <v>168.25</v>
      </c>
      <c r="G556" s="19">
        <v>171.83</v>
      </c>
      <c r="H556" s="19">
        <v>171.83</v>
      </c>
      <c r="I556" s="15">
        <v>5575498</v>
      </c>
      <c r="J556" s="19">
        <f t="shared" si="42"/>
        <v>2.0428766553833522</v>
      </c>
      <c r="K556" s="19">
        <f t="shared" si="43"/>
        <v>167.02449999999996</v>
      </c>
      <c r="L556" s="19"/>
      <c r="M556" s="19">
        <f>MAX(G526:G556)</f>
        <v>172.3</v>
      </c>
      <c r="N556" s="19">
        <f t="shared" si="40"/>
        <v>-0.27278003482298252</v>
      </c>
      <c r="O556" s="9" t="str">
        <f t="shared" si="41"/>
        <v>2024-02</v>
      </c>
    </row>
    <row r="557" spans="1:15" x14ac:dyDescent="0.25">
      <c r="A557" s="9" t="s">
        <v>310</v>
      </c>
      <c r="B557" s="9" t="s">
        <v>311</v>
      </c>
      <c r="C557" s="25" t="s">
        <v>77</v>
      </c>
      <c r="D557" s="19">
        <v>171.83</v>
      </c>
      <c r="E557" s="19">
        <v>172.35</v>
      </c>
      <c r="F557" s="19">
        <v>171.3</v>
      </c>
      <c r="G557" s="19">
        <v>171.69</v>
      </c>
      <c r="H557" s="19">
        <v>171.69</v>
      </c>
      <c r="I557" s="15">
        <v>2192649</v>
      </c>
      <c r="J557" s="19">
        <f t="shared" si="42"/>
        <v>-8.1475877320616175E-2</v>
      </c>
      <c r="K557" s="19">
        <f t="shared" si="43"/>
        <v>167.00449999999995</v>
      </c>
      <c r="L557" s="19"/>
      <c r="M557" s="19">
        <f>MAX(G526:G557)</f>
        <v>172.3</v>
      </c>
      <c r="N557" s="19">
        <f t="shared" si="40"/>
        <v>-0.35403366221707117</v>
      </c>
      <c r="O557" s="9" t="str">
        <f t="shared" si="41"/>
        <v>2024-02</v>
      </c>
    </row>
    <row r="558" spans="1:15" x14ac:dyDescent="0.25">
      <c r="A558" s="9" t="s">
        <v>310</v>
      </c>
      <c r="B558" s="9" t="s">
        <v>311</v>
      </c>
      <c r="C558" s="25" t="s">
        <v>78</v>
      </c>
      <c r="D558" s="19">
        <v>171.69</v>
      </c>
      <c r="E558" s="19">
        <v>172.18</v>
      </c>
      <c r="F558" s="19">
        <v>168.37</v>
      </c>
      <c r="G558" s="19">
        <v>168.75</v>
      </c>
      <c r="H558" s="19">
        <v>168.75</v>
      </c>
      <c r="I558" s="15">
        <v>4321524</v>
      </c>
      <c r="J558" s="19">
        <f t="shared" si="42"/>
        <v>-1.7123886073737538</v>
      </c>
      <c r="K558" s="19">
        <f t="shared" si="43"/>
        <v>166.86449999999999</v>
      </c>
      <c r="L558" s="19"/>
      <c r="M558" s="19">
        <f>MAX(G526:G558)</f>
        <v>172.3</v>
      </c>
      <c r="N558" s="19">
        <f t="shared" si="40"/>
        <v>-2.0603598374927516</v>
      </c>
      <c r="O558" s="9" t="str">
        <f t="shared" si="41"/>
        <v>2024-02</v>
      </c>
    </row>
    <row r="559" spans="1:15" x14ac:dyDescent="0.25">
      <c r="A559" s="9" t="s">
        <v>310</v>
      </c>
      <c r="B559" s="9" t="s">
        <v>311</v>
      </c>
      <c r="C559" s="25" t="s">
        <v>79</v>
      </c>
      <c r="D559" s="19">
        <v>168.75</v>
      </c>
      <c r="E559" s="19">
        <v>168.76</v>
      </c>
      <c r="F559" s="19">
        <v>163.26</v>
      </c>
      <c r="G559" s="19">
        <v>164.15</v>
      </c>
      <c r="H559" s="19">
        <v>164.15</v>
      </c>
      <c r="I559" s="15">
        <v>3629836</v>
      </c>
      <c r="J559" s="19">
        <f t="shared" si="42"/>
        <v>-2.7259259259259228</v>
      </c>
      <c r="K559" s="19">
        <f t="shared" si="43"/>
        <v>166.64200000000002</v>
      </c>
      <c r="L559" s="19"/>
      <c r="M559" s="19">
        <f>MAX(G526:G559)</f>
        <v>172.3</v>
      </c>
      <c r="N559" s="19">
        <f t="shared" si="40"/>
        <v>-4.7301218804410938</v>
      </c>
      <c r="O559" s="9" t="str">
        <f t="shared" si="41"/>
        <v>2024-02</v>
      </c>
    </row>
    <row r="560" spans="1:15" x14ac:dyDescent="0.25">
      <c r="A560" s="9" t="s">
        <v>310</v>
      </c>
      <c r="B560" s="9" t="s">
        <v>311</v>
      </c>
      <c r="C560" s="25" t="s">
        <v>80</v>
      </c>
      <c r="D560" s="19">
        <v>164.15</v>
      </c>
      <c r="E560" s="19">
        <v>165.06</v>
      </c>
      <c r="F560" s="19">
        <v>158.47</v>
      </c>
      <c r="G560" s="19">
        <v>158.87</v>
      </c>
      <c r="H560" s="19">
        <v>158.87</v>
      </c>
      <c r="I560" s="15">
        <v>7069277</v>
      </c>
      <c r="J560" s="19">
        <f t="shared" si="42"/>
        <v>-3.216570210173622</v>
      </c>
      <c r="K560" s="19">
        <f t="shared" si="43"/>
        <v>166.13350000000003</v>
      </c>
      <c r="L560" s="19"/>
      <c r="M560" s="19">
        <f>MAX(G526:G560)</f>
        <v>172.3</v>
      </c>
      <c r="N560" s="19">
        <f t="shared" si="40"/>
        <v>-7.7945443993035433</v>
      </c>
      <c r="O560" s="9" t="str">
        <f t="shared" si="41"/>
        <v>2024-02</v>
      </c>
    </row>
    <row r="561" spans="1:15" x14ac:dyDescent="0.25">
      <c r="A561" s="9" t="s">
        <v>310</v>
      </c>
      <c r="B561" s="9" t="s">
        <v>311</v>
      </c>
      <c r="C561" s="25" t="s">
        <v>81</v>
      </c>
      <c r="D561" s="19">
        <v>158.87</v>
      </c>
      <c r="E561" s="19">
        <v>161.11000000000001</v>
      </c>
      <c r="F561" s="19">
        <v>158.59</v>
      </c>
      <c r="G561" s="19">
        <v>160.04</v>
      </c>
      <c r="H561" s="19">
        <v>160.04</v>
      </c>
      <c r="I561" s="15">
        <v>5464539</v>
      </c>
      <c r="J561" s="19">
        <f t="shared" si="42"/>
        <v>0.73645118650468144</v>
      </c>
      <c r="K561" s="19">
        <f t="shared" si="43"/>
        <v>165.64750000000001</v>
      </c>
      <c r="L561" s="19"/>
      <c r="M561" s="19">
        <f>MAX(G526:G561)</f>
        <v>172.3</v>
      </c>
      <c r="N561" s="19">
        <f t="shared" si="40"/>
        <v>-7.1154962275101683</v>
      </c>
      <c r="O561" s="9" t="str">
        <f t="shared" si="41"/>
        <v>2024-02</v>
      </c>
    </row>
    <row r="562" spans="1:15" x14ac:dyDescent="0.25">
      <c r="A562" s="9" t="s">
        <v>310</v>
      </c>
      <c r="B562" s="9" t="s">
        <v>311</v>
      </c>
      <c r="C562" s="25" t="s">
        <v>82</v>
      </c>
      <c r="D562" s="19">
        <v>160.04</v>
      </c>
      <c r="E562" s="19">
        <v>160.66999999999999</v>
      </c>
      <c r="F562" s="19">
        <v>158.35</v>
      </c>
      <c r="G562" s="19">
        <v>158.46</v>
      </c>
      <c r="H562" s="19">
        <v>158.46</v>
      </c>
      <c r="I562" s="15">
        <v>4793643</v>
      </c>
      <c r="J562" s="19">
        <f t="shared" si="42"/>
        <v>-0.9872531867033143</v>
      </c>
      <c r="K562" s="19">
        <f t="shared" si="43"/>
        <v>164.97050000000002</v>
      </c>
      <c r="L562" s="19"/>
      <c r="M562" s="19">
        <f>MAX(G526:G562)</f>
        <v>172.3</v>
      </c>
      <c r="N562" s="19">
        <f t="shared" si="40"/>
        <v>-8.0325014509576338</v>
      </c>
      <c r="O562" s="9" t="str">
        <f t="shared" si="41"/>
        <v>2024-02</v>
      </c>
    </row>
    <row r="563" spans="1:15" x14ac:dyDescent="0.25">
      <c r="A563" s="9" t="s">
        <v>310</v>
      </c>
      <c r="B563" s="9" t="s">
        <v>311</v>
      </c>
      <c r="C563" s="25" t="s">
        <v>83</v>
      </c>
      <c r="D563" s="19">
        <v>158.46</v>
      </c>
      <c r="E563" s="19">
        <v>159.02000000000001</v>
      </c>
      <c r="F563" s="19">
        <v>156.65</v>
      </c>
      <c r="G563" s="19">
        <v>156.82</v>
      </c>
      <c r="H563" s="19">
        <v>156.82</v>
      </c>
      <c r="I563" s="15">
        <v>5466673</v>
      </c>
      <c r="J563" s="19">
        <f t="shared" si="42"/>
        <v>-1.0349615044806353</v>
      </c>
      <c r="K563" s="19">
        <f t="shared" si="43"/>
        <v>164.34950000000001</v>
      </c>
      <c r="L563" s="19"/>
      <c r="M563" s="19">
        <f>MAX(G526:G563)</f>
        <v>172.3</v>
      </c>
      <c r="N563" s="19">
        <f t="shared" si="40"/>
        <v>-8.9843296575740084</v>
      </c>
      <c r="O563" s="9" t="str">
        <f t="shared" si="41"/>
        <v>2024-02</v>
      </c>
    </row>
    <row r="564" spans="1:15" x14ac:dyDescent="0.25">
      <c r="A564" s="9" t="s">
        <v>310</v>
      </c>
      <c r="B564" s="9" t="s">
        <v>311</v>
      </c>
      <c r="C564" s="25" t="s">
        <v>84</v>
      </c>
      <c r="D564" s="19">
        <v>156.82</v>
      </c>
      <c r="E564" s="19">
        <v>159.69999999999999</v>
      </c>
      <c r="F564" s="19">
        <v>156.6</v>
      </c>
      <c r="G564" s="19">
        <v>158.18</v>
      </c>
      <c r="H564" s="19">
        <v>158.18</v>
      </c>
      <c r="I564" s="15">
        <v>4628568</v>
      </c>
      <c r="J564" s="19">
        <f t="shared" si="42"/>
        <v>0.86723632189772593</v>
      </c>
      <c r="K564" s="19">
        <f t="shared" si="43"/>
        <v>163.76150000000001</v>
      </c>
      <c r="L564" s="19"/>
      <c r="M564" s="19">
        <f>MAX(G526:G564)</f>
        <v>172.3</v>
      </c>
      <c r="N564" s="19">
        <f t="shared" si="40"/>
        <v>-8.1950087057457939</v>
      </c>
      <c r="O564" s="9" t="str">
        <f t="shared" si="41"/>
        <v>2024-02</v>
      </c>
    </row>
    <row r="565" spans="1:15" x14ac:dyDescent="0.25">
      <c r="A565" s="9" t="s">
        <v>310</v>
      </c>
      <c r="B565" s="9" t="s">
        <v>311</v>
      </c>
      <c r="C565" s="25" t="s">
        <v>85</v>
      </c>
      <c r="D565" s="19">
        <v>158.18</v>
      </c>
      <c r="E565" s="19">
        <v>158.52000000000001</v>
      </c>
      <c r="F565" s="19">
        <v>157.16999999999999</v>
      </c>
      <c r="G565" s="19">
        <v>158.28</v>
      </c>
      <c r="H565" s="19">
        <v>158.28</v>
      </c>
      <c r="I565" s="15">
        <v>3059003</v>
      </c>
      <c r="J565" s="19">
        <f t="shared" si="42"/>
        <v>6.321911746111665E-2</v>
      </c>
      <c r="K565" s="19">
        <f t="shared" si="43"/>
        <v>163.10850000000002</v>
      </c>
      <c r="L565" s="19"/>
      <c r="M565" s="19">
        <f>MAX(G526:G565)</f>
        <v>172.3</v>
      </c>
      <c r="N565" s="19">
        <f t="shared" si="40"/>
        <v>-8.1369704004643122</v>
      </c>
      <c r="O565" s="9" t="str">
        <f t="shared" si="41"/>
        <v>2024-02</v>
      </c>
    </row>
    <row r="566" spans="1:15" x14ac:dyDescent="0.25">
      <c r="A566" s="9" t="s">
        <v>310</v>
      </c>
      <c r="B566" s="9" t="s">
        <v>311</v>
      </c>
      <c r="C566" s="25" t="s">
        <v>86</v>
      </c>
      <c r="D566" s="19">
        <v>158.28</v>
      </c>
      <c r="E566" s="19">
        <v>158.69</v>
      </c>
      <c r="F566" s="19">
        <v>155.49</v>
      </c>
      <c r="G566" s="19">
        <v>155.71</v>
      </c>
      <c r="H566" s="19">
        <v>155.71</v>
      </c>
      <c r="I566" s="15">
        <v>5572912</v>
      </c>
      <c r="J566" s="19">
        <f t="shared" si="42"/>
        <v>-1.6237048268890533</v>
      </c>
      <c r="K566" s="19">
        <f t="shared" si="43"/>
        <v>162.279</v>
      </c>
      <c r="L566" s="19"/>
      <c r="M566" s="19">
        <f>MAX(G526:G566)</f>
        <v>172.3</v>
      </c>
      <c r="N566" s="19">
        <f t="shared" si="40"/>
        <v>-9.628554846198492</v>
      </c>
      <c r="O566" s="9" t="str">
        <f t="shared" si="41"/>
        <v>2024-02</v>
      </c>
    </row>
    <row r="567" spans="1:15" x14ac:dyDescent="0.25">
      <c r="A567" s="9" t="s">
        <v>310</v>
      </c>
      <c r="B567" s="9" t="s">
        <v>311</v>
      </c>
      <c r="C567" s="25" t="s">
        <v>87</v>
      </c>
      <c r="D567" s="19">
        <v>155.71</v>
      </c>
      <c r="E567" s="19">
        <v>156.33000000000001</v>
      </c>
      <c r="F567" s="19">
        <v>152.77000000000001</v>
      </c>
      <c r="G567" s="19">
        <v>153.31</v>
      </c>
      <c r="H567" s="19">
        <v>153.31</v>
      </c>
      <c r="I567" s="15">
        <v>5627720</v>
      </c>
      <c r="J567" s="19">
        <f t="shared" si="42"/>
        <v>-1.5413268255089625</v>
      </c>
      <c r="K567" s="19">
        <f t="shared" si="43"/>
        <v>161.34800000000001</v>
      </c>
      <c r="L567" s="19"/>
      <c r="M567" s="19">
        <f>MAX(G526:G567)</f>
        <v>172.3</v>
      </c>
      <c r="N567" s="19">
        <f t="shared" si="40"/>
        <v>-11.021474172954154</v>
      </c>
      <c r="O567" s="9" t="str">
        <f t="shared" si="41"/>
        <v>2024-02</v>
      </c>
    </row>
    <row r="568" spans="1:15" x14ac:dyDescent="0.25">
      <c r="A568" s="9" t="s">
        <v>310</v>
      </c>
      <c r="B568" s="9" t="s">
        <v>311</v>
      </c>
      <c r="C568" s="25" t="s">
        <v>88</v>
      </c>
      <c r="D568" s="19">
        <v>153.31</v>
      </c>
      <c r="E568" s="19">
        <v>154.19999999999999</v>
      </c>
      <c r="F568" s="19">
        <v>149.27000000000001</v>
      </c>
      <c r="G568" s="19">
        <v>149.56</v>
      </c>
      <c r="H568" s="19">
        <v>149.56</v>
      </c>
      <c r="I568" s="15">
        <v>2316056</v>
      </c>
      <c r="J568" s="19">
        <f t="shared" si="42"/>
        <v>-2.4460243950166332</v>
      </c>
      <c r="K568" s="19">
        <f t="shared" si="43"/>
        <v>160.62299999999999</v>
      </c>
      <c r="L568" s="19"/>
      <c r="M568" s="19">
        <f>MAX(G526:G568)</f>
        <v>172.3</v>
      </c>
      <c r="N568" s="19">
        <f t="shared" si="40"/>
        <v>-13.19791062100987</v>
      </c>
      <c r="O568" s="9" t="str">
        <f t="shared" si="41"/>
        <v>2024-02</v>
      </c>
    </row>
    <row r="569" spans="1:15" x14ac:dyDescent="0.25">
      <c r="A569" s="9" t="s">
        <v>310</v>
      </c>
      <c r="B569" s="9" t="s">
        <v>311</v>
      </c>
      <c r="C569" s="25" t="s">
        <v>89</v>
      </c>
      <c r="D569" s="19">
        <v>149.56</v>
      </c>
      <c r="E569" s="19">
        <v>150.76</v>
      </c>
      <c r="F569" s="19">
        <v>149.09</v>
      </c>
      <c r="G569" s="19">
        <v>150.5</v>
      </c>
      <c r="H569" s="19">
        <v>150.5</v>
      </c>
      <c r="I569" s="15">
        <v>3114402</v>
      </c>
      <c r="J569" s="19">
        <f t="shared" si="42"/>
        <v>0.6285102968708195</v>
      </c>
      <c r="K569" s="19">
        <f t="shared" si="43"/>
        <v>160.03850000000003</v>
      </c>
      <c r="L569" s="19"/>
      <c r="M569" s="19">
        <f>MAX(G526:G569)</f>
        <v>172.3</v>
      </c>
      <c r="N569" s="19">
        <f t="shared" si="40"/>
        <v>-12.652350551363906</v>
      </c>
      <c r="O569" s="9" t="str">
        <f t="shared" si="41"/>
        <v>2024-02</v>
      </c>
    </row>
    <row r="570" spans="1:15" x14ac:dyDescent="0.25">
      <c r="A570" s="9" t="s">
        <v>310</v>
      </c>
      <c r="B570" s="9" t="s">
        <v>311</v>
      </c>
      <c r="C570" s="25" t="s">
        <v>90</v>
      </c>
      <c r="D570" s="19">
        <v>150.5</v>
      </c>
      <c r="E570" s="19">
        <v>151.79</v>
      </c>
      <c r="F570" s="19">
        <v>150.24</v>
      </c>
      <c r="G570" s="19">
        <v>150.5</v>
      </c>
      <c r="H570" s="19">
        <v>150.5</v>
      </c>
      <c r="I570" s="15">
        <v>3606224</v>
      </c>
      <c r="J570" s="19">
        <f t="shared" si="42"/>
        <v>0</v>
      </c>
      <c r="K570" s="19">
        <f t="shared" si="43"/>
        <v>159.76550000000003</v>
      </c>
      <c r="L570" s="19"/>
      <c r="M570" s="19">
        <f>MAX(G526:G570)</f>
        <v>172.3</v>
      </c>
      <c r="N570" s="19">
        <f t="shared" si="40"/>
        <v>-12.652350551363906</v>
      </c>
      <c r="O570" s="9" t="str">
        <f t="shared" si="41"/>
        <v>2024-03</v>
      </c>
    </row>
    <row r="571" spans="1:15" x14ac:dyDescent="0.25">
      <c r="A571" s="9" t="s">
        <v>310</v>
      </c>
      <c r="B571" s="9" t="s">
        <v>311</v>
      </c>
      <c r="C571" s="25" t="s">
        <v>91</v>
      </c>
      <c r="D571" s="19">
        <v>150.5</v>
      </c>
      <c r="E571" s="19">
        <v>150.99</v>
      </c>
      <c r="F571" s="19">
        <v>147.57</v>
      </c>
      <c r="G571" s="19">
        <v>148.13</v>
      </c>
      <c r="H571" s="19">
        <v>148.13</v>
      </c>
      <c r="I571" s="15">
        <v>4264098</v>
      </c>
      <c r="J571" s="19">
        <f t="shared" si="42"/>
        <v>-1.5747508305647873</v>
      </c>
      <c r="K571" s="19">
        <f t="shared" si="43"/>
        <v>159.28800000000001</v>
      </c>
      <c r="L571" s="19"/>
      <c r="M571" s="19">
        <f>MAX(G526:G571)</f>
        <v>172.3</v>
      </c>
      <c r="N571" s="19">
        <f t="shared" si="40"/>
        <v>-14.027858386535122</v>
      </c>
      <c r="O571" s="9" t="str">
        <f t="shared" si="41"/>
        <v>2024-03</v>
      </c>
    </row>
    <row r="572" spans="1:15" x14ac:dyDescent="0.25">
      <c r="A572" s="9" t="s">
        <v>310</v>
      </c>
      <c r="B572" s="9" t="s">
        <v>311</v>
      </c>
      <c r="C572" s="25" t="s">
        <v>92</v>
      </c>
      <c r="D572" s="19">
        <v>148.13</v>
      </c>
      <c r="E572" s="19">
        <v>149.21</v>
      </c>
      <c r="F572" s="19">
        <v>147.30000000000001</v>
      </c>
      <c r="G572" s="19">
        <v>148.91999999999999</v>
      </c>
      <c r="H572" s="19">
        <v>148.91999999999999</v>
      </c>
      <c r="I572" s="15">
        <v>4439979</v>
      </c>
      <c r="J572" s="19">
        <f t="shared" si="42"/>
        <v>0.53331533112805785</v>
      </c>
      <c r="K572" s="19">
        <f t="shared" si="43"/>
        <v>158.75200000000001</v>
      </c>
      <c r="L572" s="19"/>
      <c r="M572" s="19">
        <f>MAX(G526:G572)</f>
        <v>172.3</v>
      </c>
      <c r="N572" s="19">
        <f t="shared" si="40"/>
        <v>-13.56935577481139</v>
      </c>
      <c r="O572" s="9" t="str">
        <f t="shared" si="41"/>
        <v>2024-03</v>
      </c>
    </row>
    <row r="573" spans="1:15" x14ac:dyDescent="0.25">
      <c r="A573" s="9" t="s">
        <v>310</v>
      </c>
      <c r="B573" s="9" t="s">
        <v>311</v>
      </c>
      <c r="C573" s="25" t="s">
        <v>93</v>
      </c>
      <c r="D573" s="19">
        <v>148.91999999999999</v>
      </c>
      <c r="E573" s="19">
        <v>149.27000000000001</v>
      </c>
      <c r="F573" s="19">
        <v>148.82</v>
      </c>
      <c r="G573" s="19">
        <v>149.06</v>
      </c>
      <c r="H573" s="19">
        <v>149.06</v>
      </c>
      <c r="I573" s="15">
        <v>3989614</v>
      </c>
      <c r="J573" s="19">
        <f t="shared" si="42"/>
        <v>9.4010206822464942E-2</v>
      </c>
      <c r="K573" s="19">
        <f t="shared" si="43"/>
        <v>158.19450000000001</v>
      </c>
      <c r="L573" s="19"/>
      <c r="M573" s="19">
        <f>MAX(G526:G573)</f>
        <v>172.3</v>
      </c>
      <c r="N573" s="19">
        <f t="shared" si="40"/>
        <v>-13.488102147417299</v>
      </c>
      <c r="O573" s="9" t="str">
        <f t="shared" si="41"/>
        <v>2024-03</v>
      </c>
    </row>
    <row r="574" spans="1:15" x14ac:dyDescent="0.25">
      <c r="A574" s="9" t="s">
        <v>310</v>
      </c>
      <c r="B574" s="9" t="s">
        <v>311</v>
      </c>
      <c r="C574" s="25" t="s">
        <v>94</v>
      </c>
      <c r="D574" s="19">
        <v>149.06</v>
      </c>
      <c r="E574" s="19">
        <v>149.16999999999999</v>
      </c>
      <c r="F574" s="19">
        <v>148.30000000000001</v>
      </c>
      <c r="G574" s="19">
        <v>149.05000000000001</v>
      </c>
      <c r="H574" s="19">
        <v>149.05000000000001</v>
      </c>
      <c r="I574" s="15">
        <v>5180457</v>
      </c>
      <c r="J574" s="19">
        <f t="shared" si="42"/>
        <v>-6.7087079028518085E-3</v>
      </c>
      <c r="K574" s="19">
        <f t="shared" si="43"/>
        <v>157.51000000000002</v>
      </c>
      <c r="L574" s="19"/>
      <c r="M574" s="19">
        <f>MAX(G526:G574)</f>
        <v>172.3</v>
      </c>
      <c r="N574" s="19">
        <f t="shared" si="40"/>
        <v>-13.493905977945442</v>
      </c>
      <c r="O574" s="9" t="str">
        <f t="shared" si="41"/>
        <v>2024-03</v>
      </c>
    </row>
    <row r="575" spans="1:15" x14ac:dyDescent="0.25">
      <c r="A575" s="9" t="s">
        <v>310</v>
      </c>
      <c r="B575" s="9" t="s">
        <v>311</v>
      </c>
      <c r="C575" s="25" t="s">
        <v>95</v>
      </c>
      <c r="D575" s="19">
        <v>149.05000000000001</v>
      </c>
      <c r="E575" s="19">
        <v>149.16</v>
      </c>
      <c r="F575" s="19">
        <v>146.1</v>
      </c>
      <c r="G575" s="19">
        <v>146.43</v>
      </c>
      <c r="H575" s="19">
        <v>146.43</v>
      </c>
      <c r="I575" s="15">
        <v>5436629</v>
      </c>
      <c r="J575" s="19">
        <f t="shared" si="42"/>
        <v>-1.757799396175783</v>
      </c>
      <c r="K575" s="19">
        <f t="shared" si="43"/>
        <v>156.41200000000001</v>
      </c>
      <c r="L575" s="19">
        <f t="shared" ref="L575:L638" si="44">AVERAGE(G526:G575)</f>
        <v>160.99020000000002</v>
      </c>
      <c r="M575" s="19">
        <f>MAX(G526:G575)</f>
        <v>172.3</v>
      </c>
      <c r="N575" s="19">
        <f t="shared" si="40"/>
        <v>-15.014509576320373</v>
      </c>
      <c r="O575" s="9" t="str">
        <f t="shared" si="41"/>
        <v>2024-03</v>
      </c>
    </row>
    <row r="576" spans="1:15" x14ac:dyDescent="0.25">
      <c r="A576" s="9" t="s">
        <v>310</v>
      </c>
      <c r="B576" s="9" t="s">
        <v>311</v>
      </c>
      <c r="C576" s="25" t="s">
        <v>96</v>
      </c>
      <c r="D576" s="19">
        <v>146.43</v>
      </c>
      <c r="E576" s="19">
        <v>147.93</v>
      </c>
      <c r="F576" s="19">
        <v>145.51</v>
      </c>
      <c r="G576" s="19">
        <v>147.54</v>
      </c>
      <c r="H576" s="19">
        <v>147.54</v>
      </c>
      <c r="I576" s="15">
        <v>3493826</v>
      </c>
      <c r="J576" s="19">
        <f t="shared" si="42"/>
        <v>0.75804138496208784</v>
      </c>
      <c r="K576" s="19">
        <f t="shared" si="43"/>
        <v>155.19749999999999</v>
      </c>
      <c r="L576" s="19">
        <f t="shared" si="44"/>
        <v>160.90980000000002</v>
      </c>
      <c r="M576" s="19">
        <f>MAX(G526:G576)</f>
        <v>172.3</v>
      </c>
      <c r="N576" s="19">
        <f t="shared" si="40"/>
        <v>-14.370284387695889</v>
      </c>
      <c r="O576" s="9" t="str">
        <f t="shared" si="41"/>
        <v>2024-03</v>
      </c>
    </row>
    <row r="577" spans="1:15" x14ac:dyDescent="0.25">
      <c r="A577" s="9" t="s">
        <v>310</v>
      </c>
      <c r="B577" s="9" t="s">
        <v>311</v>
      </c>
      <c r="C577" s="25" t="s">
        <v>97</v>
      </c>
      <c r="D577" s="19">
        <v>147.54</v>
      </c>
      <c r="E577" s="19">
        <v>148.31</v>
      </c>
      <c r="F577" s="19">
        <v>147.29</v>
      </c>
      <c r="G577" s="19">
        <v>147.71</v>
      </c>
      <c r="H577" s="19">
        <v>147.71</v>
      </c>
      <c r="I577" s="15">
        <v>3492049</v>
      </c>
      <c r="J577" s="19">
        <f t="shared" si="42"/>
        <v>0.11522299037550218</v>
      </c>
      <c r="K577" s="19">
        <f t="shared" si="43"/>
        <v>153.99849999999998</v>
      </c>
      <c r="L577" s="19">
        <f t="shared" si="44"/>
        <v>160.83700000000002</v>
      </c>
      <c r="M577" s="19">
        <f>MAX(G526:G577)</f>
        <v>172.3</v>
      </c>
      <c r="N577" s="19">
        <f t="shared" si="40"/>
        <v>-14.271619268717354</v>
      </c>
      <c r="O577" s="9" t="str">
        <f t="shared" si="41"/>
        <v>2024-03</v>
      </c>
    </row>
    <row r="578" spans="1:15" x14ac:dyDescent="0.25">
      <c r="A578" s="9" t="s">
        <v>310</v>
      </c>
      <c r="B578" s="9" t="s">
        <v>311</v>
      </c>
      <c r="C578" s="25" t="s">
        <v>98</v>
      </c>
      <c r="D578" s="19">
        <v>147.71</v>
      </c>
      <c r="E578" s="19">
        <v>148.21</v>
      </c>
      <c r="F578" s="19">
        <v>146.65</v>
      </c>
      <c r="G578" s="19">
        <v>147.6</v>
      </c>
      <c r="H578" s="19">
        <v>147.6</v>
      </c>
      <c r="I578" s="15">
        <v>5871925</v>
      </c>
      <c r="J578" s="19">
        <f t="shared" si="42"/>
        <v>-7.4470245751820208E-2</v>
      </c>
      <c r="K578" s="19">
        <f t="shared" si="43"/>
        <v>152.94099999999997</v>
      </c>
      <c r="L578" s="19">
        <f t="shared" si="44"/>
        <v>160.72180000000003</v>
      </c>
      <c r="M578" s="19">
        <f>MAX(G526:G578)</f>
        <v>172.3</v>
      </c>
      <c r="N578" s="19">
        <f t="shared" ref="N578:N641" si="45">(G578-M578)/M578*100</f>
        <v>-14.335461404526997</v>
      </c>
      <c r="O578" s="9" t="str">
        <f t="shared" ref="O578:O641" si="46">TEXT(C578,"yyyy-mm")</f>
        <v>2024-03</v>
      </c>
    </row>
    <row r="579" spans="1:15" x14ac:dyDescent="0.25">
      <c r="A579" s="9" t="s">
        <v>310</v>
      </c>
      <c r="B579" s="9" t="s">
        <v>311</v>
      </c>
      <c r="C579" s="25" t="s">
        <v>99</v>
      </c>
      <c r="D579" s="19">
        <v>147.6</v>
      </c>
      <c r="E579" s="19">
        <v>153.91</v>
      </c>
      <c r="F579" s="19">
        <v>146.74</v>
      </c>
      <c r="G579" s="19">
        <v>152.91</v>
      </c>
      <c r="H579" s="19">
        <v>152.91</v>
      </c>
      <c r="I579" s="15">
        <v>4824234</v>
      </c>
      <c r="J579" s="19">
        <f t="shared" si="42"/>
        <v>3.597560975609758</v>
      </c>
      <c r="K579" s="19">
        <f t="shared" si="43"/>
        <v>152.37899999999999</v>
      </c>
      <c r="L579" s="19">
        <f t="shared" si="44"/>
        <v>160.66100000000003</v>
      </c>
      <c r="M579" s="19">
        <f>MAX(G526:G579)</f>
        <v>172.3</v>
      </c>
      <c r="N579" s="19">
        <f t="shared" si="45"/>
        <v>-11.253627394080102</v>
      </c>
      <c r="O579" s="9" t="str">
        <f t="shared" si="46"/>
        <v>2024-03</v>
      </c>
    </row>
    <row r="580" spans="1:15" x14ac:dyDescent="0.25">
      <c r="A580" s="9" t="s">
        <v>310</v>
      </c>
      <c r="B580" s="9" t="s">
        <v>311</v>
      </c>
      <c r="C580" s="25" t="s">
        <v>100</v>
      </c>
      <c r="D580" s="19">
        <v>152.91</v>
      </c>
      <c r="E580" s="19">
        <v>154.34</v>
      </c>
      <c r="F580" s="19">
        <v>152.84</v>
      </c>
      <c r="G580" s="19">
        <v>153.21</v>
      </c>
      <c r="H580" s="19">
        <v>153.21</v>
      </c>
      <c r="I580" s="15">
        <v>3341114</v>
      </c>
      <c r="J580" s="19">
        <f t="shared" si="42"/>
        <v>0.19619383951344671</v>
      </c>
      <c r="K580" s="19">
        <f t="shared" si="43"/>
        <v>152.09599999999998</v>
      </c>
      <c r="L580" s="19">
        <f t="shared" si="44"/>
        <v>160.60120000000003</v>
      </c>
      <c r="M580" s="19">
        <f>MAX(G526:G580)</f>
        <v>172.3</v>
      </c>
      <c r="N580" s="19">
        <f t="shared" si="45"/>
        <v>-11.079512478235637</v>
      </c>
      <c r="O580" s="9" t="str">
        <f t="shared" si="46"/>
        <v>2024-03</v>
      </c>
    </row>
    <row r="581" spans="1:15" x14ac:dyDescent="0.25">
      <c r="A581" s="9" t="s">
        <v>310</v>
      </c>
      <c r="B581" s="9" t="s">
        <v>311</v>
      </c>
      <c r="C581" s="25" t="s">
        <v>101</v>
      </c>
      <c r="D581" s="19">
        <v>153.21</v>
      </c>
      <c r="E581" s="19">
        <v>153.44999999999999</v>
      </c>
      <c r="F581" s="19">
        <v>151.74</v>
      </c>
      <c r="G581" s="19">
        <v>152.22</v>
      </c>
      <c r="H581" s="19">
        <v>152.22</v>
      </c>
      <c r="I581" s="15">
        <v>1960697</v>
      </c>
      <c r="J581" s="19">
        <f t="shared" si="42"/>
        <v>-0.64617192089289799</v>
      </c>
      <c r="K581" s="19">
        <f t="shared" si="43"/>
        <v>151.70499999999998</v>
      </c>
      <c r="L581" s="19">
        <f t="shared" si="44"/>
        <v>160.52240000000003</v>
      </c>
      <c r="M581" s="19">
        <f>MAX(G526:G581)</f>
        <v>172.3</v>
      </c>
      <c r="N581" s="19">
        <f t="shared" si="45"/>
        <v>-11.654091700522351</v>
      </c>
      <c r="O581" s="9" t="str">
        <f t="shared" si="46"/>
        <v>2024-03</v>
      </c>
    </row>
    <row r="582" spans="1:15" x14ac:dyDescent="0.25">
      <c r="A582" s="9" t="s">
        <v>310</v>
      </c>
      <c r="B582" s="9" t="s">
        <v>311</v>
      </c>
      <c r="C582" s="25" t="s">
        <v>102</v>
      </c>
      <c r="D582" s="19">
        <v>152.22</v>
      </c>
      <c r="E582" s="19">
        <v>152.88</v>
      </c>
      <c r="F582" s="19">
        <v>150.81</v>
      </c>
      <c r="G582" s="19">
        <v>151.75</v>
      </c>
      <c r="H582" s="19">
        <v>151.75</v>
      </c>
      <c r="I582" s="15">
        <v>4810731</v>
      </c>
      <c r="J582" s="19">
        <f t="shared" si="42"/>
        <v>-0.30876363158586184</v>
      </c>
      <c r="K582" s="19">
        <f t="shared" si="43"/>
        <v>151.36949999999996</v>
      </c>
      <c r="L582" s="19">
        <f t="shared" si="44"/>
        <v>160.39560000000003</v>
      </c>
      <c r="M582" s="19">
        <f>MAX(G526:G582)</f>
        <v>172.3</v>
      </c>
      <c r="N582" s="19">
        <f t="shared" si="45"/>
        <v>-11.926871735345333</v>
      </c>
      <c r="O582" s="9" t="str">
        <f t="shared" si="46"/>
        <v>2024-03</v>
      </c>
    </row>
    <row r="583" spans="1:15" x14ac:dyDescent="0.25">
      <c r="A583" s="9" t="s">
        <v>310</v>
      </c>
      <c r="B583" s="9" t="s">
        <v>311</v>
      </c>
      <c r="C583" s="25" t="s">
        <v>103</v>
      </c>
      <c r="D583" s="19">
        <v>151.75</v>
      </c>
      <c r="E583" s="19">
        <v>155.41999999999999</v>
      </c>
      <c r="F583" s="19">
        <v>151.63</v>
      </c>
      <c r="G583" s="19">
        <v>155.12</v>
      </c>
      <c r="H583" s="19">
        <v>155.12</v>
      </c>
      <c r="I583" s="15">
        <v>5310906</v>
      </c>
      <c r="J583" s="19">
        <f t="shared" si="42"/>
        <v>2.2207578253706783</v>
      </c>
      <c r="K583" s="19">
        <f t="shared" si="43"/>
        <v>151.28449999999998</v>
      </c>
      <c r="L583" s="19">
        <f t="shared" si="44"/>
        <v>160.34800000000001</v>
      </c>
      <c r="M583" s="19">
        <f>MAX(G526:G583)</f>
        <v>172.3</v>
      </c>
      <c r="N583" s="19">
        <f t="shared" si="45"/>
        <v>-9.9709808473592609</v>
      </c>
      <c r="O583" s="9" t="str">
        <f t="shared" si="46"/>
        <v>2024-03</v>
      </c>
    </row>
    <row r="584" spans="1:15" x14ac:dyDescent="0.25">
      <c r="A584" s="9" t="s">
        <v>310</v>
      </c>
      <c r="B584" s="9" t="s">
        <v>311</v>
      </c>
      <c r="C584" s="25" t="s">
        <v>104</v>
      </c>
      <c r="D584" s="19">
        <v>155.12</v>
      </c>
      <c r="E584" s="19">
        <v>155.69999999999999</v>
      </c>
      <c r="F584" s="19">
        <v>150.68</v>
      </c>
      <c r="G584" s="19">
        <v>150.88</v>
      </c>
      <c r="H584" s="19">
        <v>150.88</v>
      </c>
      <c r="I584" s="15">
        <v>3200279</v>
      </c>
      <c r="J584" s="19">
        <f t="shared" si="42"/>
        <v>-2.7333677153171796</v>
      </c>
      <c r="K584" s="19">
        <f t="shared" si="43"/>
        <v>150.9195</v>
      </c>
      <c r="L584" s="19">
        <f t="shared" si="44"/>
        <v>159.97640000000004</v>
      </c>
      <c r="M584" s="19">
        <f>MAX(G526:G584)</f>
        <v>172.3</v>
      </c>
      <c r="N584" s="19">
        <f t="shared" si="45"/>
        <v>-12.431804991294262</v>
      </c>
      <c r="O584" s="9" t="str">
        <f t="shared" si="46"/>
        <v>2024-03</v>
      </c>
    </row>
    <row r="585" spans="1:15" x14ac:dyDescent="0.25">
      <c r="A585" s="9" t="s">
        <v>310</v>
      </c>
      <c r="B585" s="9" t="s">
        <v>311</v>
      </c>
      <c r="C585" s="25" t="s">
        <v>105</v>
      </c>
      <c r="D585" s="19">
        <v>150.88</v>
      </c>
      <c r="E585" s="19">
        <v>151.38999999999999</v>
      </c>
      <c r="F585" s="19">
        <v>148.6</v>
      </c>
      <c r="G585" s="19">
        <v>148.82</v>
      </c>
      <c r="H585" s="19">
        <v>148.82</v>
      </c>
      <c r="I585" s="15">
        <v>3606476</v>
      </c>
      <c r="J585" s="19">
        <f t="shared" si="42"/>
        <v>-1.3653234358430557</v>
      </c>
      <c r="K585" s="19">
        <f t="shared" si="43"/>
        <v>150.44649999999999</v>
      </c>
      <c r="L585" s="19">
        <f t="shared" si="44"/>
        <v>159.52880000000005</v>
      </c>
      <c r="M585" s="19">
        <f>MAX(G526:G585)</f>
        <v>172.3</v>
      </c>
      <c r="N585" s="19">
        <f t="shared" si="45"/>
        <v>-13.627394080092872</v>
      </c>
      <c r="O585" s="9" t="str">
        <f t="shared" si="46"/>
        <v>2024-03</v>
      </c>
    </row>
    <row r="586" spans="1:15" x14ac:dyDescent="0.25">
      <c r="A586" s="9" t="s">
        <v>310</v>
      </c>
      <c r="B586" s="9" t="s">
        <v>311</v>
      </c>
      <c r="C586" s="25" t="s">
        <v>106</v>
      </c>
      <c r="D586" s="19">
        <v>148.82</v>
      </c>
      <c r="E586" s="19">
        <v>149.82</v>
      </c>
      <c r="F586" s="19">
        <v>148.47999999999999</v>
      </c>
      <c r="G586" s="19">
        <v>149.30000000000001</v>
      </c>
      <c r="H586" s="19">
        <v>149.30000000000001</v>
      </c>
      <c r="I586" s="15">
        <v>1376280</v>
      </c>
      <c r="J586" s="19">
        <f t="shared" si="42"/>
        <v>0.32253729337455866</v>
      </c>
      <c r="K586" s="19">
        <f t="shared" si="43"/>
        <v>150.126</v>
      </c>
      <c r="L586" s="19">
        <f t="shared" si="44"/>
        <v>159.07920000000004</v>
      </c>
      <c r="M586" s="19">
        <f>MAX(G526:G586)</f>
        <v>172.3</v>
      </c>
      <c r="N586" s="19">
        <f t="shared" si="45"/>
        <v>-13.34881021474173</v>
      </c>
      <c r="O586" s="9" t="str">
        <f t="shared" si="46"/>
        <v>2024-03</v>
      </c>
    </row>
    <row r="587" spans="1:15" x14ac:dyDescent="0.25">
      <c r="A587" s="9" t="s">
        <v>310</v>
      </c>
      <c r="B587" s="9" t="s">
        <v>311</v>
      </c>
      <c r="C587" s="25" t="s">
        <v>107</v>
      </c>
      <c r="D587" s="19">
        <v>149.30000000000001</v>
      </c>
      <c r="E587" s="19">
        <v>151.05000000000001</v>
      </c>
      <c r="F587" s="19">
        <v>149.15</v>
      </c>
      <c r="G587" s="19">
        <v>150.74</v>
      </c>
      <c r="H587" s="19">
        <v>150.74</v>
      </c>
      <c r="I587" s="15">
        <v>5513216</v>
      </c>
      <c r="J587" s="19">
        <f t="shared" si="42"/>
        <v>0.96450100468854494</v>
      </c>
      <c r="K587" s="19">
        <f t="shared" si="43"/>
        <v>149.99750000000003</v>
      </c>
      <c r="L587" s="19">
        <f t="shared" si="44"/>
        <v>158.65220000000002</v>
      </c>
      <c r="M587" s="19">
        <f>MAX(G526:G587)</f>
        <v>172.3</v>
      </c>
      <c r="N587" s="19">
        <f t="shared" si="45"/>
        <v>-12.513058618688335</v>
      </c>
      <c r="O587" s="9" t="str">
        <f t="shared" si="46"/>
        <v>2024-03</v>
      </c>
    </row>
    <row r="588" spans="1:15" x14ac:dyDescent="0.25">
      <c r="A588" s="9" t="s">
        <v>310</v>
      </c>
      <c r="B588" s="9" t="s">
        <v>311</v>
      </c>
      <c r="C588" s="25" t="s">
        <v>108</v>
      </c>
      <c r="D588" s="19">
        <v>150.74</v>
      </c>
      <c r="E588" s="19">
        <v>151.43</v>
      </c>
      <c r="F588" s="19">
        <v>150.33000000000001</v>
      </c>
      <c r="G588" s="19">
        <v>151.18</v>
      </c>
      <c r="H588" s="19">
        <v>151.18</v>
      </c>
      <c r="I588" s="15">
        <v>4015917</v>
      </c>
      <c r="J588" s="19">
        <f t="shared" si="42"/>
        <v>0.29189332625712994</v>
      </c>
      <c r="K588" s="19">
        <f t="shared" si="43"/>
        <v>150.07850000000002</v>
      </c>
      <c r="L588" s="19">
        <f t="shared" si="44"/>
        <v>158.24480000000005</v>
      </c>
      <c r="M588" s="19">
        <f>MAX(G526:G588)</f>
        <v>172.3</v>
      </c>
      <c r="N588" s="19">
        <f t="shared" si="45"/>
        <v>-12.257690075449798</v>
      </c>
      <c r="O588" s="9" t="str">
        <f t="shared" si="46"/>
        <v>2024-03</v>
      </c>
    </row>
    <row r="589" spans="1:15" x14ac:dyDescent="0.25">
      <c r="A589" s="9" t="s">
        <v>310</v>
      </c>
      <c r="B589" s="9" t="s">
        <v>311</v>
      </c>
      <c r="C589" s="25" t="s">
        <v>109</v>
      </c>
      <c r="D589" s="19">
        <v>151.18</v>
      </c>
      <c r="E589" s="19">
        <v>153.04</v>
      </c>
      <c r="F589" s="19">
        <v>150.85</v>
      </c>
      <c r="G589" s="19">
        <v>153</v>
      </c>
      <c r="H589" s="19">
        <v>153</v>
      </c>
      <c r="I589" s="15">
        <v>4663388</v>
      </c>
      <c r="J589" s="19">
        <f t="shared" si="42"/>
        <v>1.2038629448339682</v>
      </c>
      <c r="K589" s="19">
        <f t="shared" si="43"/>
        <v>150.20350000000002</v>
      </c>
      <c r="L589" s="19">
        <f t="shared" si="44"/>
        <v>157.93280000000007</v>
      </c>
      <c r="M589" s="19">
        <f>MAX(G526:G589)</f>
        <v>172.3</v>
      </c>
      <c r="N589" s="19">
        <f t="shared" si="45"/>
        <v>-11.201392919326761</v>
      </c>
      <c r="O589" s="9" t="str">
        <f t="shared" si="46"/>
        <v>2024-03</v>
      </c>
    </row>
    <row r="590" spans="1:15" x14ac:dyDescent="0.25">
      <c r="A590" s="9" t="s">
        <v>310</v>
      </c>
      <c r="B590" s="9" t="s">
        <v>311</v>
      </c>
      <c r="C590" s="25" t="s">
        <v>110</v>
      </c>
      <c r="D590" s="19">
        <v>153</v>
      </c>
      <c r="E590" s="19">
        <v>153.47</v>
      </c>
      <c r="F590" s="19">
        <v>150.4</v>
      </c>
      <c r="G590" s="19">
        <v>151.04</v>
      </c>
      <c r="H590" s="19">
        <v>151.04</v>
      </c>
      <c r="I590" s="15">
        <v>4059983</v>
      </c>
      <c r="J590" s="19">
        <f t="shared" si="42"/>
        <v>-1.2810457516339921</v>
      </c>
      <c r="K590" s="19">
        <f t="shared" si="43"/>
        <v>150.23050000000001</v>
      </c>
      <c r="L590" s="19">
        <f t="shared" si="44"/>
        <v>157.57280000000006</v>
      </c>
      <c r="M590" s="19">
        <f>MAX(G526:G590)</f>
        <v>172.3</v>
      </c>
      <c r="N590" s="19">
        <f t="shared" si="45"/>
        <v>-12.338943702843887</v>
      </c>
      <c r="O590" s="9" t="str">
        <f t="shared" si="46"/>
        <v>2024-03</v>
      </c>
    </row>
    <row r="591" spans="1:15" x14ac:dyDescent="0.25">
      <c r="A591" s="9" t="s">
        <v>310</v>
      </c>
      <c r="B591" s="9" t="s">
        <v>311</v>
      </c>
      <c r="C591" s="25" t="s">
        <v>111</v>
      </c>
      <c r="D591" s="19">
        <v>151.04</v>
      </c>
      <c r="E591" s="19">
        <v>151.66999999999999</v>
      </c>
      <c r="F591" s="19">
        <v>150.19</v>
      </c>
      <c r="G591" s="19">
        <v>150.30000000000001</v>
      </c>
      <c r="H591" s="19">
        <v>150.30000000000001</v>
      </c>
      <c r="I591" s="15">
        <v>4693962</v>
      </c>
      <c r="J591" s="19">
        <f t="shared" ref="J591:J654" si="47">IFERROR((G591-G590)/G590*100,"")</f>
        <v>-0.48993644067795333</v>
      </c>
      <c r="K591" s="19">
        <f t="shared" si="43"/>
        <v>150.339</v>
      </c>
      <c r="L591" s="19">
        <f t="shared" si="44"/>
        <v>157.18360000000007</v>
      </c>
      <c r="M591" s="19">
        <f>MAX(G526:G591)</f>
        <v>172.3</v>
      </c>
      <c r="N591" s="19">
        <f t="shared" si="45"/>
        <v>-12.768427161926871</v>
      </c>
      <c r="O591" s="9" t="str">
        <f t="shared" si="46"/>
        <v>2024-04</v>
      </c>
    </row>
    <row r="592" spans="1:15" x14ac:dyDescent="0.25">
      <c r="A592" s="9" t="s">
        <v>310</v>
      </c>
      <c r="B592" s="9" t="s">
        <v>311</v>
      </c>
      <c r="C592" s="25" t="s">
        <v>112</v>
      </c>
      <c r="D592" s="19">
        <v>150.30000000000001</v>
      </c>
      <c r="E592" s="19">
        <v>150.44</v>
      </c>
      <c r="F592" s="19">
        <v>147.88</v>
      </c>
      <c r="G592" s="19">
        <v>148.28</v>
      </c>
      <c r="H592" s="19">
        <v>148.28</v>
      </c>
      <c r="I592" s="15">
        <v>2028231</v>
      </c>
      <c r="J592" s="19">
        <f t="shared" si="47"/>
        <v>-1.343978709248177</v>
      </c>
      <c r="K592" s="19">
        <f t="shared" si="43"/>
        <v>150.30700000000002</v>
      </c>
      <c r="L592" s="19">
        <f t="shared" si="44"/>
        <v>156.70920000000004</v>
      </c>
      <c r="M592" s="19">
        <f>MAX(G526:G592)</f>
        <v>172.3</v>
      </c>
      <c r="N592" s="19">
        <f t="shared" si="45"/>
        <v>-13.940800928612889</v>
      </c>
      <c r="O592" s="9" t="str">
        <f t="shared" si="46"/>
        <v>2024-04</v>
      </c>
    </row>
    <row r="593" spans="1:15" x14ac:dyDescent="0.25">
      <c r="A593" s="9" t="s">
        <v>310</v>
      </c>
      <c r="B593" s="9" t="s">
        <v>311</v>
      </c>
      <c r="C593" s="25" t="s">
        <v>113</v>
      </c>
      <c r="D593" s="19">
        <v>148.28</v>
      </c>
      <c r="E593" s="19">
        <v>152.52000000000001</v>
      </c>
      <c r="F593" s="19">
        <v>147.05000000000001</v>
      </c>
      <c r="G593" s="19">
        <v>152.12</v>
      </c>
      <c r="H593" s="19">
        <v>152.12</v>
      </c>
      <c r="I593" s="15">
        <v>4212607</v>
      </c>
      <c r="J593" s="19">
        <f t="shared" si="47"/>
        <v>2.5896951712975476</v>
      </c>
      <c r="K593" s="19">
        <f t="shared" si="43"/>
        <v>150.45999999999998</v>
      </c>
      <c r="L593" s="19">
        <f t="shared" si="44"/>
        <v>156.36680000000004</v>
      </c>
      <c r="M593" s="19">
        <f>MAX(G526:G593)</f>
        <v>172.3</v>
      </c>
      <c r="N593" s="19">
        <f t="shared" si="45"/>
        <v>-11.712130005803834</v>
      </c>
      <c r="O593" s="9" t="str">
        <f t="shared" si="46"/>
        <v>2024-04</v>
      </c>
    </row>
    <row r="594" spans="1:15" x14ac:dyDescent="0.25">
      <c r="A594" s="9" t="s">
        <v>310</v>
      </c>
      <c r="B594" s="9" t="s">
        <v>311</v>
      </c>
      <c r="C594" s="25" t="s">
        <v>114</v>
      </c>
      <c r="D594" s="19">
        <v>152.12</v>
      </c>
      <c r="E594" s="19">
        <v>152.65</v>
      </c>
      <c r="F594" s="19">
        <v>150.33000000000001</v>
      </c>
      <c r="G594" s="19">
        <v>150.97</v>
      </c>
      <c r="H594" s="19">
        <v>150.97</v>
      </c>
      <c r="I594" s="15">
        <v>3644857</v>
      </c>
      <c r="J594" s="19">
        <f t="shared" si="47"/>
        <v>-0.75598211937944093</v>
      </c>
      <c r="K594" s="19">
        <f t="shared" si="43"/>
        <v>150.55600000000001</v>
      </c>
      <c r="L594" s="19">
        <f t="shared" si="44"/>
        <v>155.98740000000004</v>
      </c>
      <c r="M594" s="19">
        <f>MAX(G526:G594)</f>
        <v>172.3</v>
      </c>
      <c r="N594" s="19">
        <f t="shared" si="45"/>
        <v>-12.379570516540923</v>
      </c>
      <c r="O594" s="9" t="str">
        <f t="shared" si="46"/>
        <v>2024-04</v>
      </c>
    </row>
    <row r="595" spans="1:15" x14ac:dyDescent="0.25">
      <c r="A595" s="9" t="s">
        <v>310</v>
      </c>
      <c r="B595" s="9" t="s">
        <v>311</v>
      </c>
      <c r="C595" s="25" t="s">
        <v>115</v>
      </c>
      <c r="D595" s="19">
        <v>150.97</v>
      </c>
      <c r="E595" s="19">
        <v>151.68</v>
      </c>
      <c r="F595" s="19">
        <v>145.74</v>
      </c>
      <c r="G595" s="19">
        <v>146.26</v>
      </c>
      <c r="H595" s="19">
        <v>146.26</v>
      </c>
      <c r="I595" s="15">
        <v>4276595</v>
      </c>
      <c r="J595" s="19">
        <f t="shared" si="47"/>
        <v>-3.1198251308206979</v>
      </c>
      <c r="K595" s="19">
        <f t="shared" si="43"/>
        <v>150.54749999999999</v>
      </c>
      <c r="L595" s="19">
        <f t="shared" si="44"/>
        <v>155.48580000000004</v>
      </c>
      <c r="M595" s="19">
        <f>MAX(G526:G595)</f>
        <v>172.3</v>
      </c>
      <c r="N595" s="19">
        <f t="shared" si="45"/>
        <v>-15.113174695298909</v>
      </c>
      <c r="O595" s="9" t="str">
        <f t="shared" si="46"/>
        <v>2024-04</v>
      </c>
    </row>
    <row r="596" spans="1:15" x14ac:dyDescent="0.25">
      <c r="A596" s="9" t="s">
        <v>310</v>
      </c>
      <c r="B596" s="9" t="s">
        <v>311</v>
      </c>
      <c r="C596" s="25" t="s">
        <v>116</v>
      </c>
      <c r="D596" s="19">
        <v>146.26</v>
      </c>
      <c r="E596" s="19">
        <v>150.41</v>
      </c>
      <c r="F596" s="19">
        <v>145.41999999999999</v>
      </c>
      <c r="G596" s="19">
        <v>150.37</v>
      </c>
      <c r="H596" s="19">
        <v>150.37</v>
      </c>
      <c r="I596" s="15">
        <v>5697537</v>
      </c>
      <c r="J596" s="19">
        <f t="shared" si="47"/>
        <v>2.8100642691098141</v>
      </c>
      <c r="K596" s="19">
        <f t="shared" si="43"/>
        <v>150.68899999999999</v>
      </c>
      <c r="L596" s="19">
        <f t="shared" si="44"/>
        <v>155.04720000000003</v>
      </c>
      <c r="M596" s="19">
        <f>MAX(G526:G596)</f>
        <v>172.3</v>
      </c>
      <c r="N596" s="19">
        <f t="shared" si="45"/>
        <v>-12.727800348229835</v>
      </c>
      <c r="O596" s="9" t="str">
        <f t="shared" si="46"/>
        <v>2024-04</v>
      </c>
    </row>
    <row r="597" spans="1:15" x14ac:dyDescent="0.25">
      <c r="A597" s="9" t="s">
        <v>310</v>
      </c>
      <c r="B597" s="9" t="s">
        <v>311</v>
      </c>
      <c r="C597" s="25" t="s">
        <v>117</v>
      </c>
      <c r="D597" s="19">
        <v>150.37</v>
      </c>
      <c r="E597" s="19">
        <v>151.71</v>
      </c>
      <c r="F597" s="19">
        <v>149.94999999999999</v>
      </c>
      <c r="G597" s="19">
        <v>151.51</v>
      </c>
      <c r="H597" s="19">
        <v>151.51</v>
      </c>
      <c r="I597" s="15">
        <v>3249051</v>
      </c>
      <c r="J597" s="19">
        <f t="shared" si="47"/>
        <v>0.75812994613286311</v>
      </c>
      <c r="K597" s="19">
        <f t="shared" si="43"/>
        <v>150.87899999999999</v>
      </c>
      <c r="L597" s="19">
        <f t="shared" si="44"/>
        <v>154.63880000000003</v>
      </c>
      <c r="M597" s="19">
        <f>MAX(G526:G597)</f>
        <v>172.3</v>
      </c>
      <c r="N597" s="19">
        <f t="shared" si="45"/>
        <v>-12.066163668020904</v>
      </c>
      <c r="O597" s="9" t="str">
        <f t="shared" si="46"/>
        <v>2024-04</v>
      </c>
    </row>
    <row r="598" spans="1:15" x14ac:dyDescent="0.25">
      <c r="A598" s="9" t="s">
        <v>310</v>
      </c>
      <c r="B598" s="9" t="s">
        <v>311</v>
      </c>
      <c r="C598" s="25" t="s">
        <v>118</v>
      </c>
      <c r="D598" s="19">
        <v>151.51</v>
      </c>
      <c r="E598" s="19">
        <v>152.19999999999999</v>
      </c>
      <c r="F598" s="19">
        <v>148.91</v>
      </c>
      <c r="G598" s="19">
        <v>149.19</v>
      </c>
      <c r="H598" s="19">
        <v>149.19</v>
      </c>
      <c r="I598" s="15">
        <v>3172257</v>
      </c>
      <c r="J598" s="19">
        <f t="shared" si="47"/>
        <v>-1.5312520625701229</v>
      </c>
      <c r="K598" s="19">
        <f t="shared" si="43"/>
        <v>150.95849999999999</v>
      </c>
      <c r="L598" s="19">
        <f t="shared" si="44"/>
        <v>154.34140000000002</v>
      </c>
      <c r="M598" s="19">
        <f>MAX(G526:G598)</f>
        <v>172.3</v>
      </c>
      <c r="N598" s="19">
        <f t="shared" si="45"/>
        <v>-13.412652350551371</v>
      </c>
      <c r="O598" s="9" t="str">
        <f t="shared" si="46"/>
        <v>2024-04</v>
      </c>
    </row>
    <row r="599" spans="1:15" x14ac:dyDescent="0.25">
      <c r="A599" s="9" t="s">
        <v>310</v>
      </c>
      <c r="B599" s="9" t="s">
        <v>311</v>
      </c>
      <c r="C599" s="25" t="s">
        <v>119</v>
      </c>
      <c r="D599" s="19">
        <v>149.19</v>
      </c>
      <c r="E599" s="19">
        <v>153.41999999999999</v>
      </c>
      <c r="F599" s="19">
        <v>148.47</v>
      </c>
      <c r="G599" s="19">
        <v>153.12</v>
      </c>
      <c r="H599" s="19">
        <v>153.12</v>
      </c>
      <c r="I599" s="15">
        <v>2843629</v>
      </c>
      <c r="J599" s="19">
        <f t="shared" si="47"/>
        <v>2.6342248139955804</v>
      </c>
      <c r="K599" s="19">
        <f t="shared" si="43"/>
        <v>150.96899999999999</v>
      </c>
      <c r="L599" s="19">
        <f t="shared" si="44"/>
        <v>154.16000000000003</v>
      </c>
      <c r="M599" s="19">
        <f>MAX(G526:G599)</f>
        <v>172.3</v>
      </c>
      <c r="N599" s="19">
        <f t="shared" si="45"/>
        <v>-11.131746952988976</v>
      </c>
      <c r="O599" s="9" t="str">
        <f t="shared" si="46"/>
        <v>2024-04</v>
      </c>
    </row>
    <row r="600" spans="1:15" x14ac:dyDescent="0.25">
      <c r="A600" s="9" t="s">
        <v>310</v>
      </c>
      <c r="B600" s="9" t="s">
        <v>311</v>
      </c>
      <c r="C600" s="25" t="s">
        <v>120</v>
      </c>
      <c r="D600" s="19">
        <v>153.12</v>
      </c>
      <c r="E600" s="19">
        <v>153.16999999999999</v>
      </c>
      <c r="F600" s="19">
        <v>149.22</v>
      </c>
      <c r="G600" s="19">
        <v>149.91</v>
      </c>
      <c r="H600" s="19">
        <v>149.91</v>
      </c>
      <c r="I600" s="15">
        <v>4139874</v>
      </c>
      <c r="J600" s="19">
        <f t="shared" si="47"/>
        <v>-2.0963949843260239</v>
      </c>
      <c r="K600" s="19">
        <f t="shared" si="43"/>
        <v>150.80399999999997</v>
      </c>
      <c r="L600" s="19">
        <f t="shared" si="44"/>
        <v>154.03900000000002</v>
      </c>
      <c r="M600" s="19">
        <f>MAX(G526:G600)</f>
        <v>172.3</v>
      </c>
      <c r="N600" s="19">
        <f t="shared" si="45"/>
        <v>-12.994776552524673</v>
      </c>
      <c r="O600" s="9" t="str">
        <f t="shared" si="46"/>
        <v>2024-04</v>
      </c>
    </row>
    <row r="601" spans="1:15" x14ac:dyDescent="0.25">
      <c r="A601" s="9" t="s">
        <v>310</v>
      </c>
      <c r="B601" s="9" t="s">
        <v>311</v>
      </c>
      <c r="C601" s="25" t="s">
        <v>121</v>
      </c>
      <c r="D601" s="19">
        <v>149.91</v>
      </c>
      <c r="E601" s="19">
        <v>155.19999999999999</v>
      </c>
      <c r="F601" s="19">
        <v>149.16</v>
      </c>
      <c r="G601" s="19">
        <v>155.06</v>
      </c>
      <c r="H601" s="19">
        <v>155.06</v>
      </c>
      <c r="I601" s="15">
        <v>3896420</v>
      </c>
      <c r="J601" s="19">
        <f t="shared" si="47"/>
        <v>3.4353945700753825</v>
      </c>
      <c r="K601" s="19">
        <f t="shared" si="43"/>
        <v>150.94599999999997</v>
      </c>
      <c r="L601" s="19">
        <f t="shared" si="44"/>
        <v>153.98660000000001</v>
      </c>
      <c r="M601" s="19">
        <f>MAX(G526:G601)</f>
        <v>172.3</v>
      </c>
      <c r="N601" s="19">
        <f t="shared" si="45"/>
        <v>-10.005803830528153</v>
      </c>
      <c r="O601" s="9" t="str">
        <f t="shared" si="46"/>
        <v>2024-04</v>
      </c>
    </row>
    <row r="602" spans="1:15" x14ac:dyDescent="0.25">
      <c r="A602" s="9" t="s">
        <v>310</v>
      </c>
      <c r="B602" s="9" t="s">
        <v>311</v>
      </c>
      <c r="C602" s="25" t="s">
        <v>122</v>
      </c>
      <c r="D602" s="19">
        <v>155.06</v>
      </c>
      <c r="E602" s="19">
        <v>156.07</v>
      </c>
      <c r="F602" s="19">
        <v>154.74</v>
      </c>
      <c r="G602" s="19">
        <v>154.86000000000001</v>
      </c>
      <c r="H602" s="19">
        <v>154.86000000000001</v>
      </c>
      <c r="I602" s="15">
        <v>3714615</v>
      </c>
      <c r="J602" s="19">
        <f t="shared" si="47"/>
        <v>-0.12898232942086199</v>
      </c>
      <c r="K602" s="19">
        <f t="shared" si="43"/>
        <v>151.10149999999996</v>
      </c>
      <c r="L602" s="19">
        <f t="shared" si="44"/>
        <v>153.89099999999999</v>
      </c>
      <c r="M602" s="19">
        <f>MAX(G526:G602)</f>
        <v>172.3</v>
      </c>
      <c r="N602" s="19">
        <f t="shared" si="45"/>
        <v>-10.121880441091118</v>
      </c>
      <c r="O602" s="9" t="str">
        <f t="shared" si="46"/>
        <v>2024-04</v>
      </c>
    </row>
    <row r="603" spans="1:15" x14ac:dyDescent="0.25">
      <c r="A603" s="9" t="s">
        <v>310</v>
      </c>
      <c r="B603" s="9" t="s">
        <v>311</v>
      </c>
      <c r="C603" s="25" t="s">
        <v>123</v>
      </c>
      <c r="D603" s="19">
        <v>154.86000000000001</v>
      </c>
      <c r="E603" s="19">
        <v>156.57</v>
      </c>
      <c r="F603" s="19">
        <v>150.41</v>
      </c>
      <c r="G603" s="19">
        <v>150.62</v>
      </c>
      <c r="H603" s="19">
        <v>150.62</v>
      </c>
      <c r="I603" s="15">
        <v>5176005</v>
      </c>
      <c r="J603" s="19">
        <f t="shared" si="47"/>
        <v>-2.7379568642645027</v>
      </c>
      <c r="K603" s="19">
        <f t="shared" si="43"/>
        <v>150.87649999999996</v>
      </c>
      <c r="L603" s="19">
        <f t="shared" si="44"/>
        <v>153.69919999999999</v>
      </c>
      <c r="M603" s="19">
        <f>MAX(G526:G603)</f>
        <v>172.3</v>
      </c>
      <c r="N603" s="19">
        <f t="shared" si="45"/>
        <v>-12.58270458502612</v>
      </c>
      <c r="O603" s="9" t="str">
        <f t="shared" si="46"/>
        <v>2024-04</v>
      </c>
    </row>
    <row r="604" spans="1:15" x14ac:dyDescent="0.25">
      <c r="A604" s="9" t="s">
        <v>310</v>
      </c>
      <c r="B604" s="9" t="s">
        <v>311</v>
      </c>
      <c r="C604" s="25" t="s">
        <v>124</v>
      </c>
      <c r="D604" s="19">
        <v>150.62</v>
      </c>
      <c r="E604" s="19">
        <v>153</v>
      </c>
      <c r="F604" s="19">
        <v>150.11000000000001</v>
      </c>
      <c r="G604" s="19">
        <v>152.53</v>
      </c>
      <c r="H604" s="19">
        <v>152.53</v>
      </c>
      <c r="I604" s="15">
        <v>3232857</v>
      </c>
      <c r="J604" s="19">
        <f t="shared" si="47"/>
        <v>1.2680918868676114</v>
      </c>
      <c r="K604" s="19">
        <f t="shared" si="43"/>
        <v>150.95899999999997</v>
      </c>
      <c r="L604" s="19">
        <f t="shared" si="44"/>
        <v>153.49499999999998</v>
      </c>
      <c r="M604" s="19">
        <f>MAX(G526:G604)</f>
        <v>172.3</v>
      </c>
      <c r="N604" s="19">
        <f t="shared" si="45"/>
        <v>-11.474172954149745</v>
      </c>
      <c r="O604" s="9" t="str">
        <f t="shared" si="46"/>
        <v>2024-04</v>
      </c>
    </row>
    <row r="605" spans="1:15" x14ac:dyDescent="0.25">
      <c r="A605" s="9" t="s">
        <v>310</v>
      </c>
      <c r="B605" s="9" t="s">
        <v>311</v>
      </c>
      <c r="C605" s="25" t="s">
        <v>125</v>
      </c>
      <c r="D605" s="19">
        <v>152.53</v>
      </c>
      <c r="E605" s="19">
        <v>154.66999999999999</v>
      </c>
      <c r="F605" s="19">
        <v>151.78</v>
      </c>
      <c r="G605" s="19">
        <v>154.52000000000001</v>
      </c>
      <c r="H605" s="19">
        <v>154.52000000000001</v>
      </c>
      <c r="I605" s="15">
        <v>5827872</v>
      </c>
      <c r="J605" s="19">
        <f t="shared" si="47"/>
        <v>1.3046613780895622</v>
      </c>
      <c r="K605" s="19">
        <f t="shared" si="43"/>
        <v>151.244</v>
      </c>
      <c r="L605" s="19">
        <f t="shared" si="44"/>
        <v>153.2176</v>
      </c>
      <c r="M605" s="19">
        <f>MAX(G526:G605)</f>
        <v>172.3</v>
      </c>
      <c r="N605" s="19">
        <f t="shared" si="45"/>
        <v>-10.319210679048171</v>
      </c>
      <c r="O605" s="9" t="str">
        <f t="shared" si="46"/>
        <v>2024-04</v>
      </c>
    </row>
    <row r="606" spans="1:15" x14ac:dyDescent="0.25">
      <c r="A606" s="9" t="s">
        <v>310</v>
      </c>
      <c r="B606" s="9" t="s">
        <v>311</v>
      </c>
      <c r="C606" s="25" t="s">
        <v>126</v>
      </c>
      <c r="D606" s="19">
        <v>154.52000000000001</v>
      </c>
      <c r="E606" s="19">
        <v>157.24</v>
      </c>
      <c r="F606" s="19">
        <v>154.41</v>
      </c>
      <c r="G606" s="19">
        <v>156.51</v>
      </c>
      <c r="H606" s="19">
        <v>156.51</v>
      </c>
      <c r="I606" s="15">
        <v>4235868</v>
      </c>
      <c r="J606" s="19">
        <f t="shared" si="47"/>
        <v>1.2878591768055789</v>
      </c>
      <c r="K606" s="19">
        <f t="shared" si="43"/>
        <v>151.6045</v>
      </c>
      <c r="L606" s="19">
        <f t="shared" si="44"/>
        <v>152.91119999999998</v>
      </c>
      <c r="M606" s="19">
        <f>MAX(G526:G606)</f>
        <v>172.3</v>
      </c>
      <c r="N606" s="19">
        <f t="shared" si="45"/>
        <v>-9.1642484039466154</v>
      </c>
      <c r="O606" s="9" t="str">
        <f t="shared" si="46"/>
        <v>2024-04</v>
      </c>
    </row>
    <row r="607" spans="1:15" x14ac:dyDescent="0.25">
      <c r="A607" s="9" t="s">
        <v>310</v>
      </c>
      <c r="B607" s="9" t="s">
        <v>311</v>
      </c>
      <c r="C607" s="25" t="s">
        <v>127</v>
      </c>
      <c r="D607" s="19">
        <v>156.51</v>
      </c>
      <c r="E607" s="19">
        <v>162.03</v>
      </c>
      <c r="F607" s="19">
        <v>155.9</v>
      </c>
      <c r="G607" s="19">
        <v>161.62</v>
      </c>
      <c r="H607" s="19">
        <v>161.62</v>
      </c>
      <c r="I607" s="15">
        <v>2841757</v>
      </c>
      <c r="J607" s="19">
        <f t="shared" si="47"/>
        <v>3.2649670947543377</v>
      </c>
      <c r="K607" s="19">
        <f t="shared" si="43"/>
        <v>152.14850000000001</v>
      </c>
      <c r="L607" s="19">
        <f t="shared" si="44"/>
        <v>152.70979999999997</v>
      </c>
      <c r="M607" s="19">
        <f>MAX(G526:G607)</f>
        <v>172.3</v>
      </c>
      <c r="N607" s="19">
        <f t="shared" si="45"/>
        <v>-6.1984910040626851</v>
      </c>
      <c r="O607" s="9" t="str">
        <f t="shared" si="46"/>
        <v>2024-04</v>
      </c>
    </row>
    <row r="608" spans="1:15" x14ac:dyDescent="0.25">
      <c r="A608" s="9" t="s">
        <v>310</v>
      </c>
      <c r="B608" s="9" t="s">
        <v>311</v>
      </c>
      <c r="C608" s="25" t="s">
        <v>128</v>
      </c>
      <c r="D608" s="19">
        <v>161.62</v>
      </c>
      <c r="E608" s="19">
        <v>163.26</v>
      </c>
      <c r="F608" s="19">
        <v>161.22</v>
      </c>
      <c r="G608" s="19">
        <v>162.68</v>
      </c>
      <c r="H608" s="19">
        <v>162.68</v>
      </c>
      <c r="I608" s="15">
        <v>3910703</v>
      </c>
      <c r="J608" s="19">
        <f t="shared" si="47"/>
        <v>0.65585942333869718</v>
      </c>
      <c r="K608" s="19">
        <f t="shared" si="43"/>
        <v>152.7235</v>
      </c>
      <c r="L608" s="19">
        <f t="shared" si="44"/>
        <v>152.58840000000001</v>
      </c>
      <c r="M608" s="19">
        <f>MAX(G526:G608)</f>
        <v>172.3</v>
      </c>
      <c r="N608" s="19">
        <f t="shared" si="45"/>
        <v>-5.5832849680789343</v>
      </c>
      <c r="O608" s="9" t="str">
        <f t="shared" si="46"/>
        <v>2024-04</v>
      </c>
    </row>
    <row r="609" spans="1:15" x14ac:dyDescent="0.25">
      <c r="A609" s="9" t="s">
        <v>310</v>
      </c>
      <c r="B609" s="9" t="s">
        <v>311</v>
      </c>
      <c r="C609" s="25" t="s">
        <v>129</v>
      </c>
      <c r="D609" s="19">
        <v>162.68</v>
      </c>
      <c r="E609" s="19">
        <v>163.43</v>
      </c>
      <c r="F609" s="19">
        <v>157.13</v>
      </c>
      <c r="G609" s="19">
        <v>157.63</v>
      </c>
      <c r="H609" s="19">
        <v>157.63</v>
      </c>
      <c r="I609" s="15">
        <v>2013536</v>
      </c>
      <c r="J609" s="19">
        <f t="shared" si="47"/>
        <v>-3.104253749692655</v>
      </c>
      <c r="K609" s="19">
        <f t="shared" ref="K609:K672" si="48">AVERAGE(G590:G609)</f>
        <v>152.95499999999998</v>
      </c>
      <c r="L609" s="19">
        <f t="shared" si="44"/>
        <v>152.458</v>
      </c>
      <c r="M609" s="19">
        <f>MAX(G526:G609)</f>
        <v>172.3</v>
      </c>
      <c r="N609" s="19">
        <f t="shared" si="45"/>
        <v>-8.5142193847939716</v>
      </c>
      <c r="O609" s="9" t="str">
        <f t="shared" si="46"/>
        <v>2024-04</v>
      </c>
    </row>
    <row r="610" spans="1:15" x14ac:dyDescent="0.25">
      <c r="A610" s="9" t="s">
        <v>310</v>
      </c>
      <c r="B610" s="9" t="s">
        <v>311</v>
      </c>
      <c r="C610" s="25" t="s">
        <v>130</v>
      </c>
      <c r="D610" s="19">
        <v>157.63</v>
      </c>
      <c r="E610" s="19">
        <v>157.63999999999999</v>
      </c>
      <c r="F610" s="19">
        <v>156.88</v>
      </c>
      <c r="G610" s="19">
        <v>157.29</v>
      </c>
      <c r="H610" s="19">
        <v>157.29</v>
      </c>
      <c r="I610" s="15">
        <v>3572696</v>
      </c>
      <c r="J610" s="19">
        <f t="shared" si="47"/>
        <v>-0.21569498191968753</v>
      </c>
      <c r="K610" s="19">
        <f t="shared" si="48"/>
        <v>153.26749999999998</v>
      </c>
      <c r="L610" s="19">
        <f t="shared" si="44"/>
        <v>152.4264</v>
      </c>
      <c r="M610" s="19">
        <f>MAX(G526:G610)</f>
        <v>172.3</v>
      </c>
      <c r="N610" s="19">
        <f t="shared" si="45"/>
        <v>-8.7115496227510256</v>
      </c>
      <c r="O610" s="9" t="str">
        <f t="shared" si="46"/>
        <v>2024-04</v>
      </c>
    </row>
    <row r="611" spans="1:15" x14ac:dyDescent="0.25">
      <c r="A611" s="9" t="s">
        <v>310</v>
      </c>
      <c r="B611" s="9" t="s">
        <v>311</v>
      </c>
      <c r="C611" s="25" t="s">
        <v>131</v>
      </c>
      <c r="D611" s="19">
        <v>157.29</v>
      </c>
      <c r="E611" s="19">
        <v>158.97</v>
      </c>
      <c r="F611" s="19">
        <v>156.87</v>
      </c>
      <c r="G611" s="19">
        <v>158.49</v>
      </c>
      <c r="H611" s="19">
        <v>158.49</v>
      </c>
      <c r="I611" s="15">
        <v>4905448</v>
      </c>
      <c r="J611" s="19">
        <f t="shared" si="47"/>
        <v>0.76292199122640802</v>
      </c>
      <c r="K611" s="19">
        <f t="shared" si="48"/>
        <v>153.67699999999999</v>
      </c>
      <c r="L611" s="19">
        <f t="shared" si="44"/>
        <v>152.3954</v>
      </c>
      <c r="M611" s="19">
        <f>MAX(G526:G611)</f>
        <v>172.3</v>
      </c>
      <c r="N611" s="19">
        <f t="shared" si="45"/>
        <v>-8.0150899593731868</v>
      </c>
      <c r="O611" s="9" t="str">
        <f t="shared" si="46"/>
        <v>2024-04</v>
      </c>
    </row>
    <row r="612" spans="1:15" x14ac:dyDescent="0.25">
      <c r="A612" s="9" t="s">
        <v>310</v>
      </c>
      <c r="B612" s="9" t="s">
        <v>311</v>
      </c>
      <c r="C612" s="25" t="s">
        <v>132</v>
      </c>
      <c r="D612" s="19">
        <v>158.49</v>
      </c>
      <c r="E612" s="19">
        <v>161.13999999999999</v>
      </c>
      <c r="F612" s="19">
        <v>157.44</v>
      </c>
      <c r="G612" s="19">
        <v>161.09</v>
      </c>
      <c r="H612" s="19">
        <v>161.09</v>
      </c>
      <c r="I612" s="15">
        <v>3173688</v>
      </c>
      <c r="J612" s="19">
        <f t="shared" si="47"/>
        <v>1.6404820493406487</v>
      </c>
      <c r="K612" s="19">
        <f t="shared" si="48"/>
        <v>154.31749999999997</v>
      </c>
      <c r="L612" s="19">
        <f t="shared" si="44"/>
        <v>152.44800000000001</v>
      </c>
      <c r="M612" s="19">
        <f>MAX(G526:G612)</f>
        <v>172.3</v>
      </c>
      <c r="N612" s="19">
        <f t="shared" si="45"/>
        <v>-6.5060940220545609</v>
      </c>
      <c r="O612" s="9" t="str">
        <f t="shared" si="46"/>
        <v>2024-04</v>
      </c>
    </row>
    <row r="613" spans="1:15" x14ac:dyDescent="0.25">
      <c r="A613" s="9" t="s">
        <v>310</v>
      </c>
      <c r="B613" s="9" t="s">
        <v>311</v>
      </c>
      <c r="C613" s="25" t="s">
        <v>133</v>
      </c>
      <c r="D613" s="19">
        <v>161.09</v>
      </c>
      <c r="E613" s="19">
        <v>163.1</v>
      </c>
      <c r="F613" s="19">
        <v>160.94999999999999</v>
      </c>
      <c r="G613" s="19">
        <v>161.59</v>
      </c>
      <c r="H613" s="19">
        <v>161.59</v>
      </c>
      <c r="I613" s="15">
        <v>5237147</v>
      </c>
      <c r="J613" s="19">
        <f t="shared" si="47"/>
        <v>0.31038549878949656</v>
      </c>
      <c r="K613" s="19">
        <f t="shared" si="48"/>
        <v>154.791</v>
      </c>
      <c r="L613" s="19">
        <f t="shared" si="44"/>
        <v>152.54339999999999</v>
      </c>
      <c r="M613" s="19">
        <f>MAX(G526:G613)</f>
        <v>172.3</v>
      </c>
      <c r="N613" s="19">
        <f t="shared" si="45"/>
        <v>-6.2159024956471312</v>
      </c>
      <c r="O613" s="9" t="str">
        <f t="shared" si="46"/>
        <v>2024-05</v>
      </c>
    </row>
    <row r="614" spans="1:15" x14ac:dyDescent="0.25">
      <c r="A614" s="9" t="s">
        <v>310</v>
      </c>
      <c r="B614" s="9" t="s">
        <v>311</v>
      </c>
      <c r="C614" s="25" t="s">
        <v>134</v>
      </c>
      <c r="D614" s="19">
        <v>161.59</v>
      </c>
      <c r="E614" s="19">
        <v>163.41999999999999</v>
      </c>
      <c r="F614" s="19">
        <v>160.97999999999999</v>
      </c>
      <c r="G614" s="19">
        <v>163.22999999999999</v>
      </c>
      <c r="H614" s="19">
        <v>163.22999999999999</v>
      </c>
      <c r="I614" s="15">
        <v>3751189</v>
      </c>
      <c r="J614" s="19">
        <f t="shared" si="47"/>
        <v>1.014914289250564</v>
      </c>
      <c r="K614" s="19">
        <f t="shared" si="48"/>
        <v>155.40399999999997</v>
      </c>
      <c r="L614" s="19">
        <f t="shared" si="44"/>
        <v>152.64440000000002</v>
      </c>
      <c r="M614" s="19">
        <f>MAX(G526:G614)</f>
        <v>172.3</v>
      </c>
      <c r="N614" s="19">
        <f t="shared" si="45"/>
        <v>-5.2640742890307726</v>
      </c>
      <c r="O614" s="9" t="str">
        <f t="shared" si="46"/>
        <v>2024-05</v>
      </c>
    </row>
    <row r="615" spans="1:15" x14ac:dyDescent="0.25">
      <c r="A615" s="9" t="s">
        <v>310</v>
      </c>
      <c r="B615" s="9" t="s">
        <v>311</v>
      </c>
      <c r="C615" s="25" t="s">
        <v>135</v>
      </c>
      <c r="D615" s="19">
        <v>163.22999999999999</v>
      </c>
      <c r="E615" s="19">
        <v>164.15</v>
      </c>
      <c r="F615" s="19">
        <v>162.93</v>
      </c>
      <c r="G615" s="19">
        <v>163.66</v>
      </c>
      <c r="H615" s="19">
        <v>163.66</v>
      </c>
      <c r="I615" s="15">
        <v>4937878</v>
      </c>
      <c r="J615" s="19">
        <f t="shared" si="47"/>
        <v>0.26343196716290318</v>
      </c>
      <c r="K615" s="19">
        <f t="shared" si="48"/>
        <v>156.274</v>
      </c>
      <c r="L615" s="19">
        <f t="shared" si="44"/>
        <v>152.75200000000001</v>
      </c>
      <c r="M615" s="19">
        <f>MAX(G526:G615)</f>
        <v>172.3</v>
      </c>
      <c r="N615" s="19">
        <f t="shared" si="45"/>
        <v>-5.0145095763203802</v>
      </c>
      <c r="O615" s="9" t="str">
        <f t="shared" si="46"/>
        <v>2024-05</v>
      </c>
    </row>
    <row r="616" spans="1:15" x14ac:dyDescent="0.25">
      <c r="A616" s="9" t="s">
        <v>310</v>
      </c>
      <c r="B616" s="9" t="s">
        <v>311</v>
      </c>
      <c r="C616" s="25" t="s">
        <v>136</v>
      </c>
      <c r="D616" s="19">
        <v>163.66</v>
      </c>
      <c r="E616" s="19">
        <v>164.38</v>
      </c>
      <c r="F616" s="19">
        <v>162.41999999999999</v>
      </c>
      <c r="G616" s="19">
        <v>162.66999999999999</v>
      </c>
      <c r="H616" s="19">
        <v>162.66999999999999</v>
      </c>
      <c r="I616" s="15">
        <v>3007762</v>
      </c>
      <c r="J616" s="19">
        <f t="shared" si="47"/>
        <v>-0.60491262373213317</v>
      </c>
      <c r="K616" s="19">
        <f t="shared" si="48"/>
        <v>156.88900000000001</v>
      </c>
      <c r="L616" s="19">
        <f t="shared" si="44"/>
        <v>152.8912</v>
      </c>
      <c r="M616" s="19">
        <f>MAX(G526:G616)</f>
        <v>172.3</v>
      </c>
      <c r="N616" s="19">
        <f t="shared" si="45"/>
        <v>-5.5890887986070936</v>
      </c>
      <c r="O616" s="9" t="str">
        <f t="shared" si="46"/>
        <v>2024-05</v>
      </c>
    </row>
    <row r="617" spans="1:15" x14ac:dyDescent="0.25">
      <c r="A617" s="9" t="s">
        <v>310</v>
      </c>
      <c r="B617" s="9" t="s">
        <v>311</v>
      </c>
      <c r="C617" s="25" t="s">
        <v>137</v>
      </c>
      <c r="D617" s="19">
        <v>162.66999999999999</v>
      </c>
      <c r="E617" s="19">
        <v>167.48</v>
      </c>
      <c r="F617" s="19">
        <v>162.46</v>
      </c>
      <c r="G617" s="19">
        <v>167.43</v>
      </c>
      <c r="H617" s="19">
        <v>167.43</v>
      </c>
      <c r="I617" s="15">
        <v>1580338</v>
      </c>
      <c r="J617" s="19">
        <f t="shared" si="47"/>
        <v>2.9261695457060428</v>
      </c>
      <c r="K617" s="19">
        <f t="shared" si="48"/>
        <v>157.685</v>
      </c>
      <c r="L617" s="19">
        <f t="shared" si="44"/>
        <v>153.17359999999999</v>
      </c>
      <c r="M617" s="19">
        <f>MAX(G526:G617)</f>
        <v>172.3</v>
      </c>
      <c r="N617" s="19">
        <f t="shared" si="45"/>
        <v>-2.8264654672083602</v>
      </c>
      <c r="O617" s="9" t="str">
        <f t="shared" si="46"/>
        <v>2024-05</v>
      </c>
    </row>
    <row r="618" spans="1:15" x14ac:dyDescent="0.25">
      <c r="A618" s="9" t="s">
        <v>310</v>
      </c>
      <c r="B618" s="9" t="s">
        <v>311</v>
      </c>
      <c r="C618" s="25" t="s">
        <v>138</v>
      </c>
      <c r="D618" s="19">
        <v>167.43</v>
      </c>
      <c r="E618" s="19">
        <v>168.22</v>
      </c>
      <c r="F618" s="19">
        <v>165.77</v>
      </c>
      <c r="G618" s="19">
        <v>166.14</v>
      </c>
      <c r="H618" s="19">
        <v>166.14</v>
      </c>
      <c r="I618" s="15">
        <v>5343336</v>
      </c>
      <c r="J618" s="19">
        <f t="shared" si="47"/>
        <v>-0.77047124171296688</v>
      </c>
      <c r="K618" s="19">
        <f t="shared" si="48"/>
        <v>158.53249999999997</v>
      </c>
      <c r="L618" s="19">
        <f t="shared" si="44"/>
        <v>153.5052</v>
      </c>
      <c r="M618" s="19">
        <f>MAX(G526:G618)</f>
        <v>172.3</v>
      </c>
      <c r="N618" s="19">
        <f t="shared" si="45"/>
        <v>-3.5751596053395382</v>
      </c>
      <c r="O618" s="9" t="str">
        <f t="shared" si="46"/>
        <v>2024-05</v>
      </c>
    </row>
    <row r="619" spans="1:15" x14ac:dyDescent="0.25">
      <c r="A619" s="9" t="s">
        <v>310</v>
      </c>
      <c r="B619" s="9" t="s">
        <v>311</v>
      </c>
      <c r="C619" s="25" t="s">
        <v>139</v>
      </c>
      <c r="D619" s="19">
        <v>166.14</v>
      </c>
      <c r="E619" s="19">
        <v>166.47</v>
      </c>
      <c r="F619" s="19">
        <v>163.24</v>
      </c>
      <c r="G619" s="19">
        <v>163.93</v>
      </c>
      <c r="H619" s="19">
        <v>163.93</v>
      </c>
      <c r="I619" s="15">
        <v>1283525</v>
      </c>
      <c r="J619" s="19">
        <f t="shared" si="47"/>
        <v>-1.3302034428794871</v>
      </c>
      <c r="K619" s="19">
        <f t="shared" si="48"/>
        <v>159.07299999999998</v>
      </c>
      <c r="L619" s="19">
        <f t="shared" si="44"/>
        <v>153.77380000000002</v>
      </c>
      <c r="M619" s="19">
        <f>MAX(G526:G619)</f>
        <v>172.3</v>
      </c>
      <c r="N619" s="19">
        <f t="shared" si="45"/>
        <v>-4.8578061520603626</v>
      </c>
      <c r="O619" s="9" t="str">
        <f t="shared" si="46"/>
        <v>2024-05</v>
      </c>
    </row>
    <row r="620" spans="1:15" x14ac:dyDescent="0.25">
      <c r="A620" s="9" t="s">
        <v>310</v>
      </c>
      <c r="B620" s="9" t="s">
        <v>311</v>
      </c>
      <c r="C620" s="25" t="s">
        <v>140</v>
      </c>
      <c r="D620" s="19">
        <v>163.93</v>
      </c>
      <c r="E620" s="19">
        <v>166.67</v>
      </c>
      <c r="F620" s="19">
        <v>163.22</v>
      </c>
      <c r="G620" s="19">
        <v>166.29</v>
      </c>
      <c r="H620" s="19">
        <v>166.29</v>
      </c>
      <c r="I620" s="15">
        <v>5939758</v>
      </c>
      <c r="J620" s="19">
        <f t="shared" si="47"/>
        <v>1.4396388702494876</v>
      </c>
      <c r="K620" s="19">
        <f t="shared" si="48"/>
        <v>159.89199999999997</v>
      </c>
      <c r="L620" s="19">
        <f t="shared" si="44"/>
        <v>154.08960000000002</v>
      </c>
      <c r="M620" s="19">
        <f>MAX(G526:G620)</f>
        <v>172.3</v>
      </c>
      <c r="N620" s="19">
        <f t="shared" si="45"/>
        <v>-3.4881021474173068</v>
      </c>
      <c r="O620" s="9" t="str">
        <f t="shared" si="46"/>
        <v>2024-05</v>
      </c>
    </row>
    <row r="621" spans="1:15" x14ac:dyDescent="0.25">
      <c r="A621" s="9" t="s">
        <v>310</v>
      </c>
      <c r="B621" s="9" t="s">
        <v>311</v>
      </c>
      <c r="C621" s="25" t="s">
        <v>141</v>
      </c>
      <c r="D621" s="19">
        <v>166.29</v>
      </c>
      <c r="E621" s="19">
        <v>170.89</v>
      </c>
      <c r="F621" s="19">
        <v>165.63</v>
      </c>
      <c r="G621" s="19">
        <v>170.21</v>
      </c>
      <c r="H621" s="19">
        <v>170.21</v>
      </c>
      <c r="I621" s="15">
        <v>3450135</v>
      </c>
      <c r="J621" s="19">
        <f t="shared" si="47"/>
        <v>2.3573275602862567</v>
      </c>
      <c r="K621" s="19">
        <f t="shared" si="48"/>
        <v>160.64949999999993</v>
      </c>
      <c r="L621" s="19">
        <f t="shared" si="44"/>
        <v>154.53120000000001</v>
      </c>
      <c r="M621" s="19">
        <f>MAX(G526:G621)</f>
        <v>172.3</v>
      </c>
      <c r="N621" s="19">
        <f t="shared" si="45"/>
        <v>-1.2130005803830546</v>
      </c>
      <c r="O621" s="9" t="str">
        <f t="shared" si="46"/>
        <v>2024-05</v>
      </c>
    </row>
    <row r="622" spans="1:15" x14ac:dyDescent="0.25">
      <c r="A622" s="9" t="s">
        <v>310</v>
      </c>
      <c r="B622" s="9" t="s">
        <v>311</v>
      </c>
      <c r="C622" s="25" t="s">
        <v>142</v>
      </c>
      <c r="D622" s="19">
        <v>170.21</v>
      </c>
      <c r="E622" s="19">
        <v>171.55</v>
      </c>
      <c r="F622" s="19">
        <v>169.15</v>
      </c>
      <c r="G622" s="19">
        <v>171.09</v>
      </c>
      <c r="H622" s="19">
        <v>171.09</v>
      </c>
      <c r="I622" s="15">
        <v>4948151</v>
      </c>
      <c r="J622" s="19">
        <f t="shared" si="47"/>
        <v>0.51700840138651982</v>
      </c>
      <c r="K622" s="19">
        <f t="shared" si="48"/>
        <v>161.46099999999998</v>
      </c>
      <c r="L622" s="19">
        <f t="shared" si="44"/>
        <v>154.97460000000004</v>
      </c>
      <c r="M622" s="19">
        <f>MAX(G526:G622)</f>
        <v>172.3</v>
      </c>
      <c r="N622" s="19">
        <f t="shared" si="45"/>
        <v>-0.70226349390598253</v>
      </c>
      <c r="O622" s="9" t="str">
        <f t="shared" si="46"/>
        <v>2024-05</v>
      </c>
    </row>
    <row r="623" spans="1:15" x14ac:dyDescent="0.25">
      <c r="A623" s="9" t="s">
        <v>310</v>
      </c>
      <c r="B623" s="9" t="s">
        <v>311</v>
      </c>
      <c r="C623" s="25" t="s">
        <v>143</v>
      </c>
      <c r="D623" s="19">
        <v>171.09</v>
      </c>
      <c r="E623" s="19">
        <v>171.32</v>
      </c>
      <c r="F623" s="19">
        <v>169.96</v>
      </c>
      <c r="G623" s="19">
        <v>170.51</v>
      </c>
      <c r="H623" s="19">
        <v>170.51</v>
      </c>
      <c r="I623" s="15">
        <v>3487092</v>
      </c>
      <c r="J623" s="19">
        <f t="shared" si="47"/>
        <v>-0.33900286398972029</v>
      </c>
      <c r="K623" s="19">
        <f t="shared" si="48"/>
        <v>162.45549999999997</v>
      </c>
      <c r="L623" s="19">
        <f t="shared" si="44"/>
        <v>155.40360000000001</v>
      </c>
      <c r="M623" s="19">
        <f>MAX(G526:G623)</f>
        <v>172.3</v>
      </c>
      <c r="N623" s="19">
        <f t="shared" si="45"/>
        <v>-1.0388856645386073</v>
      </c>
      <c r="O623" s="9" t="str">
        <f t="shared" si="46"/>
        <v>2024-05</v>
      </c>
    </row>
    <row r="624" spans="1:15" x14ac:dyDescent="0.25">
      <c r="A624" s="9" t="s">
        <v>310</v>
      </c>
      <c r="B624" s="9" t="s">
        <v>311</v>
      </c>
      <c r="C624" s="25" t="s">
        <v>144</v>
      </c>
      <c r="D624" s="19">
        <v>170.51</v>
      </c>
      <c r="E624" s="19">
        <v>171.61</v>
      </c>
      <c r="F624" s="19">
        <v>167.94</v>
      </c>
      <c r="G624" s="19">
        <v>168.42</v>
      </c>
      <c r="H624" s="19">
        <v>168.42</v>
      </c>
      <c r="I624" s="15">
        <v>5732215</v>
      </c>
      <c r="J624" s="19">
        <f t="shared" si="47"/>
        <v>-1.2257345610228159</v>
      </c>
      <c r="K624" s="19">
        <f t="shared" si="48"/>
        <v>163.25</v>
      </c>
      <c r="L624" s="19">
        <f t="shared" si="44"/>
        <v>155.79100000000003</v>
      </c>
      <c r="M624" s="19">
        <f>MAX(G526:G624)</f>
        <v>172.3</v>
      </c>
      <c r="N624" s="19">
        <f t="shared" si="45"/>
        <v>-2.2518862449216619</v>
      </c>
      <c r="O624" s="9" t="str">
        <f t="shared" si="46"/>
        <v>2024-05</v>
      </c>
    </row>
    <row r="625" spans="1:15" x14ac:dyDescent="0.25">
      <c r="A625" s="9" t="s">
        <v>310</v>
      </c>
      <c r="B625" s="9" t="s">
        <v>311</v>
      </c>
      <c r="C625" s="25" t="s">
        <v>145</v>
      </c>
      <c r="D625" s="19">
        <v>168.42</v>
      </c>
      <c r="E625" s="19">
        <v>168.95</v>
      </c>
      <c r="F625" s="19">
        <v>166.11</v>
      </c>
      <c r="G625" s="19">
        <v>166.85</v>
      </c>
      <c r="H625" s="19">
        <v>166.85</v>
      </c>
      <c r="I625" s="15">
        <v>3832666</v>
      </c>
      <c r="J625" s="19">
        <f t="shared" si="47"/>
        <v>-0.93219332620828477</v>
      </c>
      <c r="K625" s="19">
        <f t="shared" si="48"/>
        <v>163.86650000000003</v>
      </c>
      <c r="L625" s="19">
        <f t="shared" si="44"/>
        <v>156.19940000000005</v>
      </c>
      <c r="M625" s="19">
        <f>MAX(G526:G625)</f>
        <v>172.3</v>
      </c>
      <c r="N625" s="19">
        <f t="shared" si="45"/>
        <v>-3.1630876378409849</v>
      </c>
      <c r="O625" s="9" t="str">
        <f t="shared" si="46"/>
        <v>2024-05</v>
      </c>
    </row>
    <row r="626" spans="1:15" x14ac:dyDescent="0.25">
      <c r="A626" s="9" t="s">
        <v>310</v>
      </c>
      <c r="B626" s="9" t="s">
        <v>311</v>
      </c>
      <c r="C626" s="25" t="s">
        <v>146</v>
      </c>
      <c r="D626" s="19">
        <v>166.85</v>
      </c>
      <c r="E626" s="19">
        <v>169.57</v>
      </c>
      <c r="F626" s="19">
        <v>166.7</v>
      </c>
      <c r="G626" s="19">
        <v>168.52</v>
      </c>
      <c r="H626" s="19">
        <v>168.52</v>
      </c>
      <c r="I626" s="15">
        <v>3381932</v>
      </c>
      <c r="J626" s="19">
        <f t="shared" si="47"/>
        <v>1.0008990110878131</v>
      </c>
      <c r="K626" s="19">
        <f t="shared" si="48"/>
        <v>164.46700000000001</v>
      </c>
      <c r="L626" s="19">
        <f t="shared" si="44"/>
        <v>156.61900000000006</v>
      </c>
      <c r="M626" s="19">
        <f>MAX(G526:G626)</f>
        <v>172.3</v>
      </c>
      <c r="N626" s="19">
        <f t="shared" si="45"/>
        <v>-2.1938479396401629</v>
      </c>
      <c r="O626" s="9" t="str">
        <f t="shared" si="46"/>
        <v>2024-05</v>
      </c>
    </row>
    <row r="627" spans="1:15" x14ac:dyDescent="0.25">
      <c r="A627" s="9" t="s">
        <v>310</v>
      </c>
      <c r="B627" s="9" t="s">
        <v>311</v>
      </c>
      <c r="C627" s="25" t="s">
        <v>147</v>
      </c>
      <c r="D627" s="19">
        <v>168.52</v>
      </c>
      <c r="E627" s="19">
        <v>170.74</v>
      </c>
      <c r="F627" s="19">
        <v>167.68</v>
      </c>
      <c r="G627" s="19">
        <v>170.31</v>
      </c>
      <c r="H627" s="19">
        <v>170.31</v>
      </c>
      <c r="I627" s="15">
        <v>3760013</v>
      </c>
      <c r="J627" s="19">
        <f t="shared" si="47"/>
        <v>1.0621884642772323</v>
      </c>
      <c r="K627" s="19">
        <f t="shared" si="48"/>
        <v>164.9015</v>
      </c>
      <c r="L627" s="19">
        <f t="shared" si="44"/>
        <v>157.07100000000005</v>
      </c>
      <c r="M627" s="19">
        <f>MAX(G526:G627)</f>
        <v>172.3</v>
      </c>
      <c r="N627" s="19">
        <f t="shared" si="45"/>
        <v>-1.1549622751015722</v>
      </c>
      <c r="O627" s="9" t="str">
        <f t="shared" si="46"/>
        <v>2024-05</v>
      </c>
    </row>
    <row r="628" spans="1:15" x14ac:dyDescent="0.25">
      <c r="A628" s="9" t="s">
        <v>310</v>
      </c>
      <c r="B628" s="9" t="s">
        <v>311</v>
      </c>
      <c r="C628" s="25" t="s">
        <v>148</v>
      </c>
      <c r="D628" s="19">
        <v>170.31</v>
      </c>
      <c r="E628" s="19">
        <v>171.6</v>
      </c>
      <c r="F628" s="19">
        <v>168.87</v>
      </c>
      <c r="G628" s="19">
        <v>169.54</v>
      </c>
      <c r="H628" s="19">
        <v>169.54</v>
      </c>
      <c r="I628" s="15">
        <v>3887804</v>
      </c>
      <c r="J628" s="19">
        <f t="shared" si="47"/>
        <v>-0.45211672831895383</v>
      </c>
      <c r="K628" s="19">
        <f t="shared" si="48"/>
        <v>165.24449999999999</v>
      </c>
      <c r="L628" s="19">
        <f t="shared" si="44"/>
        <v>157.50980000000004</v>
      </c>
      <c r="M628" s="19">
        <f>MAX(G526:G628)</f>
        <v>172.3</v>
      </c>
      <c r="N628" s="19">
        <f t="shared" si="45"/>
        <v>-1.6018572257690187</v>
      </c>
      <c r="O628" s="9" t="str">
        <f t="shared" si="46"/>
        <v>2024-05</v>
      </c>
    </row>
    <row r="629" spans="1:15" x14ac:dyDescent="0.25">
      <c r="A629" s="9" t="s">
        <v>310</v>
      </c>
      <c r="B629" s="9" t="s">
        <v>311</v>
      </c>
      <c r="C629" s="25" t="s">
        <v>149</v>
      </c>
      <c r="D629" s="19">
        <v>169.54</v>
      </c>
      <c r="E629" s="19">
        <v>176.73</v>
      </c>
      <c r="F629" s="19">
        <v>169.32</v>
      </c>
      <c r="G629" s="19">
        <v>175.51</v>
      </c>
      <c r="H629" s="19">
        <v>175.51</v>
      </c>
      <c r="I629" s="15">
        <v>3967402</v>
      </c>
      <c r="J629" s="19">
        <f t="shared" si="47"/>
        <v>3.5212929102276744</v>
      </c>
      <c r="K629" s="19">
        <f t="shared" si="48"/>
        <v>166.13849999999996</v>
      </c>
      <c r="L629" s="19">
        <f t="shared" si="44"/>
        <v>157.96180000000004</v>
      </c>
      <c r="M629" s="19">
        <f>MAX(G526:G629)</f>
        <v>175.51</v>
      </c>
      <c r="N629" s="19">
        <f t="shared" si="45"/>
        <v>0</v>
      </c>
      <c r="O629" s="9" t="str">
        <f t="shared" si="46"/>
        <v>2024-05</v>
      </c>
    </row>
    <row r="630" spans="1:15" x14ac:dyDescent="0.25">
      <c r="A630" s="9" t="s">
        <v>310</v>
      </c>
      <c r="B630" s="9" t="s">
        <v>311</v>
      </c>
      <c r="C630" s="25" t="s">
        <v>150</v>
      </c>
      <c r="D630" s="19">
        <v>175.51</v>
      </c>
      <c r="E630" s="19">
        <v>176.71</v>
      </c>
      <c r="F630" s="19">
        <v>172.78</v>
      </c>
      <c r="G630" s="19">
        <v>174.16</v>
      </c>
      <c r="H630" s="19">
        <v>174.16</v>
      </c>
      <c r="I630" s="15">
        <v>3265696</v>
      </c>
      <c r="J630" s="19">
        <f t="shared" si="47"/>
        <v>-0.76918694091504436</v>
      </c>
      <c r="K630" s="19">
        <f t="shared" si="48"/>
        <v>166.98199999999997</v>
      </c>
      <c r="L630" s="19">
        <f t="shared" si="44"/>
        <v>158.38080000000002</v>
      </c>
      <c r="M630" s="19">
        <f>MAX(G526:G630)</f>
        <v>175.51</v>
      </c>
      <c r="N630" s="19">
        <f t="shared" si="45"/>
        <v>-0.76918694091504436</v>
      </c>
      <c r="O630" s="9" t="str">
        <f t="shared" si="46"/>
        <v>2024-05</v>
      </c>
    </row>
    <row r="631" spans="1:15" x14ac:dyDescent="0.25">
      <c r="A631" s="9" t="s">
        <v>310</v>
      </c>
      <c r="B631" s="9" t="s">
        <v>311</v>
      </c>
      <c r="C631" s="25" t="s">
        <v>151</v>
      </c>
      <c r="D631" s="19">
        <v>174.16</v>
      </c>
      <c r="E631" s="19">
        <v>174.59</v>
      </c>
      <c r="F631" s="19">
        <v>170.13</v>
      </c>
      <c r="G631" s="19">
        <v>170.35</v>
      </c>
      <c r="H631" s="19">
        <v>170.35</v>
      </c>
      <c r="I631" s="15">
        <v>4017337</v>
      </c>
      <c r="J631" s="19">
        <f t="shared" si="47"/>
        <v>-2.1876435461644479</v>
      </c>
      <c r="K631" s="19">
        <f t="shared" si="48"/>
        <v>167.57499999999999</v>
      </c>
      <c r="L631" s="19">
        <f t="shared" si="44"/>
        <v>158.74340000000004</v>
      </c>
      <c r="M631" s="19">
        <f>MAX(G526:G631)</f>
        <v>175.51</v>
      </c>
      <c r="N631" s="19">
        <f t="shared" si="45"/>
        <v>-2.9400034186086246</v>
      </c>
      <c r="O631" s="9" t="str">
        <f t="shared" si="46"/>
        <v>2024-05</v>
      </c>
    </row>
    <row r="632" spans="1:15" x14ac:dyDescent="0.25">
      <c r="A632" s="9" t="s">
        <v>310</v>
      </c>
      <c r="B632" s="9" t="s">
        <v>311</v>
      </c>
      <c r="C632" s="25" t="s">
        <v>152</v>
      </c>
      <c r="D632" s="19">
        <v>170.35</v>
      </c>
      <c r="E632" s="19">
        <v>172.58</v>
      </c>
      <c r="F632" s="19">
        <v>170.23</v>
      </c>
      <c r="G632" s="19">
        <v>172.18</v>
      </c>
      <c r="H632" s="19">
        <v>172.18</v>
      </c>
      <c r="I632" s="15">
        <v>4030348</v>
      </c>
      <c r="J632" s="19">
        <f t="shared" si="47"/>
        <v>1.0742588787789917</v>
      </c>
      <c r="K632" s="19">
        <f t="shared" si="48"/>
        <v>168.12949999999995</v>
      </c>
      <c r="L632" s="19">
        <f t="shared" si="44"/>
        <v>159.15200000000002</v>
      </c>
      <c r="M632" s="19">
        <f>MAX(G526:G632)</f>
        <v>175.51</v>
      </c>
      <c r="N632" s="19">
        <f t="shared" si="45"/>
        <v>-1.897327787590442</v>
      </c>
      <c r="O632" s="9" t="str">
        <f t="shared" si="46"/>
        <v>2024-05</v>
      </c>
    </row>
    <row r="633" spans="1:15" x14ac:dyDescent="0.25">
      <c r="A633" s="9" t="s">
        <v>310</v>
      </c>
      <c r="B633" s="9" t="s">
        <v>311</v>
      </c>
      <c r="C633" s="25" t="s">
        <v>153</v>
      </c>
      <c r="D633" s="19">
        <v>172.18</v>
      </c>
      <c r="E633" s="19">
        <v>173.22</v>
      </c>
      <c r="F633" s="19">
        <v>170.19</v>
      </c>
      <c r="G633" s="19">
        <v>170.64</v>
      </c>
      <c r="H633" s="19">
        <v>170.64</v>
      </c>
      <c r="I633" s="15">
        <v>7003555</v>
      </c>
      <c r="J633" s="19">
        <f t="shared" si="47"/>
        <v>-0.89441282378906972</v>
      </c>
      <c r="K633" s="19">
        <f t="shared" si="48"/>
        <v>168.58199999999994</v>
      </c>
      <c r="L633" s="19">
        <f t="shared" si="44"/>
        <v>159.46240000000006</v>
      </c>
      <c r="M633" s="19">
        <f>MAX(G526:G633)</f>
        <v>175.51</v>
      </c>
      <c r="N633" s="19">
        <f t="shared" si="45"/>
        <v>-2.7747706683379891</v>
      </c>
      <c r="O633" s="9" t="str">
        <f t="shared" si="46"/>
        <v>2024-05</v>
      </c>
    </row>
    <row r="634" spans="1:15" x14ac:dyDescent="0.25">
      <c r="A634" s="9" t="s">
        <v>310</v>
      </c>
      <c r="B634" s="9" t="s">
        <v>311</v>
      </c>
      <c r="C634" s="25" t="s">
        <v>154</v>
      </c>
      <c r="D634" s="19">
        <v>170.64</v>
      </c>
      <c r="E634" s="19">
        <v>170.83</v>
      </c>
      <c r="F634" s="19">
        <v>170.25</v>
      </c>
      <c r="G634" s="19">
        <v>170.69</v>
      </c>
      <c r="H634" s="19">
        <v>170.69</v>
      </c>
      <c r="I634" s="15">
        <v>3927407</v>
      </c>
      <c r="J634" s="19">
        <f t="shared" si="47"/>
        <v>2.9301453352092929E-2</v>
      </c>
      <c r="K634" s="19">
        <f t="shared" si="48"/>
        <v>168.95499999999998</v>
      </c>
      <c r="L634" s="19">
        <f t="shared" si="44"/>
        <v>159.85860000000005</v>
      </c>
      <c r="M634" s="19">
        <f>MAX(G526:G634)</f>
        <v>175.51</v>
      </c>
      <c r="N634" s="19">
        <f t="shared" si="45"/>
        <v>-2.7462822631189066</v>
      </c>
      <c r="O634" s="9" t="str">
        <f t="shared" si="46"/>
        <v>2024-05</v>
      </c>
    </row>
    <row r="635" spans="1:15" x14ac:dyDescent="0.25">
      <c r="A635" s="9" t="s">
        <v>310</v>
      </c>
      <c r="B635" s="9" t="s">
        <v>311</v>
      </c>
      <c r="C635" s="25" t="s">
        <v>155</v>
      </c>
      <c r="D635" s="19">
        <v>170.69</v>
      </c>
      <c r="E635" s="19">
        <v>171.49</v>
      </c>
      <c r="F635" s="19">
        <v>166.88</v>
      </c>
      <c r="G635" s="19">
        <v>167.74</v>
      </c>
      <c r="H635" s="19">
        <v>167.74</v>
      </c>
      <c r="I635" s="15">
        <v>5058760</v>
      </c>
      <c r="J635" s="19">
        <f t="shared" si="47"/>
        <v>-1.728279336809414</v>
      </c>
      <c r="K635" s="19">
        <f t="shared" si="48"/>
        <v>169.15899999999996</v>
      </c>
      <c r="L635" s="19">
        <f t="shared" si="44"/>
        <v>160.23700000000005</v>
      </c>
      <c r="M635" s="19">
        <f>MAX(G526:G635)</f>
        <v>175.51</v>
      </c>
      <c r="N635" s="19">
        <f t="shared" si="45"/>
        <v>-4.4270981710443742</v>
      </c>
      <c r="O635" s="9" t="str">
        <f t="shared" si="46"/>
        <v>2024-05</v>
      </c>
    </row>
    <row r="636" spans="1:15" x14ac:dyDescent="0.25">
      <c r="A636" s="9" t="s">
        <v>310</v>
      </c>
      <c r="B636" s="9" t="s">
        <v>311</v>
      </c>
      <c r="C636" s="25" t="s">
        <v>156</v>
      </c>
      <c r="D636" s="19">
        <v>167.74</v>
      </c>
      <c r="E636" s="19">
        <v>168.4</v>
      </c>
      <c r="F636" s="19">
        <v>165.99</v>
      </c>
      <c r="G636" s="19">
        <v>166.22</v>
      </c>
      <c r="H636" s="19">
        <v>166.22</v>
      </c>
      <c r="I636" s="15">
        <v>6480858</v>
      </c>
      <c r="J636" s="19">
        <f t="shared" si="47"/>
        <v>-0.90616430189579722</v>
      </c>
      <c r="K636" s="19">
        <f t="shared" si="48"/>
        <v>169.33649999999994</v>
      </c>
      <c r="L636" s="19">
        <f t="shared" si="44"/>
        <v>160.57540000000006</v>
      </c>
      <c r="M636" s="19">
        <f>MAX(G526:G636)</f>
        <v>175.51</v>
      </c>
      <c r="N636" s="19">
        <f t="shared" si="45"/>
        <v>-5.2931456897042857</v>
      </c>
      <c r="O636" s="9" t="str">
        <f t="shared" si="46"/>
        <v>2024-06</v>
      </c>
    </row>
    <row r="637" spans="1:15" x14ac:dyDescent="0.25">
      <c r="A637" s="9" t="s">
        <v>310</v>
      </c>
      <c r="B637" s="9" t="s">
        <v>311</v>
      </c>
      <c r="C637" s="25" t="s">
        <v>157</v>
      </c>
      <c r="D637" s="19">
        <v>166.22</v>
      </c>
      <c r="E637" s="19">
        <v>166.34</v>
      </c>
      <c r="F637" s="19">
        <v>165.35</v>
      </c>
      <c r="G637" s="19">
        <v>165.64</v>
      </c>
      <c r="H637" s="19">
        <v>165.64</v>
      </c>
      <c r="I637" s="15">
        <v>3382827</v>
      </c>
      <c r="J637" s="19">
        <f t="shared" si="47"/>
        <v>-0.34893514619180155</v>
      </c>
      <c r="K637" s="19">
        <f t="shared" si="48"/>
        <v>169.24699999999999</v>
      </c>
      <c r="L637" s="19">
        <f t="shared" si="44"/>
        <v>160.87340000000006</v>
      </c>
      <c r="M637" s="19">
        <f>MAX(G526:G637)</f>
        <v>175.51</v>
      </c>
      <c r="N637" s="19">
        <f t="shared" si="45"/>
        <v>-5.6236111902455725</v>
      </c>
      <c r="O637" s="9" t="str">
        <f t="shared" si="46"/>
        <v>2024-06</v>
      </c>
    </row>
    <row r="638" spans="1:15" x14ac:dyDescent="0.25">
      <c r="A638" s="9" t="s">
        <v>310</v>
      </c>
      <c r="B638" s="9" t="s">
        <v>311</v>
      </c>
      <c r="C638" s="25" t="s">
        <v>158</v>
      </c>
      <c r="D638" s="19">
        <v>165.64</v>
      </c>
      <c r="E638" s="19">
        <v>166.44</v>
      </c>
      <c r="F638" s="19">
        <v>150.08000000000001</v>
      </c>
      <c r="G638" s="19">
        <v>150.71</v>
      </c>
      <c r="H638" s="19">
        <v>150.71</v>
      </c>
      <c r="I638" s="15">
        <v>11595443</v>
      </c>
      <c r="J638" s="19">
        <f t="shared" si="47"/>
        <v>-9.0135233035498548</v>
      </c>
      <c r="K638" s="19">
        <f t="shared" si="48"/>
        <v>168.47549999999995</v>
      </c>
      <c r="L638" s="19">
        <f t="shared" si="44"/>
        <v>160.86400000000009</v>
      </c>
      <c r="M638" s="19">
        <f>MAX(G526:G638)</f>
        <v>175.51</v>
      </c>
      <c r="N638" s="19">
        <f t="shared" si="45"/>
        <v>-14.130248988661606</v>
      </c>
      <c r="O638" s="9" t="str">
        <f t="shared" si="46"/>
        <v>2024-06</v>
      </c>
    </row>
    <row r="639" spans="1:15" x14ac:dyDescent="0.25">
      <c r="A639" s="9" t="s">
        <v>310</v>
      </c>
      <c r="B639" s="9" t="s">
        <v>311</v>
      </c>
      <c r="C639" s="25" t="s">
        <v>159</v>
      </c>
      <c r="D639" s="19">
        <v>150.71</v>
      </c>
      <c r="E639" s="19">
        <v>150.72999999999999</v>
      </c>
      <c r="F639" s="19">
        <v>148.66</v>
      </c>
      <c r="G639" s="19">
        <v>148.9</v>
      </c>
      <c r="H639" s="19">
        <v>148.9</v>
      </c>
      <c r="I639" s="15">
        <v>3815313</v>
      </c>
      <c r="J639" s="19">
        <f t="shared" si="47"/>
        <v>-1.2009820184460236</v>
      </c>
      <c r="K639" s="19">
        <f t="shared" si="48"/>
        <v>167.72399999999999</v>
      </c>
      <c r="L639" s="19">
        <f t="shared" ref="L639:L702" si="49">AVERAGE(G590:G639)</f>
        <v>160.78200000000007</v>
      </c>
      <c r="M639" s="19">
        <f>MAX(G526:G639)</f>
        <v>175.51</v>
      </c>
      <c r="N639" s="19">
        <f t="shared" si="45"/>
        <v>-15.161529257592152</v>
      </c>
      <c r="O639" s="9" t="str">
        <f t="shared" si="46"/>
        <v>2024-06</v>
      </c>
    </row>
    <row r="640" spans="1:15" x14ac:dyDescent="0.25">
      <c r="A640" s="9" t="s">
        <v>310</v>
      </c>
      <c r="B640" s="9" t="s">
        <v>311</v>
      </c>
      <c r="C640" s="25" t="s">
        <v>160</v>
      </c>
      <c r="D640" s="19">
        <v>148.9</v>
      </c>
      <c r="E640" s="19">
        <v>149.96</v>
      </c>
      <c r="F640" s="19">
        <v>148.16</v>
      </c>
      <c r="G640" s="19">
        <v>148.19</v>
      </c>
      <c r="H640" s="19">
        <v>148.19</v>
      </c>
      <c r="I640" s="15">
        <v>2499911</v>
      </c>
      <c r="J640" s="19">
        <f t="shared" si="47"/>
        <v>-0.47683008730692267</v>
      </c>
      <c r="K640" s="19">
        <f t="shared" si="48"/>
        <v>166.81900000000002</v>
      </c>
      <c r="L640" s="19">
        <f t="shared" si="49"/>
        <v>160.72500000000005</v>
      </c>
      <c r="M640" s="19">
        <f>MAX(G526:G640)</f>
        <v>175.51</v>
      </c>
      <c r="N640" s="19">
        <f t="shared" si="45"/>
        <v>-15.566064611703034</v>
      </c>
      <c r="O640" s="9" t="str">
        <f t="shared" si="46"/>
        <v>2024-06</v>
      </c>
    </row>
    <row r="641" spans="1:15" x14ac:dyDescent="0.25">
      <c r="A641" s="9" t="s">
        <v>310</v>
      </c>
      <c r="B641" s="9" t="s">
        <v>311</v>
      </c>
      <c r="C641" s="25" t="s">
        <v>161</v>
      </c>
      <c r="D641" s="19">
        <v>148.19</v>
      </c>
      <c r="E641" s="19">
        <v>149.94</v>
      </c>
      <c r="F641" s="19">
        <v>147.71</v>
      </c>
      <c r="G641" s="19">
        <v>149.69999999999999</v>
      </c>
      <c r="H641" s="19">
        <v>149.69999999999999</v>
      </c>
      <c r="I641" s="15">
        <v>4440176</v>
      </c>
      <c r="J641" s="19">
        <f t="shared" si="47"/>
        <v>1.0189621431945415</v>
      </c>
      <c r="K641" s="19">
        <f t="shared" si="48"/>
        <v>165.79349999999999</v>
      </c>
      <c r="L641" s="19">
        <f t="shared" si="49"/>
        <v>160.71300000000005</v>
      </c>
      <c r="M641" s="19">
        <f>MAX(G526:G641)</f>
        <v>175.51</v>
      </c>
      <c r="N641" s="19">
        <f t="shared" si="45"/>
        <v>-14.705714774086948</v>
      </c>
      <c r="O641" s="9" t="str">
        <f t="shared" si="46"/>
        <v>2024-06</v>
      </c>
    </row>
    <row r="642" spans="1:15" x14ac:dyDescent="0.25">
      <c r="A642" s="9" t="s">
        <v>310</v>
      </c>
      <c r="B642" s="9" t="s">
        <v>311</v>
      </c>
      <c r="C642" s="25" t="s">
        <v>162</v>
      </c>
      <c r="D642" s="19">
        <v>149.69999999999999</v>
      </c>
      <c r="E642" s="19">
        <v>150.22</v>
      </c>
      <c r="F642" s="19">
        <v>147.43</v>
      </c>
      <c r="G642" s="19">
        <v>147.99</v>
      </c>
      <c r="H642" s="19">
        <v>147.99</v>
      </c>
      <c r="I642" s="15">
        <v>4991477</v>
      </c>
      <c r="J642" s="19">
        <f t="shared" si="47"/>
        <v>-1.1422845691382628</v>
      </c>
      <c r="K642" s="19">
        <f t="shared" si="48"/>
        <v>164.63849999999996</v>
      </c>
      <c r="L642" s="19">
        <f t="shared" si="49"/>
        <v>160.7072</v>
      </c>
      <c r="M642" s="19">
        <f>MAX(G526:G642)</f>
        <v>175.51</v>
      </c>
      <c r="N642" s="19">
        <f t="shared" ref="N642:N705" si="50">(G642-M642)/M642*100</f>
        <v>-15.680018232579332</v>
      </c>
      <c r="O642" s="9" t="str">
        <f t="shared" ref="O642:O705" si="51">TEXT(C642,"yyyy-mm")</f>
        <v>2024-06</v>
      </c>
    </row>
    <row r="643" spans="1:15" x14ac:dyDescent="0.25">
      <c r="A643" s="9" t="s">
        <v>310</v>
      </c>
      <c r="B643" s="9" t="s">
        <v>311</v>
      </c>
      <c r="C643" s="25" t="s">
        <v>163</v>
      </c>
      <c r="D643" s="19">
        <v>147.99</v>
      </c>
      <c r="E643" s="19">
        <v>148.86000000000001</v>
      </c>
      <c r="F643" s="19">
        <v>147.15</v>
      </c>
      <c r="G643" s="19">
        <v>147.35</v>
      </c>
      <c r="H643" s="19">
        <v>147.35</v>
      </c>
      <c r="I643" s="15">
        <v>4277928</v>
      </c>
      <c r="J643" s="19">
        <f t="shared" si="47"/>
        <v>-0.43246165281438931</v>
      </c>
      <c r="K643" s="19">
        <f t="shared" si="48"/>
        <v>163.48050000000001</v>
      </c>
      <c r="L643" s="19">
        <f t="shared" si="49"/>
        <v>160.61180000000002</v>
      </c>
      <c r="M643" s="19">
        <f>MAX(G526:G643)</f>
        <v>175.51</v>
      </c>
      <c r="N643" s="19">
        <f t="shared" si="50"/>
        <v>-16.044669819383508</v>
      </c>
      <c r="O643" s="9" t="str">
        <f t="shared" si="51"/>
        <v>2024-06</v>
      </c>
    </row>
    <row r="644" spans="1:15" x14ac:dyDescent="0.25">
      <c r="A644" s="9" t="s">
        <v>310</v>
      </c>
      <c r="B644" s="9" t="s">
        <v>311</v>
      </c>
      <c r="C644" s="25" t="s">
        <v>164</v>
      </c>
      <c r="D644" s="19">
        <v>147.35</v>
      </c>
      <c r="E644" s="19">
        <v>149.59</v>
      </c>
      <c r="F644" s="19">
        <v>146.21</v>
      </c>
      <c r="G644" s="19">
        <v>149.26</v>
      </c>
      <c r="H644" s="19">
        <v>149.26</v>
      </c>
      <c r="I644" s="15">
        <v>3523370</v>
      </c>
      <c r="J644" s="19">
        <f t="shared" si="47"/>
        <v>1.2962334577536456</v>
      </c>
      <c r="K644" s="19">
        <f t="shared" si="48"/>
        <v>162.52249999999998</v>
      </c>
      <c r="L644" s="19">
        <f t="shared" si="49"/>
        <v>160.57760000000002</v>
      </c>
      <c r="M644" s="19">
        <f>MAX(G526:G644)</f>
        <v>175.51</v>
      </c>
      <c r="N644" s="19">
        <f t="shared" si="50"/>
        <v>-14.956412740014816</v>
      </c>
      <c r="O644" s="9" t="str">
        <f t="shared" si="51"/>
        <v>2024-06</v>
      </c>
    </row>
    <row r="645" spans="1:15" x14ac:dyDescent="0.25">
      <c r="A645" s="9" t="s">
        <v>310</v>
      </c>
      <c r="B645" s="9" t="s">
        <v>311</v>
      </c>
      <c r="C645" s="25" t="s">
        <v>165</v>
      </c>
      <c r="D645" s="19">
        <v>149.26</v>
      </c>
      <c r="E645" s="19">
        <v>153.47999999999999</v>
      </c>
      <c r="F645" s="19">
        <v>148.4</v>
      </c>
      <c r="G645" s="19">
        <v>153.13999999999999</v>
      </c>
      <c r="H645" s="19">
        <v>153.13999999999999</v>
      </c>
      <c r="I645" s="15">
        <v>5126368</v>
      </c>
      <c r="J645" s="19">
        <f t="shared" si="47"/>
        <v>2.599490821385499</v>
      </c>
      <c r="K645" s="19">
        <f t="shared" si="48"/>
        <v>161.83699999999996</v>
      </c>
      <c r="L645" s="19">
        <f t="shared" si="49"/>
        <v>160.71520000000004</v>
      </c>
      <c r="M645" s="19">
        <f>MAX(G526:G645)</f>
        <v>175.51</v>
      </c>
      <c r="N645" s="19">
        <f t="shared" si="50"/>
        <v>-12.745712495014534</v>
      </c>
      <c r="O645" s="9" t="str">
        <f t="shared" si="51"/>
        <v>2024-06</v>
      </c>
    </row>
    <row r="646" spans="1:15" x14ac:dyDescent="0.25">
      <c r="A646" s="9" t="s">
        <v>310</v>
      </c>
      <c r="B646" s="9" t="s">
        <v>311</v>
      </c>
      <c r="C646" s="25" t="s">
        <v>166</v>
      </c>
      <c r="D646" s="19">
        <v>153.13999999999999</v>
      </c>
      <c r="E646" s="19">
        <v>153.19</v>
      </c>
      <c r="F646" s="19">
        <v>151.74</v>
      </c>
      <c r="G646" s="19">
        <v>152.77000000000001</v>
      </c>
      <c r="H646" s="19">
        <v>152.77000000000001</v>
      </c>
      <c r="I646" s="15">
        <v>3645397</v>
      </c>
      <c r="J646" s="19">
        <f t="shared" si="47"/>
        <v>-0.24160898524224639</v>
      </c>
      <c r="K646" s="19">
        <f t="shared" si="48"/>
        <v>161.04949999999999</v>
      </c>
      <c r="L646" s="19">
        <f t="shared" si="49"/>
        <v>160.76320000000004</v>
      </c>
      <c r="M646" s="19">
        <f>MAX(G526:G646)</f>
        <v>175.51</v>
      </c>
      <c r="N646" s="19">
        <f t="shared" si="50"/>
        <v>-12.956526693635681</v>
      </c>
      <c r="O646" s="9" t="str">
        <f t="shared" si="51"/>
        <v>2024-06</v>
      </c>
    </row>
    <row r="647" spans="1:15" x14ac:dyDescent="0.25">
      <c r="A647" s="9" t="s">
        <v>310</v>
      </c>
      <c r="B647" s="9" t="s">
        <v>311</v>
      </c>
      <c r="C647" s="25" t="s">
        <v>167</v>
      </c>
      <c r="D647" s="19">
        <v>152.77000000000001</v>
      </c>
      <c r="E647" s="19">
        <v>153.76</v>
      </c>
      <c r="F647" s="19">
        <v>151.72999999999999</v>
      </c>
      <c r="G647" s="19">
        <v>152.57</v>
      </c>
      <c r="H647" s="19">
        <v>152.57</v>
      </c>
      <c r="I647" s="15">
        <v>3194185</v>
      </c>
      <c r="J647" s="19">
        <f t="shared" si="47"/>
        <v>-0.130915755711211</v>
      </c>
      <c r="K647" s="19">
        <f t="shared" si="48"/>
        <v>160.16249999999997</v>
      </c>
      <c r="L647" s="19">
        <f t="shared" si="49"/>
        <v>160.78440000000003</v>
      </c>
      <c r="M647" s="19">
        <f>MAX(G526:G647)</f>
        <v>175.51</v>
      </c>
      <c r="N647" s="19">
        <f t="shared" si="50"/>
        <v>-13.070480314511993</v>
      </c>
      <c r="O647" s="9" t="str">
        <f t="shared" si="51"/>
        <v>2024-06</v>
      </c>
    </row>
    <row r="648" spans="1:15" x14ac:dyDescent="0.25">
      <c r="A648" s="9" t="s">
        <v>310</v>
      </c>
      <c r="B648" s="9" t="s">
        <v>311</v>
      </c>
      <c r="C648" s="25" t="s">
        <v>168</v>
      </c>
      <c r="D648" s="19">
        <v>152.57</v>
      </c>
      <c r="E648" s="19">
        <v>153.13</v>
      </c>
      <c r="F648" s="19">
        <v>152.07</v>
      </c>
      <c r="G648" s="19">
        <v>152.5</v>
      </c>
      <c r="H648" s="19">
        <v>152.5</v>
      </c>
      <c r="I648" s="15">
        <v>4790576</v>
      </c>
      <c r="J648" s="19">
        <f t="shared" si="47"/>
        <v>-4.5880579406169748E-2</v>
      </c>
      <c r="K648" s="19">
        <f t="shared" si="48"/>
        <v>159.31049999999999</v>
      </c>
      <c r="L648" s="19">
        <f t="shared" si="49"/>
        <v>160.85060000000004</v>
      </c>
      <c r="M648" s="19">
        <f>MAX(G526:G648)</f>
        <v>175.51</v>
      </c>
      <c r="N648" s="19">
        <f t="shared" si="50"/>
        <v>-13.110364081818696</v>
      </c>
      <c r="O648" s="9" t="str">
        <f t="shared" si="51"/>
        <v>2024-06</v>
      </c>
    </row>
    <row r="649" spans="1:15" x14ac:dyDescent="0.25">
      <c r="A649" s="9" t="s">
        <v>310</v>
      </c>
      <c r="B649" s="9" t="s">
        <v>311</v>
      </c>
      <c r="C649" s="25" t="s">
        <v>169</v>
      </c>
      <c r="D649" s="19">
        <v>152.5</v>
      </c>
      <c r="E649" s="19">
        <v>152.5</v>
      </c>
      <c r="F649" s="19">
        <v>148.27000000000001</v>
      </c>
      <c r="G649" s="19">
        <v>148.69</v>
      </c>
      <c r="H649" s="19">
        <v>148.69</v>
      </c>
      <c r="I649" s="15">
        <v>4859907</v>
      </c>
      <c r="J649" s="19">
        <f t="shared" si="47"/>
        <v>-2.4983606557377063</v>
      </c>
      <c r="K649" s="19">
        <f t="shared" si="48"/>
        <v>157.96950000000001</v>
      </c>
      <c r="L649" s="19">
        <f t="shared" si="49"/>
        <v>160.76200000000003</v>
      </c>
      <c r="M649" s="19">
        <f>MAX(G526:G649)</f>
        <v>175.51</v>
      </c>
      <c r="N649" s="19">
        <f t="shared" si="50"/>
        <v>-15.281180559512276</v>
      </c>
      <c r="O649" s="9" t="str">
        <f t="shared" si="51"/>
        <v>2024-06</v>
      </c>
    </row>
    <row r="650" spans="1:15" x14ac:dyDescent="0.25">
      <c r="A650" s="9" t="s">
        <v>310</v>
      </c>
      <c r="B650" s="9" t="s">
        <v>311</v>
      </c>
      <c r="C650" s="25" t="s">
        <v>170</v>
      </c>
      <c r="D650" s="19">
        <v>148.69</v>
      </c>
      <c r="E650" s="19">
        <v>149.47999999999999</v>
      </c>
      <c r="F650" s="19">
        <v>143.94999999999999</v>
      </c>
      <c r="G650" s="19">
        <v>144.63</v>
      </c>
      <c r="H650" s="19">
        <v>144.63</v>
      </c>
      <c r="I650" s="15">
        <v>6484031</v>
      </c>
      <c r="J650" s="19">
        <f t="shared" si="47"/>
        <v>-2.7305131481606044</v>
      </c>
      <c r="K650" s="19">
        <f t="shared" si="48"/>
        <v>156.49300000000002</v>
      </c>
      <c r="L650" s="19">
        <f t="shared" si="49"/>
        <v>160.65640000000002</v>
      </c>
      <c r="M650" s="19">
        <f>MAX(G526:G650)</f>
        <v>175.51</v>
      </c>
      <c r="N650" s="19">
        <f t="shared" si="50"/>
        <v>-17.594439063301234</v>
      </c>
      <c r="O650" s="9" t="str">
        <f t="shared" si="51"/>
        <v>2024-06</v>
      </c>
    </row>
    <row r="651" spans="1:15" x14ac:dyDescent="0.25">
      <c r="A651" s="9" t="s">
        <v>310</v>
      </c>
      <c r="B651" s="9" t="s">
        <v>311</v>
      </c>
      <c r="C651" s="25" t="s">
        <v>171</v>
      </c>
      <c r="D651" s="19">
        <v>144.63</v>
      </c>
      <c r="E651" s="19">
        <v>149.75</v>
      </c>
      <c r="F651" s="19">
        <v>144.53</v>
      </c>
      <c r="G651" s="19">
        <v>147.66</v>
      </c>
      <c r="H651" s="19">
        <v>147.66</v>
      </c>
      <c r="I651" s="15">
        <v>5614177</v>
      </c>
      <c r="J651" s="19">
        <f t="shared" si="47"/>
        <v>2.0950010371292271</v>
      </c>
      <c r="K651" s="19">
        <f t="shared" si="48"/>
        <v>155.35849999999999</v>
      </c>
      <c r="L651" s="19">
        <f t="shared" si="49"/>
        <v>160.50839999999999</v>
      </c>
      <c r="M651" s="19">
        <f>MAX(G526:G651)</f>
        <v>175.51</v>
      </c>
      <c r="N651" s="19">
        <f t="shared" si="50"/>
        <v>-15.868041707025238</v>
      </c>
      <c r="O651" s="9" t="str">
        <f t="shared" si="51"/>
        <v>2024-06</v>
      </c>
    </row>
    <row r="652" spans="1:15" x14ac:dyDescent="0.25">
      <c r="A652" s="9" t="s">
        <v>310</v>
      </c>
      <c r="B652" s="9" t="s">
        <v>311</v>
      </c>
      <c r="C652" s="25" t="s">
        <v>172</v>
      </c>
      <c r="D652" s="19">
        <v>147.66</v>
      </c>
      <c r="E652" s="19">
        <v>148.86000000000001</v>
      </c>
      <c r="F652" s="19">
        <v>147.57</v>
      </c>
      <c r="G652" s="19">
        <v>148.57</v>
      </c>
      <c r="H652" s="19">
        <v>148.57</v>
      </c>
      <c r="I652" s="15">
        <v>4610389</v>
      </c>
      <c r="J652" s="19">
        <f t="shared" si="47"/>
        <v>0.6162806447243645</v>
      </c>
      <c r="K652" s="19">
        <f t="shared" si="48"/>
        <v>154.17800000000003</v>
      </c>
      <c r="L652" s="19">
        <f t="shared" si="49"/>
        <v>160.3826</v>
      </c>
      <c r="M652" s="19">
        <f>MAX(G526:G652)</f>
        <v>175.51</v>
      </c>
      <c r="N652" s="19">
        <f t="shared" si="50"/>
        <v>-15.34955273203806</v>
      </c>
      <c r="O652" s="9" t="str">
        <f t="shared" si="51"/>
        <v>2024-06</v>
      </c>
    </row>
    <row r="653" spans="1:15" x14ac:dyDescent="0.25">
      <c r="A653" s="9" t="s">
        <v>310</v>
      </c>
      <c r="B653" s="9" t="s">
        <v>311</v>
      </c>
      <c r="C653" s="25" t="s">
        <v>173</v>
      </c>
      <c r="D653" s="19">
        <v>148.57</v>
      </c>
      <c r="E653" s="19">
        <v>149.43</v>
      </c>
      <c r="F653" s="19">
        <v>148.22999999999999</v>
      </c>
      <c r="G653" s="19">
        <v>148.76</v>
      </c>
      <c r="H653" s="19">
        <v>148.76</v>
      </c>
      <c r="I653" s="15">
        <v>2207154</v>
      </c>
      <c r="J653" s="19">
        <f t="shared" si="47"/>
        <v>0.12788584505620096</v>
      </c>
      <c r="K653" s="19">
        <f t="shared" si="48"/>
        <v>153.084</v>
      </c>
      <c r="L653" s="19">
        <f t="shared" si="49"/>
        <v>160.34539999999998</v>
      </c>
      <c r="M653" s="19">
        <f>MAX(G526:G653)</f>
        <v>175.51</v>
      </c>
      <c r="N653" s="19">
        <f t="shared" si="50"/>
        <v>-15.241296792205572</v>
      </c>
      <c r="O653" s="9" t="str">
        <f t="shared" si="51"/>
        <v>2024-06</v>
      </c>
    </row>
    <row r="654" spans="1:15" x14ac:dyDescent="0.25">
      <c r="A654" s="9" t="s">
        <v>310</v>
      </c>
      <c r="B654" s="9" t="s">
        <v>311</v>
      </c>
      <c r="C654" s="25" t="s">
        <v>174</v>
      </c>
      <c r="D654" s="19">
        <v>148.76</v>
      </c>
      <c r="E654" s="19">
        <v>152.11000000000001</v>
      </c>
      <c r="F654" s="19">
        <v>148.44</v>
      </c>
      <c r="G654" s="19">
        <v>151.81</v>
      </c>
      <c r="H654" s="19">
        <v>151.81</v>
      </c>
      <c r="I654" s="15">
        <v>3091083</v>
      </c>
      <c r="J654" s="19">
        <f t="shared" si="47"/>
        <v>2.0502823339607499</v>
      </c>
      <c r="K654" s="19">
        <f t="shared" si="48"/>
        <v>152.14000000000004</v>
      </c>
      <c r="L654" s="19">
        <f t="shared" si="49"/>
        <v>160.33100000000002</v>
      </c>
      <c r="M654" s="19">
        <f>MAX(G526:G654)</f>
        <v>175.51</v>
      </c>
      <c r="N654" s="19">
        <f t="shared" si="50"/>
        <v>-13.50350407384194</v>
      </c>
      <c r="O654" s="9" t="str">
        <f t="shared" si="51"/>
        <v>2024-06</v>
      </c>
    </row>
    <row r="655" spans="1:15" x14ac:dyDescent="0.25">
      <c r="A655" s="9" t="s">
        <v>310</v>
      </c>
      <c r="B655" s="9" t="s">
        <v>311</v>
      </c>
      <c r="C655" s="25" t="s">
        <v>175</v>
      </c>
      <c r="D655" s="19">
        <v>151.81</v>
      </c>
      <c r="E655" s="19">
        <v>151.83000000000001</v>
      </c>
      <c r="F655" s="19">
        <v>147.97999999999999</v>
      </c>
      <c r="G655" s="19">
        <v>149</v>
      </c>
      <c r="H655" s="19">
        <v>149</v>
      </c>
      <c r="I655" s="15">
        <v>4628752</v>
      </c>
      <c r="J655" s="19">
        <f t="shared" ref="J655:J718" si="52">IFERROR((G655-G654)/G654*100,"")</f>
        <v>-1.8509979579737843</v>
      </c>
      <c r="K655" s="19">
        <f t="shared" si="48"/>
        <v>151.203</v>
      </c>
      <c r="L655" s="19">
        <f t="shared" si="49"/>
        <v>160.22060000000002</v>
      </c>
      <c r="M655" s="19">
        <f>MAX(G526:G655)</f>
        <v>175.51</v>
      </c>
      <c r="N655" s="19">
        <f t="shared" si="50"/>
        <v>-15.104552447154004</v>
      </c>
      <c r="O655" s="9" t="str">
        <f t="shared" si="51"/>
        <v>2024-06</v>
      </c>
    </row>
    <row r="656" spans="1:15" x14ac:dyDescent="0.25">
      <c r="A656" s="9" t="s">
        <v>310</v>
      </c>
      <c r="B656" s="9" t="s">
        <v>311</v>
      </c>
      <c r="C656" s="25" t="s">
        <v>176</v>
      </c>
      <c r="D656" s="19">
        <v>149</v>
      </c>
      <c r="E656" s="19">
        <v>149.44</v>
      </c>
      <c r="F656" s="19">
        <v>148.01</v>
      </c>
      <c r="G656" s="19">
        <v>148.11000000000001</v>
      </c>
      <c r="H656" s="19">
        <v>148.11000000000001</v>
      </c>
      <c r="I656" s="15">
        <v>3969583</v>
      </c>
      <c r="J656" s="19">
        <f t="shared" si="52"/>
        <v>-0.59731543624160166</v>
      </c>
      <c r="K656" s="19">
        <f t="shared" si="48"/>
        <v>150.29749999999999</v>
      </c>
      <c r="L656" s="19">
        <f t="shared" si="49"/>
        <v>160.05260000000001</v>
      </c>
      <c r="M656" s="19">
        <f>MAX(G526:G656)</f>
        <v>175.51</v>
      </c>
      <c r="N656" s="19">
        <f t="shared" si="50"/>
        <v>-15.611646060053546</v>
      </c>
      <c r="O656" s="9" t="str">
        <f t="shared" si="51"/>
        <v>2024-07</v>
      </c>
    </row>
    <row r="657" spans="1:15" x14ac:dyDescent="0.25">
      <c r="A657" s="9" t="s">
        <v>310</v>
      </c>
      <c r="B657" s="9" t="s">
        <v>311</v>
      </c>
      <c r="C657" s="25" t="s">
        <v>177</v>
      </c>
      <c r="D657" s="19">
        <v>148.11000000000001</v>
      </c>
      <c r="E657" s="19">
        <v>148.15</v>
      </c>
      <c r="F657" s="19">
        <v>146.56</v>
      </c>
      <c r="G657" s="19">
        <v>146.76</v>
      </c>
      <c r="H657" s="19">
        <v>146.76</v>
      </c>
      <c r="I657" s="15">
        <v>1497049</v>
      </c>
      <c r="J657" s="19">
        <f t="shared" si="52"/>
        <v>-0.91148470731214815</v>
      </c>
      <c r="K657" s="19">
        <f t="shared" si="48"/>
        <v>149.3535</v>
      </c>
      <c r="L657" s="19">
        <f t="shared" si="49"/>
        <v>159.75539999999998</v>
      </c>
      <c r="M657" s="19">
        <f>MAX(G526:G657)</f>
        <v>175.51</v>
      </c>
      <c r="N657" s="19">
        <f t="shared" si="50"/>
        <v>-16.380833000968607</v>
      </c>
      <c r="O657" s="9" t="str">
        <f t="shared" si="51"/>
        <v>2024-07</v>
      </c>
    </row>
    <row r="658" spans="1:15" x14ac:dyDescent="0.25">
      <c r="A658" s="9" t="s">
        <v>310</v>
      </c>
      <c r="B658" s="9" t="s">
        <v>311</v>
      </c>
      <c r="C658" s="25" t="s">
        <v>178</v>
      </c>
      <c r="D658" s="19">
        <v>146.76</v>
      </c>
      <c r="E658" s="19">
        <v>149.29</v>
      </c>
      <c r="F658" s="19">
        <v>146.01</v>
      </c>
      <c r="G658" s="19">
        <v>149.11000000000001</v>
      </c>
      <c r="H658" s="19">
        <v>149.11000000000001</v>
      </c>
      <c r="I658" s="15">
        <v>3682814</v>
      </c>
      <c r="J658" s="19">
        <f t="shared" si="52"/>
        <v>1.6012537476151696</v>
      </c>
      <c r="K658" s="19">
        <f t="shared" si="48"/>
        <v>149.27350000000004</v>
      </c>
      <c r="L658" s="19">
        <f t="shared" si="49"/>
        <v>159.48399999999998</v>
      </c>
      <c r="M658" s="19">
        <f>MAX(G526:G658)</f>
        <v>175.51</v>
      </c>
      <c r="N658" s="19">
        <f t="shared" si="50"/>
        <v>-15.041877955672028</v>
      </c>
      <c r="O658" s="9" t="str">
        <f t="shared" si="51"/>
        <v>2024-07</v>
      </c>
    </row>
    <row r="659" spans="1:15" x14ac:dyDescent="0.25">
      <c r="A659" s="9" t="s">
        <v>310</v>
      </c>
      <c r="B659" s="9" t="s">
        <v>311</v>
      </c>
      <c r="C659" s="25" t="s">
        <v>179</v>
      </c>
      <c r="D659" s="19">
        <v>149.11000000000001</v>
      </c>
      <c r="E659" s="19">
        <v>149.27000000000001</v>
      </c>
      <c r="F659" s="19">
        <v>144.37</v>
      </c>
      <c r="G659" s="19">
        <v>144.87</v>
      </c>
      <c r="H659" s="19">
        <v>144.87</v>
      </c>
      <c r="I659" s="15">
        <v>4477657</v>
      </c>
      <c r="J659" s="19">
        <f t="shared" si="52"/>
        <v>-2.8435383274093011</v>
      </c>
      <c r="K659" s="19">
        <f t="shared" si="48"/>
        <v>149.072</v>
      </c>
      <c r="L659" s="19">
        <f t="shared" si="49"/>
        <v>159.22879999999998</v>
      </c>
      <c r="M659" s="19">
        <f>MAX(G526:G659)</f>
        <v>175.51</v>
      </c>
      <c r="N659" s="19">
        <f t="shared" si="50"/>
        <v>-17.457694718249666</v>
      </c>
      <c r="O659" s="9" t="str">
        <f t="shared" si="51"/>
        <v>2024-07</v>
      </c>
    </row>
    <row r="660" spans="1:15" x14ac:dyDescent="0.25">
      <c r="A660" s="9" t="s">
        <v>310</v>
      </c>
      <c r="B660" s="9" t="s">
        <v>311</v>
      </c>
      <c r="C660" s="25" t="s">
        <v>180</v>
      </c>
      <c r="D660" s="19">
        <v>144.87</v>
      </c>
      <c r="E660" s="19">
        <v>146.09</v>
      </c>
      <c r="F660" s="19">
        <v>144.74</v>
      </c>
      <c r="G660" s="19">
        <v>145.84</v>
      </c>
      <c r="H660" s="19">
        <v>145.84</v>
      </c>
      <c r="I660" s="15">
        <v>4461134</v>
      </c>
      <c r="J660" s="19">
        <f t="shared" si="52"/>
        <v>0.6695658176295981</v>
      </c>
      <c r="K660" s="19">
        <f t="shared" si="48"/>
        <v>148.95450000000002</v>
      </c>
      <c r="L660" s="19">
        <f t="shared" si="49"/>
        <v>158.99979999999996</v>
      </c>
      <c r="M660" s="19">
        <f>MAX(G526:G660)</f>
        <v>175.51</v>
      </c>
      <c r="N660" s="19">
        <f t="shared" si="50"/>
        <v>-16.905019656999595</v>
      </c>
      <c r="O660" s="9" t="str">
        <f t="shared" si="51"/>
        <v>2024-07</v>
      </c>
    </row>
    <row r="661" spans="1:15" x14ac:dyDescent="0.25">
      <c r="A661" s="9" t="s">
        <v>310</v>
      </c>
      <c r="B661" s="9" t="s">
        <v>311</v>
      </c>
      <c r="C661" s="25" t="s">
        <v>181</v>
      </c>
      <c r="D661" s="19">
        <v>145.84</v>
      </c>
      <c r="E661" s="19">
        <v>146.21</v>
      </c>
      <c r="F661" s="19">
        <v>144.97999999999999</v>
      </c>
      <c r="G661" s="19">
        <v>145.22999999999999</v>
      </c>
      <c r="H661" s="19">
        <v>145.22999999999999</v>
      </c>
      <c r="I661" s="15">
        <v>6066586</v>
      </c>
      <c r="J661" s="19">
        <f t="shared" si="52"/>
        <v>-0.41826659352716233</v>
      </c>
      <c r="K661" s="19">
        <f t="shared" si="48"/>
        <v>148.73099999999999</v>
      </c>
      <c r="L661" s="19">
        <f t="shared" si="49"/>
        <v>158.73459999999997</v>
      </c>
      <c r="M661" s="19">
        <f>MAX(G526:G661)</f>
        <v>175.51</v>
      </c>
      <c r="N661" s="19">
        <f t="shared" si="50"/>
        <v>-17.252578200672328</v>
      </c>
      <c r="O661" s="9" t="str">
        <f t="shared" si="51"/>
        <v>2024-07</v>
      </c>
    </row>
    <row r="662" spans="1:15" x14ac:dyDescent="0.25">
      <c r="A662" s="9" t="s">
        <v>310</v>
      </c>
      <c r="B662" s="9" t="s">
        <v>311</v>
      </c>
      <c r="C662" s="25" t="s">
        <v>182</v>
      </c>
      <c r="D662" s="19">
        <v>145.22999999999999</v>
      </c>
      <c r="E662" s="19">
        <v>145.58000000000001</v>
      </c>
      <c r="F662" s="19">
        <v>143.33000000000001</v>
      </c>
      <c r="G662" s="19">
        <v>143.51</v>
      </c>
      <c r="H662" s="19">
        <v>143.51</v>
      </c>
      <c r="I662" s="15">
        <v>1113916</v>
      </c>
      <c r="J662" s="19">
        <f t="shared" si="52"/>
        <v>-1.1843283068236583</v>
      </c>
      <c r="K662" s="19">
        <f t="shared" si="48"/>
        <v>148.50700000000001</v>
      </c>
      <c r="L662" s="19">
        <f t="shared" si="49"/>
        <v>158.38299999999995</v>
      </c>
      <c r="M662" s="19">
        <f>MAX(G526:G662)</f>
        <v>175.51</v>
      </c>
      <c r="N662" s="19">
        <f t="shared" si="50"/>
        <v>-18.232579340208535</v>
      </c>
      <c r="O662" s="9" t="str">
        <f t="shared" si="51"/>
        <v>2024-07</v>
      </c>
    </row>
    <row r="663" spans="1:15" x14ac:dyDescent="0.25">
      <c r="A663" s="9" t="s">
        <v>310</v>
      </c>
      <c r="B663" s="9" t="s">
        <v>311</v>
      </c>
      <c r="C663" s="25" t="s">
        <v>183</v>
      </c>
      <c r="D663" s="19">
        <v>143.51</v>
      </c>
      <c r="E663" s="19">
        <v>144.13999999999999</v>
      </c>
      <c r="F663" s="19">
        <v>140.34</v>
      </c>
      <c r="G663" s="19">
        <v>140.43</v>
      </c>
      <c r="H663" s="19">
        <v>140.43</v>
      </c>
      <c r="I663" s="15">
        <v>4051649</v>
      </c>
      <c r="J663" s="19">
        <f t="shared" si="52"/>
        <v>-2.1461919030032641</v>
      </c>
      <c r="K663" s="19">
        <f t="shared" si="48"/>
        <v>148.161</v>
      </c>
      <c r="L663" s="19">
        <f t="shared" si="49"/>
        <v>157.95979999999997</v>
      </c>
      <c r="M663" s="19">
        <f>MAX(G526:G663)</f>
        <v>175.51</v>
      </c>
      <c r="N663" s="19">
        <f t="shared" si="50"/>
        <v>-19.987465101703599</v>
      </c>
      <c r="O663" s="9" t="str">
        <f t="shared" si="51"/>
        <v>2024-07</v>
      </c>
    </row>
    <row r="664" spans="1:15" x14ac:dyDescent="0.25">
      <c r="A664" s="9" t="s">
        <v>310</v>
      </c>
      <c r="B664" s="9" t="s">
        <v>311</v>
      </c>
      <c r="C664" s="25" t="s">
        <v>184</v>
      </c>
      <c r="D664" s="19">
        <v>140.43</v>
      </c>
      <c r="E664" s="19">
        <v>142.88999999999999</v>
      </c>
      <c r="F664" s="19">
        <v>140.31</v>
      </c>
      <c r="G664" s="19">
        <v>142.78</v>
      </c>
      <c r="H664" s="19">
        <v>142.78</v>
      </c>
      <c r="I664" s="15">
        <v>3599265</v>
      </c>
      <c r="J664" s="19">
        <f t="shared" si="52"/>
        <v>1.6734316029338419</v>
      </c>
      <c r="K664" s="19">
        <f t="shared" si="48"/>
        <v>147.83699999999999</v>
      </c>
      <c r="L664" s="19">
        <f t="shared" si="49"/>
        <v>157.55079999999995</v>
      </c>
      <c r="M664" s="19">
        <f>MAX(G526:G664)</f>
        <v>175.51</v>
      </c>
      <c r="N664" s="19">
        <f t="shared" si="50"/>
        <v>-18.648510056407037</v>
      </c>
      <c r="O664" s="9" t="str">
        <f t="shared" si="51"/>
        <v>2024-07</v>
      </c>
    </row>
    <row r="665" spans="1:15" x14ac:dyDescent="0.25">
      <c r="A665" s="9" t="s">
        <v>310</v>
      </c>
      <c r="B665" s="9" t="s">
        <v>311</v>
      </c>
      <c r="C665" s="25" t="s">
        <v>185</v>
      </c>
      <c r="D665" s="19">
        <v>142.78</v>
      </c>
      <c r="E665" s="19">
        <v>146.93</v>
      </c>
      <c r="F665" s="19">
        <v>142.59</v>
      </c>
      <c r="G665" s="19">
        <v>145.79</v>
      </c>
      <c r="H665" s="19">
        <v>145.79</v>
      </c>
      <c r="I665" s="15">
        <v>2808906</v>
      </c>
      <c r="J665" s="19">
        <f t="shared" si="52"/>
        <v>2.1081383947331496</v>
      </c>
      <c r="K665" s="19">
        <f t="shared" si="48"/>
        <v>147.46949999999998</v>
      </c>
      <c r="L665" s="19">
        <f t="shared" si="49"/>
        <v>157.1934</v>
      </c>
      <c r="M665" s="19">
        <f>MAX(G526:G665)</f>
        <v>175.51</v>
      </c>
      <c r="N665" s="19">
        <f t="shared" si="50"/>
        <v>-16.933508062218678</v>
      </c>
      <c r="O665" s="9" t="str">
        <f t="shared" si="51"/>
        <v>2024-07</v>
      </c>
    </row>
    <row r="666" spans="1:15" x14ac:dyDescent="0.25">
      <c r="A666" s="9" t="s">
        <v>310</v>
      </c>
      <c r="B666" s="9" t="s">
        <v>311</v>
      </c>
      <c r="C666" s="25" t="s">
        <v>186</v>
      </c>
      <c r="D666" s="19">
        <v>145.79</v>
      </c>
      <c r="E666" s="19">
        <v>146.75</v>
      </c>
      <c r="F666" s="19">
        <v>145.72</v>
      </c>
      <c r="G666" s="19">
        <v>145.9</v>
      </c>
      <c r="H666" s="19">
        <v>145.9</v>
      </c>
      <c r="I666" s="15">
        <v>3933119</v>
      </c>
      <c r="J666" s="19">
        <f t="shared" si="52"/>
        <v>7.5450991151665855E-2</v>
      </c>
      <c r="K666" s="19">
        <f t="shared" si="48"/>
        <v>147.126</v>
      </c>
      <c r="L666" s="19">
        <f t="shared" si="49"/>
        <v>156.85799999999998</v>
      </c>
      <c r="M666" s="19">
        <f>MAX(G526:G666)</f>
        <v>175.51</v>
      </c>
      <c r="N666" s="19">
        <f t="shared" si="50"/>
        <v>-16.8708335707367</v>
      </c>
      <c r="O666" s="9" t="str">
        <f t="shared" si="51"/>
        <v>2024-07</v>
      </c>
    </row>
    <row r="667" spans="1:15" x14ac:dyDescent="0.25">
      <c r="A667" s="9" t="s">
        <v>310</v>
      </c>
      <c r="B667" s="9" t="s">
        <v>311</v>
      </c>
      <c r="C667" s="25" t="s">
        <v>187</v>
      </c>
      <c r="D667" s="19">
        <v>145.9</v>
      </c>
      <c r="E667" s="19">
        <v>147.54</v>
      </c>
      <c r="F667" s="19">
        <v>145.88999999999999</v>
      </c>
      <c r="G667" s="19">
        <v>147.1</v>
      </c>
      <c r="H667" s="19">
        <v>147.1</v>
      </c>
      <c r="I667" s="15">
        <v>2828319</v>
      </c>
      <c r="J667" s="19">
        <f t="shared" si="52"/>
        <v>0.82248115147360423</v>
      </c>
      <c r="K667" s="19">
        <f t="shared" si="48"/>
        <v>146.85249999999996</v>
      </c>
      <c r="L667" s="19">
        <f t="shared" si="49"/>
        <v>156.45140000000001</v>
      </c>
      <c r="M667" s="19">
        <f>MAX(G526:G667)</f>
        <v>175.51</v>
      </c>
      <c r="N667" s="19">
        <f t="shared" si="50"/>
        <v>-16.187111845478888</v>
      </c>
      <c r="O667" s="9" t="str">
        <f t="shared" si="51"/>
        <v>2024-07</v>
      </c>
    </row>
    <row r="668" spans="1:15" x14ac:dyDescent="0.25">
      <c r="A668" s="9" t="s">
        <v>310</v>
      </c>
      <c r="B668" s="9" t="s">
        <v>311</v>
      </c>
      <c r="C668" s="25" t="s">
        <v>188</v>
      </c>
      <c r="D668" s="19">
        <v>147.1</v>
      </c>
      <c r="E668" s="19">
        <v>147.83000000000001</v>
      </c>
      <c r="F668" s="19">
        <v>146.52000000000001</v>
      </c>
      <c r="G668" s="19">
        <v>147.05000000000001</v>
      </c>
      <c r="H668" s="19">
        <v>147.05000000000001</v>
      </c>
      <c r="I668" s="15">
        <v>4407013</v>
      </c>
      <c r="J668" s="19">
        <f t="shared" si="52"/>
        <v>-3.3990482664842246E-2</v>
      </c>
      <c r="K668" s="19">
        <f t="shared" si="48"/>
        <v>146.57999999999998</v>
      </c>
      <c r="L668" s="19">
        <f t="shared" si="49"/>
        <v>156.06959999999998</v>
      </c>
      <c r="M668" s="19">
        <f>MAX(G526:G668)</f>
        <v>175.51</v>
      </c>
      <c r="N668" s="19">
        <f t="shared" si="50"/>
        <v>-16.215600250697957</v>
      </c>
      <c r="O668" s="9" t="str">
        <f t="shared" si="51"/>
        <v>2024-07</v>
      </c>
    </row>
    <row r="669" spans="1:15" x14ac:dyDescent="0.25">
      <c r="A669" s="9" t="s">
        <v>310</v>
      </c>
      <c r="B669" s="9" t="s">
        <v>311</v>
      </c>
      <c r="C669" s="25" t="s">
        <v>189</v>
      </c>
      <c r="D669" s="19">
        <v>147.05000000000001</v>
      </c>
      <c r="E669" s="19">
        <v>147.35</v>
      </c>
      <c r="F669" s="19">
        <v>142.91999999999999</v>
      </c>
      <c r="G669" s="19">
        <v>143.21</v>
      </c>
      <c r="H669" s="19">
        <v>143.21</v>
      </c>
      <c r="I669" s="15">
        <v>5023841</v>
      </c>
      <c r="J669" s="19">
        <f t="shared" si="52"/>
        <v>-2.6113566814008862</v>
      </c>
      <c r="K669" s="19">
        <f t="shared" si="48"/>
        <v>146.30599999999998</v>
      </c>
      <c r="L669" s="19">
        <f t="shared" si="49"/>
        <v>155.65519999999998</v>
      </c>
      <c r="M669" s="19">
        <f>MAX(G526:G669)</f>
        <v>175.51</v>
      </c>
      <c r="N669" s="19">
        <f t="shared" si="50"/>
        <v>-18.40350977152298</v>
      </c>
      <c r="O669" s="9" t="str">
        <f t="shared" si="51"/>
        <v>2024-07</v>
      </c>
    </row>
    <row r="670" spans="1:15" x14ac:dyDescent="0.25">
      <c r="A670" s="9" t="s">
        <v>310</v>
      </c>
      <c r="B670" s="9" t="s">
        <v>311</v>
      </c>
      <c r="C670" s="25" t="s">
        <v>190</v>
      </c>
      <c r="D670" s="19">
        <v>143.21</v>
      </c>
      <c r="E670" s="19">
        <v>143.63</v>
      </c>
      <c r="F670" s="19">
        <v>142.88</v>
      </c>
      <c r="G670" s="19">
        <v>143.34</v>
      </c>
      <c r="H670" s="19">
        <v>143.34</v>
      </c>
      <c r="I670" s="15">
        <v>3776937</v>
      </c>
      <c r="J670" s="19">
        <f t="shared" si="52"/>
        <v>9.0775783813976288E-2</v>
      </c>
      <c r="K670" s="19">
        <f t="shared" si="48"/>
        <v>146.24150000000003</v>
      </c>
      <c r="L670" s="19">
        <f t="shared" si="49"/>
        <v>155.19619999999998</v>
      </c>
      <c r="M670" s="19">
        <f>MAX(G526:G670)</f>
        <v>175.51</v>
      </c>
      <c r="N670" s="19">
        <f t="shared" si="50"/>
        <v>-18.329439917953387</v>
      </c>
      <c r="O670" s="9" t="str">
        <f t="shared" si="51"/>
        <v>2024-07</v>
      </c>
    </row>
    <row r="671" spans="1:15" x14ac:dyDescent="0.25">
      <c r="A671" s="9" t="s">
        <v>310</v>
      </c>
      <c r="B671" s="9" t="s">
        <v>311</v>
      </c>
      <c r="C671" s="25" t="s">
        <v>191</v>
      </c>
      <c r="D671" s="19">
        <v>143.34</v>
      </c>
      <c r="E671" s="19">
        <v>144.47</v>
      </c>
      <c r="F671" s="19">
        <v>141.61000000000001</v>
      </c>
      <c r="G671" s="19">
        <v>141.72</v>
      </c>
      <c r="H671" s="19">
        <v>141.72</v>
      </c>
      <c r="I671" s="15">
        <v>2051940</v>
      </c>
      <c r="J671" s="19">
        <f t="shared" si="52"/>
        <v>-1.1301799916282995</v>
      </c>
      <c r="K671" s="19">
        <f t="shared" si="48"/>
        <v>145.94450000000001</v>
      </c>
      <c r="L671" s="19">
        <f t="shared" si="49"/>
        <v>154.62639999999999</v>
      </c>
      <c r="M671" s="19">
        <f>MAX(G526:G671)</f>
        <v>175.51</v>
      </c>
      <c r="N671" s="19">
        <f t="shared" si="50"/>
        <v>-19.252464247051446</v>
      </c>
      <c r="O671" s="9" t="str">
        <f t="shared" si="51"/>
        <v>2024-07</v>
      </c>
    </row>
    <row r="672" spans="1:15" x14ac:dyDescent="0.25">
      <c r="A672" s="9" t="s">
        <v>310</v>
      </c>
      <c r="B672" s="9" t="s">
        <v>311</v>
      </c>
      <c r="C672" s="25" t="s">
        <v>192</v>
      </c>
      <c r="D672" s="19">
        <v>141.72</v>
      </c>
      <c r="E672" s="19">
        <v>146.16</v>
      </c>
      <c r="F672" s="19">
        <v>141.4</v>
      </c>
      <c r="G672" s="19">
        <v>146.06</v>
      </c>
      <c r="H672" s="19">
        <v>146.06</v>
      </c>
      <c r="I672" s="15">
        <v>3260039</v>
      </c>
      <c r="J672" s="19">
        <f t="shared" si="52"/>
        <v>3.062376517075927</v>
      </c>
      <c r="K672" s="19">
        <f t="shared" si="48"/>
        <v>145.81900000000002</v>
      </c>
      <c r="L672" s="19">
        <f t="shared" si="49"/>
        <v>154.12579999999997</v>
      </c>
      <c r="M672" s="19">
        <f>MAX(G526:G672)</f>
        <v>175.51</v>
      </c>
      <c r="N672" s="19">
        <f t="shared" si="50"/>
        <v>-16.779670674035664</v>
      </c>
      <c r="O672" s="9" t="str">
        <f t="shared" si="51"/>
        <v>2024-07</v>
      </c>
    </row>
    <row r="673" spans="1:15" x14ac:dyDescent="0.25">
      <c r="A673" s="9" t="s">
        <v>310</v>
      </c>
      <c r="B673" s="9" t="s">
        <v>311</v>
      </c>
      <c r="C673" s="25" t="s">
        <v>193</v>
      </c>
      <c r="D673" s="19">
        <v>146.06</v>
      </c>
      <c r="E673" s="19">
        <v>146.41</v>
      </c>
      <c r="F673" s="19">
        <v>144.02000000000001</v>
      </c>
      <c r="G673" s="19">
        <v>144.28</v>
      </c>
      <c r="H673" s="19">
        <v>144.28</v>
      </c>
      <c r="I673" s="15">
        <v>3572831</v>
      </c>
      <c r="J673" s="19">
        <f t="shared" si="52"/>
        <v>-1.2186772559222245</v>
      </c>
      <c r="K673" s="19">
        <f t="shared" ref="K673:K736" si="53">AVERAGE(G654:G673)</f>
        <v>145.595</v>
      </c>
      <c r="L673" s="19">
        <f t="shared" si="49"/>
        <v>153.60120000000001</v>
      </c>
      <c r="M673" s="19">
        <f>MAX(G526:G673)</f>
        <v>175.51</v>
      </c>
      <c r="N673" s="19">
        <f t="shared" si="50"/>
        <v>-17.793857899834762</v>
      </c>
      <c r="O673" s="9" t="str">
        <f t="shared" si="51"/>
        <v>2024-07</v>
      </c>
    </row>
    <row r="674" spans="1:15" x14ac:dyDescent="0.25">
      <c r="A674" s="9" t="s">
        <v>310</v>
      </c>
      <c r="B674" s="9" t="s">
        <v>311</v>
      </c>
      <c r="C674" s="25" t="s">
        <v>194</v>
      </c>
      <c r="D674" s="19">
        <v>144.28</v>
      </c>
      <c r="E674" s="19">
        <v>144.81</v>
      </c>
      <c r="F674" s="19">
        <v>143.79</v>
      </c>
      <c r="G674" s="19">
        <v>144.41</v>
      </c>
      <c r="H674" s="19">
        <v>144.41</v>
      </c>
      <c r="I674" s="15">
        <v>2470577</v>
      </c>
      <c r="J674" s="19">
        <f t="shared" si="52"/>
        <v>9.0102578319930307E-2</v>
      </c>
      <c r="K674" s="19">
        <f t="shared" si="53"/>
        <v>145.22499999999999</v>
      </c>
      <c r="L674" s="19">
        <f t="shared" si="49"/>
        <v>153.12100000000001</v>
      </c>
      <c r="M674" s="19">
        <f>MAX(G526:G674)</f>
        <v>175.51</v>
      </c>
      <c r="N674" s="19">
        <f t="shared" si="50"/>
        <v>-17.719788046265165</v>
      </c>
      <c r="O674" s="9" t="str">
        <f t="shared" si="51"/>
        <v>2024-07</v>
      </c>
    </row>
    <row r="675" spans="1:15" x14ac:dyDescent="0.25">
      <c r="A675" s="9" t="s">
        <v>310</v>
      </c>
      <c r="B675" s="9" t="s">
        <v>311</v>
      </c>
      <c r="C675" s="25" t="s">
        <v>195</v>
      </c>
      <c r="D675" s="19">
        <v>144.41</v>
      </c>
      <c r="E675" s="19">
        <v>146.07</v>
      </c>
      <c r="F675" s="19">
        <v>144.35</v>
      </c>
      <c r="G675" s="19">
        <v>146.04</v>
      </c>
      <c r="H675" s="19">
        <v>146.04</v>
      </c>
      <c r="I675" s="15">
        <v>6330694</v>
      </c>
      <c r="J675" s="19">
        <f t="shared" si="52"/>
        <v>1.128730697320127</v>
      </c>
      <c r="K675" s="19">
        <f t="shared" si="53"/>
        <v>145.077</v>
      </c>
      <c r="L675" s="19">
        <f t="shared" si="49"/>
        <v>152.70480000000001</v>
      </c>
      <c r="M675" s="19">
        <f>MAX(G526:G675)</f>
        <v>175.51</v>
      </c>
      <c r="N675" s="19">
        <f t="shared" si="50"/>
        <v>-16.791066036123297</v>
      </c>
      <c r="O675" s="9" t="str">
        <f t="shared" si="51"/>
        <v>2024-07</v>
      </c>
    </row>
    <row r="676" spans="1:15" x14ac:dyDescent="0.25">
      <c r="A676" s="9" t="s">
        <v>310</v>
      </c>
      <c r="B676" s="9" t="s">
        <v>311</v>
      </c>
      <c r="C676" s="25" t="s">
        <v>196</v>
      </c>
      <c r="D676" s="19">
        <v>146.04</v>
      </c>
      <c r="E676" s="19">
        <v>146.09</v>
      </c>
      <c r="F676" s="19">
        <v>140.96</v>
      </c>
      <c r="G676" s="19">
        <v>142.01</v>
      </c>
      <c r="H676" s="19">
        <v>142.01</v>
      </c>
      <c r="I676" s="15">
        <v>3685958</v>
      </c>
      <c r="J676" s="19">
        <f t="shared" si="52"/>
        <v>-2.7595179402903325</v>
      </c>
      <c r="K676" s="19">
        <f t="shared" si="53"/>
        <v>144.77199999999999</v>
      </c>
      <c r="L676" s="19">
        <f t="shared" si="49"/>
        <v>152.1746</v>
      </c>
      <c r="M676" s="19">
        <f>MAX(G526:G676)</f>
        <v>175.51</v>
      </c>
      <c r="N676" s="19">
        <f t="shared" si="50"/>
        <v>-19.087231496780809</v>
      </c>
      <c r="O676" s="9" t="str">
        <f t="shared" si="51"/>
        <v>2024-07</v>
      </c>
    </row>
    <row r="677" spans="1:15" x14ac:dyDescent="0.25">
      <c r="A677" s="9" t="s">
        <v>310</v>
      </c>
      <c r="B677" s="9" t="s">
        <v>311</v>
      </c>
      <c r="C677" s="25" t="s">
        <v>197</v>
      </c>
      <c r="D677" s="19">
        <v>142.01</v>
      </c>
      <c r="E677" s="19">
        <v>142.26</v>
      </c>
      <c r="F677" s="19">
        <v>139.91999999999999</v>
      </c>
      <c r="G677" s="19">
        <v>141.68</v>
      </c>
      <c r="H677" s="19">
        <v>141.68</v>
      </c>
      <c r="I677" s="15">
        <v>3690189</v>
      </c>
      <c r="J677" s="19">
        <f t="shared" si="52"/>
        <v>-0.23237800154917548</v>
      </c>
      <c r="K677" s="19">
        <f t="shared" si="53"/>
        <v>144.518</v>
      </c>
      <c r="L677" s="19">
        <f t="shared" si="49"/>
        <v>151.602</v>
      </c>
      <c r="M677" s="19">
        <f>MAX(G526:G677)</f>
        <v>175.51</v>
      </c>
      <c r="N677" s="19">
        <f t="shared" si="50"/>
        <v>-19.275254971226701</v>
      </c>
      <c r="O677" s="9" t="str">
        <f t="shared" si="51"/>
        <v>2024-07</v>
      </c>
    </row>
    <row r="678" spans="1:15" x14ac:dyDescent="0.25">
      <c r="A678" s="9" t="s">
        <v>310</v>
      </c>
      <c r="B678" s="9" t="s">
        <v>311</v>
      </c>
      <c r="C678" s="25" t="s">
        <v>198</v>
      </c>
      <c r="D678" s="19">
        <v>141.68</v>
      </c>
      <c r="E678" s="19">
        <v>143.26</v>
      </c>
      <c r="F678" s="19">
        <v>141.46</v>
      </c>
      <c r="G678" s="19">
        <v>142.88999999999999</v>
      </c>
      <c r="H678" s="19">
        <v>142.88999999999999</v>
      </c>
      <c r="I678" s="15">
        <v>4834452</v>
      </c>
      <c r="J678" s="19">
        <f t="shared" si="52"/>
        <v>0.8540372670807308</v>
      </c>
      <c r="K678" s="19">
        <f t="shared" si="53"/>
        <v>144.20699999999997</v>
      </c>
      <c r="L678" s="19">
        <f t="shared" si="49"/>
        <v>151.06900000000002</v>
      </c>
      <c r="M678" s="19">
        <f>MAX(G526:G678)</f>
        <v>175.51</v>
      </c>
      <c r="N678" s="19">
        <f t="shared" si="50"/>
        <v>-18.58583556492508</v>
      </c>
      <c r="O678" s="9" t="str">
        <f t="shared" si="51"/>
        <v>2024-07</v>
      </c>
    </row>
    <row r="679" spans="1:15" x14ac:dyDescent="0.25">
      <c r="A679" s="9" t="s">
        <v>310</v>
      </c>
      <c r="B679" s="9" t="s">
        <v>311</v>
      </c>
      <c r="C679" s="25" t="s">
        <v>199</v>
      </c>
      <c r="D679" s="19">
        <v>142.88999999999999</v>
      </c>
      <c r="E679" s="19">
        <v>148.6</v>
      </c>
      <c r="F679" s="19">
        <v>141.57</v>
      </c>
      <c r="G679" s="19">
        <v>147.32</v>
      </c>
      <c r="H679" s="19">
        <v>147.32</v>
      </c>
      <c r="I679" s="15">
        <v>3566788</v>
      </c>
      <c r="J679" s="19">
        <f t="shared" si="52"/>
        <v>3.100286934005184</v>
      </c>
      <c r="K679" s="19">
        <f t="shared" si="53"/>
        <v>144.3295</v>
      </c>
      <c r="L679" s="19">
        <f t="shared" si="49"/>
        <v>150.50520000000003</v>
      </c>
      <c r="M679" s="19">
        <f>MAX(G526:G679)</f>
        <v>175.51</v>
      </c>
      <c r="N679" s="19">
        <f t="shared" si="50"/>
        <v>-16.061762862514957</v>
      </c>
      <c r="O679" s="9" t="str">
        <f t="shared" si="51"/>
        <v>2024-08</v>
      </c>
    </row>
    <row r="680" spans="1:15" x14ac:dyDescent="0.25">
      <c r="A680" s="9" t="s">
        <v>310</v>
      </c>
      <c r="B680" s="9" t="s">
        <v>311</v>
      </c>
      <c r="C680" s="25" t="s">
        <v>200</v>
      </c>
      <c r="D680" s="19">
        <v>147.32</v>
      </c>
      <c r="E680" s="19">
        <v>153.88999999999999</v>
      </c>
      <c r="F680" s="19">
        <v>147.15</v>
      </c>
      <c r="G680" s="19">
        <v>153.75</v>
      </c>
      <c r="H680" s="19">
        <v>153.75</v>
      </c>
      <c r="I680" s="15">
        <v>4807023</v>
      </c>
      <c r="J680" s="19">
        <f t="shared" si="52"/>
        <v>4.3646483844691879</v>
      </c>
      <c r="K680" s="19">
        <f t="shared" si="53"/>
        <v>144.72499999999997</v>
      </c>
      <c r="L680" s="19">
        <f t="shared" si="49"/>
        <v>150.09700000000004</v>
      </c>
      <c r="M680" s="19">
        <f>MAX(G526:G680)</f>
        <v>175.51</v>
      </c>
      <c r="N680" s="19">
        <f t="shared" si="50"/>
        <v>-12.398153951341799</v>
      </c>
      <c r="O680" s="9" t="str">
        <f t="shared" si="51"/>
        <v>2024-08</v>
      </c>
    </row>
    <row r="681" spans="1:15" x14ac:dyDescent="0.25">
      <c r="A681" s="9" t="s">
        <v>310</v>
      </c>
      <c r="B681" s="9" t="s">
        <v>311</v>
      </c>
      <c r="C681" s="25" t="s">
        <v>201</v>
      </c>
      <c r="D681" s="19">
        <v>153.75</v>
      </c>
      <c r="E681" s="19">
        <v>153.91</v>
      </c>
      <c r="F681" s="19">
        <v>150.41</v>
      </c>
      <c r="G681" s="19">
        <v>151.88999999999999</v>
      </c>
      <c r="H681" s="19">
        <v>151.88999999999999</v>
      </c>
      <c r="I681" s="15">
        <v>4820995</v>
      </c>
      <c r="J681" s="19">
        <f t="shared" si="52"/>
        <v>-1.2097560975609845</v>
      </c>
      <c r="K681" s="19">
        <f t="shared" si="53"/>
        <v>145.05799999999999</v>
      </c>
      <c r="L681" s="19">
        <f t="shared" si="49"/>
        <v>149.72780000000003</v>
      </c>
      <c r="M681" s="19">
        <f>MAX(G526:G681)</f>
        <v>175.51</v>
      </c>
      <c r="N681" s="19">
        <f t="shared" si="50"/>
        <v>-13.457922625491427</v>
      </c>
      <c r="O681" s="9" t="str">
        <f t="shared" si="51"/>
        <v>2024-08</v>
      </c>
    </row>
    <row r="682" spans="1:15" x14ac:dyDescent="0.25">
      <c r="A682" s="9" t="s">
        <v>310</v>
      </c>
      <c r="B682" s="9" t="s">
        <v>311</v>
      </c>
      <c r="C682" s="25" t="s">
        <v>202</v>
      </c>
      <c r="D682" s="19">
        <v>151.88999999999999</v>
      </c>
      <c r="E682" s="19">
        <v>152</v>
      </c>
      <c r="F682" s="19">
        <v>148.87</v>
      </c>
      <c r="G682" s="19">
        <v>149.97</v>
      </c>
      <c r="H682" s="19">
        <v>149.97</v>
      </c>
      <c r="I682" s="15">
        <v>4718077</v>
      </c>
      <c r="J682" s="19">
        <f t="shared" si="52"/>
        <v>-1.2640726841793322</v>
      </c>
      <c r="K682" s="19">
        <f t="shared" si="53"/>
        <v>145.38099999999997</v>
      </c>
      <c r="L682" s="19">
        <f t="shared" si="49"/>
        <v>149.28360000000006</v>
      </c>
      <c r="M682" s="19">
        <f>MAX(G526:G682)</f>
        <v>175.51</v>
      </c>
      <c r="N682" s="19">
        <f t="shared" si="50"/>
        <v>-14.551877385903932</v>
      </c>
      <c r="O682" s="9" t="str">
        <f t="shared" si="51"/>
        <v>2024-08</v>
      </c>
    </row>
    <row r="683" spans="1:15" x14ac:dyDescent="0.25">
      <c r="A683" s="9" t="s">
        <v>310</v>
      </c>
      <c r="B683" s="9" t="s">
        <v>311</v>
      </c>
      <c r="C683" s="25" t="s">
        <v>203</v>
      </c>
      <c r="D683" s="19">
        <v>149.97</v>
      </c>
      <c r="E683" s="19">
        <v>150.13999999999999</v>
      </c>
      <c r="F683" s="19">
        <v>148.12</v>
      </c>
      <c r="G683" s="19">
        <v>148.47</v>
      </c>
      <c r="H683" s="19">
        <v>148.47</v>
      </c>
      <c r="I683" s="15">
        <v>1990636</v>
      </c>
      <c r="J683" s="19">
        <f t="shared" si="52"/>
        <v>-1.0002000400080016</v>
      </c>
      <c r="K683" s="19">
        <f t="shared" si="53"/>
        <v>145.78299999999999</v>
      </c>
      <c r="L683" s="19">
        <f t="shared" si="49"/>
        <v>148.84020000000004</v>
      </c>
      <c r="M683" s="19">
        <f>MAX(G526:G683)</f>
        <v>175.51</v>
      </c>
      <c r="N683" s="19">
        <f t="shared" si="50"/>
        <v>-15.406529542476207</v>
      </c>
      <c r="O683" s="9" t="str">
        <f t="shared" si="51"/>
        <v>2024-08</v>
      </c>
    </row>
    <row r="684" spans="1:15" x14ac:dyDescent="0.25">
      <c r="A684" s="9" t="s">
        <v>310</v>
      </c>
      <c r="B684" s="9" t="s">
        <v>311</v>
      </c>
      <c r="C684" s="25" t="s">
        <v>204</v>
      </c>
      <c r="D684" s="19">
        <v>148.47</v>
      </c>
      <c r="E684" s="19">
        <v>148.5</v>
      </c>
      <c r="F684" s="19">
        <v>147.22999999999999</v>
      </c>
      <c r="G684" s="19">
        <v>148.28</v>
      </c>
      <c r="H684" s="19">
        <v>148.28</v>
      </c>
      <c r="I684" s="15">
        <v>4349208</v>
      </c>
      <c r="J684" s="19">
        <f t="shared" si="52"/>
        <v>-0.12797198087155501</v>
      </c>
      <c r="K684" s="19">
        <f t="shared" si="53"/>
        <v>146.05799999999999</v>
      </c>
      <c r="L684" s="19">
        <f t="shared" si="49"/>
        <v>148.39200000000005</v>
      </c>
      <c r="M684" s="19">
        <f>MAX(G526:G684)</f>
        <v>175.51</v>
      </c>
      <c r="N684" s="19">
        <f t="shared" si="50"/>
        <v>-15.514785482308696</v>
      </c>
      <c r="O684" s="9" t="str">
        <f t="shared" si="51"/>
        <v>2024-08</v>
      </c>
    </row>
    <row r="685" spans="1:15" x14ac:dyDescent="0.25">
      <c r="A685" s="9" t="s">
        <v>310</v>
      </c>
      <c r="B685" s="9" t="s">
        <v>311</v>
      </c>
      <c r="C685" s="25" t="s">
        <v>205</v>
      </c>
      <c r="D685" s="19">
        <v>148.28</v>
      </c>
      <c r="E685" s="19">
        <v>149.47999999999999</v>
      </c>
      <c r="F685" s="19">
        <v>148.16999999999999</v>
      </c>
      <c r="G685" s="19">
        <v>149.08000000000001</v>
      </c>
      <c r="H685" s="19">
        <v>149.08000000000001</v>
      </c>
      <c r="I685" s="15">
        <v>3495966</v>
      </c>
      <c r="J685" s="19">
        <f t="shared" si="52"/>
        <v>0.539519827353663</v>
      </c>
      <c r="K685" s="19">
        <f t="shared" si="53"/>
        <v>146.2225</v>
      </c>
      <c r="L685" s="19">
        <f t="shared" si="49"/>
        <v>148.01880000000006</v>
      </c>
      <c r="M685" s="19">
        <f>MAX(G526:G685)</f>
        <v>175.51</v>
      </c>
      <c r="N685" s="19">
        <f t="shared" si="50"/>
        <v>-15.058970998803476</v>
      </c>
      <c r="O685" s="9" t="str">
        <f t="shared" si="51"/>
        <v>2024-08</v>
      </c>
    </row>
    <row r="686" spans="1:15" x14ac:dyDescent="0.25">
      <c r="A686" s="9" t="s">
        <v>310</v>
      </c>
      <c r="B686" s="9" t="s">
        <v>311</v>
      </c>
      <c r="C686" s="25" t="s">
        <v>206</v>
      </c>
      <c r="D686" s="19">
        <v>149.08000000000001</v>
      </c>
      <c r="E686" s="19">
        <v>149.94</v>
      </c>
      <c r="F686" s="19">
        <v>144.21</v>
      </c>
      <c r="G686" s="19">
        <v>144.6</v>
      </c>
      <c r="H686" s="19">
        <v>144.6</v>
      </c>
      <c r="I686" s="15">
        <v>2673249</v>
      </c>
      <c r="J686" s="19">
        <f t="shared" si="52"/>
        <v>-3.0050979339951822</v>
      </c>
      <c r="K686" s="19">
        <f t="shared" si="53"/>
        <v>146.15749999999997</v>
      </c>
      <c r="L686" s="19">
        <f t="shared" si="49"/>
        <v>147.58640000000005</v>
      </c>
      <c r="M686" s="19">
        <f>MAX(G526:G686)</f>
        <v>175.51</v>
      </c>
      <c r="N686" s="19">
        <f t="shared" si="50"/>
        <v>-17.61153210643268</v>
      </c>
      <c r="O686" s="9" t="str">
        <f t="shared" si="51"/>
        <v>2024-08</v>
      </c>
    </row>
    <row r="687" spans="1:15" x14ac:dyDescent="0.25">
      <c r="A687" s="9" t="s">
        <v>310</v>
      </c>
      <c r="B687" s="9" t="s">
        <v>311</v>
      </c>
      <c r="C687" s="25" t="s">
        <v>207</v>
      </c>
      <c r="D687" s="19">
        <v>144.6</v>
      </c>
      <c r="E687" s="19">
        <v>145.66999999999999</v>
      </c>
      <c r="F687" s="19">
        <v>140.88</v>
      </c>
      <c r="G687" s="19">
        <v>141.28</v>
      </c>
      <c r="H687" s="19">
        <v>141.28</v>
      </c>
      <c r="I687" s="15">
        <v>3345776</v>
      </c>
      <c r="J687" s="19">
        <f t="shared" si="52"/>
        <v>-2.2959889349930798</v>
      </c>
      <c r="K687" s="19">
        <f t="shared" si="53"/>
        <v>145.8665</v>
      </c>
      <c r="L687" s="19">
        <f t="shared" si="49"/>
        <v>147.09920000000002</v>
      </c>
      <c r="M687" s="19">
        <f>MAX(G526:G687)</f>
        <v>175.51</v>
      </c>
      <c r="N687" s="19">
        <f t="shared" si="50"/>
        <v>-19.503162212979312</v>
      </c>
      <c r="O687" s="9" t="str">
        <f t="shared" si="51"/>
        <v>2024-08</v>
      </c>
    </row>
    <row r="688" spans="1:15" x14ac:dyDescent="0.25">
      <c r="A688" s="9" t="s">
        <v>310</v>
      </c>
      <c r="B688" s="9" t="s">
        <v>311</v>
      </c>
      <c r="C688" s="25" t="s">
        <v>208</v>
      </c>
      <c r="D688" s="19">
        <v>141.28</v>
      </c>
      <c r="E688" s="19">
        <v>148.55000000000001</v>
      </c>
      <c r="F688" s="19">
        <v>140.78</v>
      </c>
      <c r="G688" s="19">
        <v>147.96</v>
      </c>
      <c r="H688" s="19">
        <v>147.96</v>
      </c>
      <c r="I688" s="15">
        <v>4753133</v>
      </c>
      <c r="J688" s="19">
        <f t="shared" si="52"/>
        <v>4.7281993204983062</v>
      </c>
      <c r="K688" s="19">
        <f t="shared" si="53"/>
        <v>145.91200000000001</v>
      </c>
      <c r="L688" s="19">
        <f t="shared" si="49"/>
        <v>147.04420000000005</v>
      </c>
      <c r="M688" s="19">
        <f>MAX(G526:G688)</f>
        <v>175.51</v>
      </c>
      <c r="N688" s="19">
        <f t="shared" si="50"/>
        <v>-15.697111275710776</v>
      </c>
      <c r="O688" s="9" t="str">
        <f t="shared" si="51"/>
        <v>2024-08</v>
      </c>
    </row>
    <row r="689" spans="1:15" x14ac:dyDescent="0.25">
      <c r="A689" s="9" t="s">
        <v>310</v>
      </c>
      <c r="B689" s="9" t="s">
        <v>311</v>
      </c>
      <c r="C689" s="25" t="s">
        <v>209</v>
      </c>
      <c r="D689" s="19">
        <v>147.96</v>
      </c>
      <c r="E689" s="19">
        <v>148.88999999999999</v>
      </c>
      <c r="F689" s="19">
        <v>144.57</v>
      </c>
      <c r="G689" s="19">
        <v>145.87</v>
      </c>
      <c r="H689" s="19">
        <v>145.87</v>
      </c>
      <c r="I689" s="15">
        <v>3378317</v>
      </c>
      <c r="J689" s="19">
        <f t="shared" si="52"/>
        <v>-1.4125439307921084</v>
      </c>
      <c r="K689" s="19">
        <f t="shared" si="53"/>
        <v>146.04500000000002</v>
      </c>
      <c r="L689" s="19">
        <f t="shared" si="49"/>
        <v>146.98360000000005</v>
      </c>
      <c r="M689" s="19">
        <f>MAX(G526:G689)</f>
        <v>175.51</v>
      </c>
      <c r="N689" s="19">
        <f t="shared" si="50"/>
        <v>-16.887926613868149</v>
      </c>
      <c r="O689" s="9" t="str">
        <f t="shared" si="51"/>
        <v>2024-08</v>
      </c>
    </row>
    <row r="690" spans="1:15" x14ac:dyDescent="0.25">
      <c r="A690" s="9" t="s">
        <v>310</v>
      </c>
      <c r="B690" s="9" t="s">
        <v>311</v>
      </c>
      <c r="C690" s="25" t="s">
        <v>210</v>
      </c>
      <c r="D690" s="19">
        <v>145.87</v>
      </c>
      <c r="E690" s="19">
        <v>146.24</v>
      </c>
      <c r="F690" s="19">
        <v>144.51</v>
      </c>
      <c r="G690" s="19">
        <v>145.22999999999999</v>
      </c>
      <c r="H690" s="19">
        <v>145.22999999999999</v>
      </c>
      <c r="I690" s="15">
        <v>5152693</v>
      </c>
      <c r="J690" s="19">
        <f t="shared" si="52"/>
        <v>-0.43874682936862602</v>
      </c>
      <c r="K690" s="19">
        <f t="shared" si="53"/>
        <v>146.1395</v>
      </c>
      <c r="L690" s="19">
        <f t="shared" si="49"/>
        <v>146.92440000000005</v>
      </c>
      <c r="M690" s="19">
        <f>MAX(G526:G690)</f>
        <v>175.51</v>
      </c>
      <c r="N690" s="19">
        <f t="shared" si="50"/>
        <v>-17.252578200672328</v>
      </c>
      <c r="O690" s="9" t="str">
        <f t="shared" si="51"/>
        <v>2024-08</v>
      </c>
    </row>
    <row r="691" spans="1:15" x14ac:dyDescent="0.25">
      <c r="A691" s="9" t="s">
        <v>310</v>
      </c>
      <c r="B691" s="9" t="s">
        <v>311</v>
      </c>
      <c r="C691" s="25" t="s">
        <v>211</v>
      </c>
      <c r="D691" s="19">
        <v>145.22999999999999</v>
      </c>
      <c r="E691" s="19">
        <v>145.33000000000001</v>
      </c>
      <c r="F691" s="19">
        <v>141.71</v>
      </c>
      <c r="G691" s="19">
        <v>142.09</v>
      </c>
      <c r="H691" s="19">
        <v>142.09</v>
      </c>
      <c r="I691" s="15">
        <v>3162737</v>
      </c>
      <c r="J691" s="19">
        <f t="shared" si="52"/>
        <v>-2.1620877229222519</v>
      </c>
      <c r="K691" s="19">
        <f t="shared" si="53"/>
        <v>146.15800000000002</v>
      </c>
      <c r="L691" s="19">
        <f t="shared" si="49"/>
        <v>146.77220000000003</v>
      </c>
      <c r="M691" s="19">
        <f>MAX(G526:G691)</f>
        <v>175.51</v>
      </c>
      <c r="N691" s="19">
        <f t="shared" si="50"/>
        <v>-19.041650048430284</v>
      </c>
      <c r="O691" s="9" t="str">
        <f t="shared" si="51"/>
        <v>2024-08</v>
      </c>
    </row>
    <row r="692" spans="1:15" x14ac:dyDescent="0.25">
      <c r="A692" s="9" t="s">
        <v>310</v>
      </c>
      <c r="B692" s="9" t="s">
        <v>311</v>
      </c>
      <c r="C692" s="25" t="s">
        <v>212</v>
      </c>
      <c r="D692" s="19">
        <v>142.09</v>
      </c>
      <c r="E692" s="19">
        <v>142.31</v>
      </c>
      <c r="F692" s="19">
        <v>139.88999999999999</v>
      </c>
      <c r="G692" s="19">
        <v>140.66</v>
      </c>
      <c r="H692" s="19">
        <v>140.66</v>
      </c>
      <c r="I692" s="15">
        <v>5473359</v>
      </c>
      <c r="J692" s="19">
        <f t="shared" si="52"/>
        <v>-1.0064043915828043</v>
      </c>
      <c r="K692" s="19">
        <f t="shared" si="53"/>
        <v>145.88800000000001</v>
      </c>
      <c r="L692" s="19">
        <f t="shared" si="49"/>
        <v>146.62560000000002</v>
      </c>
      <c r="M692" s="19">
        <f>MAX(G526:G692)</f>
        <v>175.51</v>
      </c>
      <c r="N692" s="19">
        <f t="shared" si="50"/>
        <v>-19.856418437695854</v>
      </c>
      <c r="O692" s="9" t="str">
        <f t="shared" si="51"/>
        <v>2024-08</v>
      </c>
    </row>
    <row r="693" spans="1:15" x14ac:dyDescent="0.25">
      <c r="A693" s="9" t="s">
        <v>310</v>
      </c>
      <c r="B693" s="9" t="s">
        <v>311</v>
      </c>
      <c r="C693" s="25" t="s">
        <v>213</v>
      </c>
      <c r="D693" s="19">
        <v>140.66</v>
      </c>
      <c r="E693" s="19">
        <v>142.82</v>
      </c>
      <c r="F693" s="19">
        <v>140.19999999999999</v>
      </c>
      <c r="G693" s="19">
        <v>141.81</v>
      </c>
      <c r="H693" s="19">
        <v>141.81</v>
      </c>
      <c r="I693" s="15">
        <v>4385549</v>
      </c>
      <c r="J693" s="19">
        <f t="shared" si="52"/>
        <v>0.8175742926205074</v>
      </c>
      <c r="K693" s="19">
        <f t="shared" si="53"/>
        <v>145.76449999999997</v>
      </c>
      <c r="L693" s="19">
        <f t="shared" si="49"/>
        <v>146.51480000000004</v>
      </c>
      <c r="M693" s="19">
        <f>MAX(G526:G693)</f>
        <v>175.51</v>
      </c>
      <c r="N693" s="19">
        <f t="shared" si="50"/>
        <v>-19.201185117657108</v>
      </c>
      <c r="O693" s="9" t="str">
        <f t="shared" si="51"/>
        <v>2024-08</v>
      </c>
    </row>
    <row r="694" spans="1:15" x14ac:dyDescent="0.25">
      <c r="A694" s="9" t="s">
        <v>310</v>
      </c>
      <c r="B694" s="9" t="s">
        <v>311</v>
      </c>
      <c r="C694" s="25" t="s">
        <v>214</v>
      </c>
      <c r="D694" s="19">
        <v>141.81</v>
      </c>
      <c r="E694" s="19">
        <v>142.6</v>
      </c>
      <c r="F694" s="19">
        <v>135.88</v>
      </c>
      <c r="G694" s="19">
        <v>136.41999999999999</v>
      </c>
      <c r="H694" s="19">
        <v>136.41999999999999</v>
      </c>
      <c r="I694" s="15">
        <v>4329895</v>
      </c>
      <c r="J694" s="19">
        <f t="shared" si="52"/>
        <v>-3.8008603060433077</v>
      </c>
      <c r="K694" s="19">
        <f t="shared" si="53"/>
        <v>145.36499999999998</v>
      </c>
      <c r="L694" s="19">
        <f t="shared" si="49"/>
        <v>146.25800000000001</v>
      </c>
      <c r="M694" s="19">
        <f>MAX(G526:G694)</f>
        <v>175.51</v>
      </c>
      <c r="N694" s="19">
        <f t="shared" si="50"/>
        <v>-22.272235200273492</v>
      </c>
      <c r="O694" s="9" t="str">
        <f t="shared" si="51"/>
        <v>2024-08</v>
      </c>
    </row>
    <row r="695" spans="1:15" x14ac:dyDescent="0.25">
      <c r="A695" s="9" t="s">
        <v>310</v>
      </c>
      <c r="B695" s="9" t="s">
        <v>311</v>
      </c>
      <c r="C695" s="25" t="s">
        <v>215</v>
      </c>
      <c r="D695" s="19">
        <v>136.41999999999999</v>
      </c>
      <c r="E695" s="19">
        <v>136.68</v>
      </c>
      <c r="F695" s="19">
        <v>132.22999999999999</v>
      </c>
      <c r="G695" s="19">
        <v>133.44</v>
      </c>
      <c r="H695" s="19">
        <v>133.44</v>
      </c>
      <c r="I695" s="15">
        <v>3579066</v>
      </c>
      <c r="J695" s="19">
        <f t="shared" si="52"/>
        <v>-2.184430435420019</v>
      </c>
      <c r="K695" s="19">
        <f t="shared" si="53"/>
        <v>144.73499999999999</v>
      </c>
      <c r="L695" s="19">
        <f t="shared" si="49"/>
        <v>145.864</v>
      </c>
      <c r="M695" s="19">
        <f>MAX(G526:G695)</f>
        <v>175.51</v>
      </c>
      <c r="N695" s="19">
        <f t="shared" si="50"/>
        <v>-23.970144151330405</v>
      </c>
      <c r="O695" s="9" t="str">
        <f t="shared" si="51"/>
        <v>2024-08</v>
      </c>
    </row>
    <row r="696" spans="1:15" x14ac:dyDescent="0.25">
      <c r="A696" s="9" t="s">
        <v>310</v>
      </c>
      <c r="B696" s="9" t="s">
        <v>311</v>
      </c>
      <c r="C696" s="25" t="s">
        <v>216</v>
      </c>
      <c r="D696" s="19">
        <v>133.44</v>
      </c>
      <c r="E696" s="19">
        <v>133.82</v>
      </c>
      <c r="F696" s="19">
        <v>132.41999999999999</v>
      </c>
      <c r="G696" s="19">
        <v>133</v>
      </c>
      <c r="H696" s="19">
        <v>133</v>
      </c>
      <c r="I696" s="15">
        <v>3543024</v>
      </c>
      <c r="J696" s="19">
        <f t="shared" si="52"/>
        <v>-0.32973621103117334</v>
      </c>
      <c r="K696" s="19">
        <f t="shared" si="53"/>
        <v>144.28450000000001</v>
      </c>
      <c r="L696" s="19">
        <f t="shared" si="49"/>
        <v>145.46860000000004</v>
      </c>
      <c r="M696" s="19">
        <f>MAX(G526:G696)</f>
        <v>175.51</v>
      </c>
      <c r="N696" s="19">
        <f t="shared" si="50"/>
        <v>-24.220842117258272</v>
      </c>
      <c r="O696" s="9" t="str">
        <f t="shared" si="51"/>
        <v>2024-08</v>
      </c>
    </row>
    <row r="697" spans="1:15" x14ac:dyDescent="0.25">
      <c r="A697" s="9" t="s">
        <v>310</v>
      </c>
      <c r="B697" s="9" t="s">
        <v>311</v>
      </c>
      <c r="C697" s="25" t="s">
        <v>217</v>
      </c>
      <c r="D697" s="19">
        <v>133</v>
      </c>
      <c r="E697" s="19">
        <v>136.44</v>
      </c>
      <c r="F697" s="19">
        <v>132.97999999999999</v>
      </c>
      <c r="G697" s="19">
        <v>135.59</v>
      </c>
      <c r="H697" s="19">
        <v>135.59</v>
      </c>
      <c r="I697" s="15">
        <v>5310166</v>
      </c>
      <c r="J697" s="19">
        <f t="shared" si="52"/>
        <v>1.9473684210526341</v>
      </c>
      <c r="K697" s="19">
        <f t="shared" si="53"/>
        <v>143.97999999999999</v>
      </c>
      <c r="L697" s="19">
        <f t="shared" si="49"/>
        <v>145.12899999999999</v>
      </c>
      <c r="M697" s="19">
        <f>MAX(G526:G697)</f>
        <v>175.51</v>
      </c>
      <c r="N697" s="19">
        <f t="shared" si="50"/>
        <v>-22.745142726910142</v>
      </c>
      <c r="O697" s="9" t="str">
        <f t="shared" si="51"/>
        <v>2024-08</v>
      </c>
    </row>
    <row r="698" spans="1:15" x14ac:dyDescent="0.25">
      <c r="A698" s="9" t="s">
        <v>310</v>
      </c>
      <c r="B698" s="9" t="s">
        <v>311</v>
      </c>
      <c r="C698" s="25" t="s">
        <v>218</v>
      </c>
      <c r="D698" s="19">
        <v>135.59</v>
      </c>
      <c r="E698" s="19">
        <v>136.96</v>
      </c>
      <c r="F698" s="19">
        <v>134.41</v>
      </c>
      <c r="G698" s="19">
        <v>135.49</v>
      </c>
      <c r="H698" s="19">
        <v>135.49</v>
      </c>
      <c r="I698" s="15">
        <v>3190145</v>
      </c>
      <c r="J698" s="19">
        <f t="shared" si="52"/>
        <v>-7.3751751604096402E-2</v>
      </c>
      <c r="K698" s="19">
        <f t="shared" si="53"/>
        <v>143.60999999999999</v>
      </c>
      <c r="L698" s="19">
        <f t="shared" si="49"/>
        <v>144.78880000000001</v>
      </c>
      <c r="M698" s="19">
        <f>MAX(G526:G698)</f>
        <v>175.51</v>
      </c>
      <c r="N698" s="19">
        <f t="shared" si="50"/>
        <v>-22.80211953734829</v>
      </c>
      <c r="O698" s="9" t="str">
        <f t="shared" si="51"/>
        <v>2024-08</v>
      </c>
    </row>
    <row r="699" spans="1:15" x14ac:dyDescent="0.25">
      <c r="A699" s="9" t="s">
        <v>310</v>
      </c>
      <c r="B699" s="9" t="s">
        <v>311</v>
      </c>
      <c r="C699" s="25" t="s">
        <v>219</v>
      </c>
      <c r="D699" s="19">
        <v>135.49</v>
      </c>
      <c r="E699" s="19">
        <v>136.09</v>
      </c>
      <c r="F699" s="19">
        <v>134.24</v>
      </c>
      <c r="G699" s="19">
        <v>135.15</v>
      </c>
      <c r="H699" s="19">
        <v>135.15</v>
      </c>
      <c r="I699" s="15">
        <v>2918349</v>
      </c>
      <c r="J699" s="19">
        <f t="shared" si="52"/>
        <v>-0.25094102885822084</v>
      </c>
      <c r="K699" s="19">
        <f t="shared" si="53"/>
        <v>143.00150000000002</v>
      </c>
      <c r="L699" s="19">
        <f t="shared" si="49"/>
        <v>144.51799999999997</v>
      </c>
      <c r="M699" s="19">
        <f>MAX(G526:G699)</f>
        <v>175.51</v>
      </c>
      <c r="N699" s="19">
        <f t="shared" si="50"/>
        <v>-22.995840692838009</v>
      </c>
      <c r="O699" s="9" t="str">
        <f t="shared" si="51"/>
        <v>2024-08</v>
      </c>
    </row>
    <row r="700" spans="1:15" x14ac:dyDescent="0.25">
      <c r="A700" s="9" t="s">
        <v>310</v>
      </c>
      <c r="B700" s="9" t="s">
        <v>311</v>
      </c>
      <c r="C700" s="25" t="s">
        <v>220</v>
      </c>
      <c r="D700" s="19">
        <v>135.15</v>
      </c>
      <c r="E700" s="19">
        <v>136.34</v>
      </c>
      <c r="F700" s="19">
        <v>135.08000000000001</v>
      </c>
      <c r="G700" s="19">
        <v>136.29</v>
      </c>
      <c r="H700" s="19">
        <v>136.29</v>
      </c>
      <c r="I700" s="15">
        <v>4112479</v>
      </c>
      <c r="J700" s="19">
        <f t="shared" si="52"/>
        <v>0.84350721420642716</v>
      </c>
      <c r="K700" s="19">
        <f t="shared" si="53"/>
        <v>142.1285</v>
      </c>
      <c r="L700" s="19">
        <f t="shared" si="49"/>
        <v>144.35119999999998</v>
      </c>
      <c r="M700" s="19">
        <f>MAX(G526:G700)</f>
        <v>175.51</v>
      </c>
      <c r="N700" s="19">
        <f t="shared" si="50"/>
        <v>-22.346305053843086</v>
      </c>
      <c r="O700" s="9" t="str">
        <f t="shared" si="51"/>
        <v>2024-08</v>
      </c>
    </row>
    <row r="701" spans="1:15" x14ac:dyDescent="0.25">
      <c r="A701" s="9" t="s">
        <v>310</v>
      </c>
      <c r="B701" s="9" t="s">
        <v>311</v>
      </c>
      <c r="C701" s="25" t="s">
        <v>221</v>
      </c>
      <c r="D701" s="19">
        <v>136.29</v>
      </c>
      <c r="E701" s="19">
        <v>136.86000000000001</v>
      </c>
      <c r="F701" s="19">
        <v>132.4</v>
      </c>
      <c r="G701" s="19">
        <v>132.75</v>
      </c>
      <c r="H701" s="19">
        <v>132.75</v>
      </c>
      <c r="I701" s="15">
        <v>2681146</v>
      </c>
      <c r="J701" s="19">
        <f t="shared" si="52"/>
        <v>-2.5974025974025916</v>
      </c>
      <c r="K701" s="19">
        <f t="shared" si="53"/>
        <v>141.17150000000004</v>
      </c>
      <c r="L701" s="19">
        <f t="shared" si="49"/>
        <v>144.053</v>
      </c>
      <c r="M701" s="19">
        <f>MAX(G526:G701)</f>
        <v>175.51</v>
      </c>
      <c r="N701" s="19">
        <f t="shared" si="50"/>
        <v>-24.363284143353649</v>
      </c>
      <c r="O701" s="9" t="str">
        <f t="shared" si="51"/>
        <v>2024-09</v>
      </c>
    </row>
    <row r="702" spans="1:15" x14ac:dyDescent="0.25">
      <c r="A702" s="9" t="s">
        <v>310</v>
      </c>
      <c r="B702" s="9" t="s">
        <v>311</v>
      </c>
      <c r="C702" s="25" t="s">
        <v>222</v>
      </c>
      <c r="D702" s="19">
        <v>132.75</v>
      </c>
      <c r="E702" s="19">
        <v>135.55000000000001</v>
      </c>
      <c r="F702" s="19">
        <v>132.66</v>
      </c>
      <c r="G702" s="19">
        <v>135.46</v>
      </c>
      <c r="H702" s="19">
        <v>135.46</v>
      </c>
      <c r="I702" s="15">
        <v>2724990</v>
      </c>
      <c r="J702" s="19">
        <f t="shared" si="52"/>
        <v>2.0414312617702506</v>
      </c>
      <c r="K702" s="19">
        <f t="shared" si="53"/>
        <v>140.44600000000003</v>
      </c>
      <c r="L702" s="19">
        <f t="shared" si="49"/>
        <v>143.79079999999999</v>
      </c>
      <c r="M702" s="19">
        <f>MAX(G526:G702)</f>
        <v>175.51</v>
      </c>
      <c r="N702" s="19">
        <f t="shared" si="50"/>
        <v>-22.819212580479736</v>
      </c>
      <c r="O702" s="9" t="str">
        <f t="shared" si="51"/>
        <v>2024-09</v>
      </c>
    </row>
    <row r="703" spans="1:15" x14ac:dyDescent="0.25">
      <c r="A703" s="9" t="s">
        <v>310</v>
      </c>
      <c r="B703" s="9" t="s">
        <v>311</v>
      </c>
      <c r="C703" s="25" t="s">
        <v>223</v>
      </c>
      <c r="D703" s="19">
        <v>135.46</v>
      </c>
      <c r="E703" s="19">
        <v>135.79</v>
      </c>
      <c r="F703" s="19">
        <v>134.9</v>
      </c>
      <c r="G703" s="19">
        <v>135.26</v>
      </c>
      <c r="H703" s="19">
        <v>135.26</v>
      </c>
      <c r="I703" s="15">
        <v>4199986</v>
      </c>
      <c r="J703" s="19">
        <f t="shared" si="52"/>
        <v>-0.14764506127271301</v>
      </c>
      <c r="K703" s="19">
        <f t="shared" si="53"/>
        <v>139.78550000000001</v>
      </c>
      <c r="L703" s="19">
        <f t="shared" ref="L703:L766" si="54">AVERAGE(G654:G703)</f>
        <v>143.52079999999998</v>
      </c>
      <c r="M703" s="19">
        <f>MAX(G526:G703)</f>
        <v>175.51</v>
      </c>
      <c r="N703" s="19">
        <f t="shared" si="50"/>
        <v>-22.933166201356052</v>
      </c>
      <c r="O703" s="9" t="str">
        <f t="shared" si="51"/>
        <v>2024-09</v>
      </c>
    </row>
    <row r="704" spans="1:15" x14ac:dyDescent="0.25">
      <c r="A704" s="9" t="s">
        <v>310</v>
      </c>
      <c r="B704" s="9" t="s">
        <v>311</v>
      </c>
      <c r="C704" s="25" t="s">
        <v>224</v>
      </c>
      <c r="D704" s="19">
        <v>135.26</v>
      </c>
      <c r="E704" s="19">
        <v>138.09</v>
      </c>
      <c r="F704" s="19">
        <v>134.86000000000001</v>
      </c>
      <c r="G704" s="19">
        <v>137.87</v>
      </c>
      <c r="H704" s="19">
        <v>137.87</v>
      </c>
      <c r="I704" s="15">
        <v>3186217</v>
      </c>
      <c r="J704" s="19">
        <f t="shared" si="52"/>
        <v>1.929617033860723</v>
      </c>
      <c r="K704" s="19">
        <f t="shared" si="53"/>
        <v>139.26500000000001</v>
      </c>
      <c r="L704" s="19">
        <f t="shared" si="54"/>
        <v>143.24199999999996</v>
      </c>
      <c r="M704" s="19">
        <f>MAX(G526:G704)</f>
        <v>175.51</v>
      </c>
      <c r="N704" s="19">
        <f t="shared" si="50"/>
        <v>-21.446071448920286</v>
      </c>
      <c r="O704" s="9" t="str">
        <f t="shared" si="51"/>
        <v>2024-09</v>
      </c>
    </row>
    <row r="705" spans="1:15" x14ac:dyDescent="0.25">
      <c r="A705" s="9" t="s">
        <v>310</v>
      </c>
      <c r="B705" s="9" t="s">
        <v>311</v>
      </c>
      <c r="C705" s="25" t="s">
        <v>225</v>
      </c>
      <c r="D705" s="19">
        <v>137.87</v>
      </c>
      <c r="E705" s="19">
        <v>138.16999999999999</v>
      </c>
      <c r="F705" s="19">
        <v>136.66</v>
      </c>
      <c r="G705" s="19">
        <v>137.58000000000001</v>
      </c>
      <c r="H705" s="19">
        <v>137.58000000000001</v>
      </c>
      <c r="I705" s="15">
        <v>4530096</v>
      </c>
      <c r="J705" s="19">
        <f t="shared" si="52"/>
        <v>-0.21034307681148329</v>
      </c>
      <c r="K705" s="19">
        <f t="shared" si="53"/>
        <v>138.69</v>
      </c>
      <c r="L705" s="19">
        <f t="shared" si="54"/>
        <v>143.01359999999997</v>
      </c>
      <c r="M705" s="19">
        <f>MAX(G526:G705)</f>
        <v>175.51</v>
      </c>
      <c r="N705" s="19">
        <f t="shared" si="50"/>
        <v>-21.611304199190918</v>
      </c>
      <c r="O705" s="9" t="str">
        <f t="shared" si="51"/>
        <v>2024-09</v>
      </c>
    </row>
    <row r="706" spans="1:15" x14ac:dyDescent="0.25">
      <c r="A706" s="9" t="s">
        <v>310</v>
      </c>
      <c r="B706" s="9" t="s">
        <v>311</v>
      </c>
      <c r="C706" s="25" t="s">
        <v>226</v>
      </c>
      <c r="D706" s="19">
        <v>137.58000000000001</v>
      </c>
      <c r="E706" s="19">
        <v>141.22</v>
      </c>
      <c r="F706" s="19">
        <v>136.43</v>
      </c>
      <c r="G706" s="19">
        <v>140.33000000000001</v>
      </c>
      <c r="H706" s="19">
        <v>140.33000000000001</v>
      </c>
      <c r="I706" s="15">
        <v>4849257</v>
      </c>
      <c r="J706" s="19">
        <f t="shared" si="52"/>
        <v>1.9988370402674804</v>
      </c>
      <c r="K706" s="19">
        <f t="shared" si="53"/>
        <v>138.47649999999999</v>
      </c>
      <c r="L706" s="19">
        <f t="shared" si="54"/>
        <v>142.85799999999998</v>
      </c>
      <c r="M706" s="19">
        <f>MAX(G526:G706)</f>
        <v>175.51</v>
      </c>
      <c r="N706" s="19">
        <f t="shared" ref="N706:N769" si="55">(G706-M706)/M706*100</f>
        <v>-20.044441912141746</v>
      </c>
      <c r="O706" s="9" t="str">
        <f t="shared" ref="O706:O769" si="56">TEXT(C706,"yyyy-mm")</f>
        <v>2024-09</v>
      </c>
    </row>
    <row r="707" spans="1:15" x14ac:dyDescent="0.25">
      <c r="A707" s="9" t="s">
        <v>310</v>
      </c>
      <c r="B707" s="9" t="s">
        <v>311</v>
      </c>
      <c r="C707" s="25" t="s">
        <v>227</v>
      </c>
      <c r="D707" s="19">
        <v>140.33000000000001</v>
      </c>
      <c r="E707" s="19">
        <v>140.44999999999999</v>
      </c>
      <c r="F707" s="19">
        <v>139.6</v>
      </c>
      <c r="G707" s="19">
        <v>139.61000000000001</v>
      </c>
      <c r="H707" s="19">
        <v>139.61000000000001</v>
      </c>
      <c r="I707" s="15">
        <v>2146679</v>
      </c>
      <c r="J707" s="19">
        <f t="shared" si="52"/>
        <v>-0.5130763201026145</v>
      </c>
      <c r="K707" s="19">
        <f t="shared" si="53"/>
        <v>138.393</v>
      </c>
      <c r="L707" s="19">
        <f t="shared" si="54"/>
        <v>142.71499999999997</v>
      </c>
      <c r="M707" s="19">
        <f>MAX(G526:G707)</f>
        <v>175.51</v>
      </c>
      <c r="N707" s="19">
        <f t="shared" si="55"/>
        <v>-20.454674947296439</v>
      </c>
      <c r="O707" s="9" t="str">
        <f t="shared" si="56"/>
        <v>2024-09</v>
      </c>
    </row>
    <row r="708" spans="1:15" x14ac:dyDescent="0.25">
      <c r="A708" s="9" t="s">
        <v>310</v>
      </c>
      <c r="B708" s="9" t="s">
        <v>311</v>
      </c>
      <c r="C708" s="25" t="s">
        <v>228</v>
      </c>
      <c r="D708" s="19">
        <v>139.61000000000001</v>
      </c>
      <c r="E708" s="19">
        <v>141.22999999999999</v>
      </c>
      <c r="F708" s="19">
        <v>138.99</v>
      </c>
      <c r="G708" s="19">
        <v>140.76</v>
      </c>
      <c r="H708" s="19">
        <v>140.76</v>
      </c>
      <c r="I708" s="15">
        <v>1939387</v>
      </c>
      <c r="J708" s="19">
        <f t="shared" si="52"/>
        <v>0.82372322899504136</v>
      </c>
      <c r="K708" s="19">
        <f t="shared" si="53"/>
        <v>138.03299999999999</v>
      </c>
      <c r="L708" s="19">
        <f t="shared" si="54"/>
        <v>142.54799999999994</v>
      </c>
      <c r="M708" s="19">
        <f>MAX(G526:G708)</f>
        <v>175.51</v>
      </c>
      <c r="N708" s="19">
        <f t="shared" si="55"/>
        <v>-19.799441627257707</v>
      </c>
      <c r="O708" s="9" t="str">
        <f t="shared" si="56"/>
        <v>2024-09</v>
      </c>
    </row>
    <row r="709" spans="1:15" x14ac:dyDescent="0.25">
      <c r="A709" s="9" t="s">
        <v>310</v>
      </c>
      <c r="B709" s="9" t="s">
        <v>311</v>
      </c>
      <c r="C709" s="25" t="s">
        <v>229</v>
      </c>
      <c r="D709" s="19">
        <v>140.76</v>
      </c>
      <c r="E709" s="19">
        <v>141</v>
      </c>
      <c r="F709" s="19">
        <v>137.96</v>
      </c>
      <c r="G709" s="19">
        <v>138.03</v>
      </c>
      <c r="H709" s="19">
        <v>138.03</v>
      </c>
      <c r="I709" s="15">
        <v>4030462</v>
      </c>
      <c r="J709" s="19">
        <f t="shared" si="52"/>
        <v>-1.9394714407502061</v>
      </c>
      <c r="K709" s="19">
        <f t="shared" si="53"/>
        <v>137.64100000000002</v>
      </c>
      <c r="L709" s="19">
        <f t="shared" si="54"/>
        <v>142.41119999999995</v>
      </c>
      <c r="M709" s="19">
        <f>MAX(G526:G709)</f>
        <v>175.51</v>
      </c>
      <c r="N709" s="19">
        <f t="shared" si="55"/>
        <v>-21.354908552219243</v>
      </c>
      <c r="O709" s="9" t="str">
        <f t="shared" si="56"/>
        <v>2024-09</v>
      </c>
    </row>
    <row r="710" spans="1:15" x14ac:dyDescent="0.25">
      <c r="A710" s="9" t="s">
        <v>310</v>
      </c>
      <c r="B710" s="9" t="s">
        <v>311</v>
      </c>
      <c r="C710" s="25" t="s">
        <v>230</v>
      </c>
      <c r="D710" s="19">
        <v>138.03</v>
      </c>
      <c r="E710" s="19">
        <v>138.47999999999999</v>
      </c>
      <c r="F710" s="19">
        <v>136.37</v>
      </c>
      <c r="G710" s="19">
        <v>136.51</v>
      </c>
      <c r="H710" s="19">
        <v>136.51</v>
      </c>
      <c r="I710" s="15">
        <v>4141098</v>
      </c>
      <c r="J710" s="19">
        <f t="shared" si="52"/>
        <v>-1.1012098819097371</v>
      </c>
      <c r="K710" s="19">
        <f t="shared" si="53"/>
        <v>137.20500000000001</v>
      </c>
      <c r="L710" s="19">
        <f t="shared" si="54"/>
        <v>142.22459999999998</v>
      </c>
      <c r="M710" s="19">
        <f>MAX(G526:G710)</f>
        <v>175.51</v>
      </c>
      <c r="N710" s="19">
        <f t="shared" si="55"/>
        <v>-22.220956070879154</v>
      </c>
      <c r="O710" s="9" t="str">
        <f t="shared" si="56"/>
        <v>2024-09</v>
      </c>
    </row>
    <row r="711" spans="1:15" x14ac:dyDescent="0.25">
      <c r="A711" s="9" t="s">
        <v>310</v>
      </c>
      <c r="B711" s="9" t="s">
        <v>311</v>
      </c>
      <c r="C711" s="25" t="s">
        <v>231</v>
      </c>
      <c r="D711" s="19">
        <v>136.51</v>
      </c>
      <c r="E711" s="19">
        <v>140.9</v>
      </c>
      <c r="F711" s="19">
        <v>136.06</v>
      </c>
      <c r="G711" s="19">
        <v>140.35</v>
      </c>
      <c r="H711" s="19">
        <v>140.35</v>
      </c>
      <c r="I711" s="15">
        <v>6526356</v>
      </c>
      <c r="J711" s="19">
        <f t="shared" si="52"/>
        <v>2.8129807340121626</v>
      </c>
      <c r="K711" s="19">
        <f t="shared" si="53"/>
        <v>137.11799999999999</v>
      </c>
      <c r="L711" s="19">
        <f t="shared" si="54"/>
        <v>142.12699999999998</v>
      </c>
      <c r="M711" s="19">
        <f>MAX(G526:G711)</f>
        <v>175.51</v>
      </c>
      <c r="N711" s="19">
        <f t="shared" si="55"/>
        <v>-20.033046550054127</v>
      </c>
      <c r="O711" s="9" t="str">
        <f t="shared" si="56"/>
        <v>2024-09</v>
      </c>
    </row>
    <row r="712" spans="1:15" x14ac:dyDescent="0.25">
      <c r="A712" s="9" t="s">
        <v>310</v>
      </c>
      <c r="B712" s="9" t="s">
        <v>311</v>
      </c>
      <c r="C712" s="25" t="s">
        <v>232</v>
      </c>
      <c r="D712" s="19">
        <v>140.35</v>
      </c>
      <c r="E712" s="19">
        <v>141.26</v>
      </c>
      <c r="F712" s="19">
        <v>140.01</v>
      </c>
      <c r="G712" s="19">
        <v>140.47999999999999</v>
      </c>
      <c r="H712" s="19">
        <v>140.47999999999999</v>
      </c>
      <c r="I712" s="15">
        <v>4954224</v>
      </c>
      <c r="J712" s="19">
        <f t="shared" si="52"/>
        <v>9.2625578909864961E-2</v>
      </c>
      <c r="K712" s="19">
        <f t="shared" si="53"/>
        <v>137.10900000000001</v>
      </c>
      <c r="L712" s="19">
        <f t="shared" si="54"/>
        <v>142.06639999999999</v>
      </c>
      <c r="M712" s="19">
        <f>MAX(G526:G712)</f>
        <v>175.51</v>
      </c>
      <c r="N712" s="19">
        <f t="shared" si="55"/>
        <v>-19.95897669648453</v>
      </c>
      <c r="O712" s="9" t="str">
        <f t="shared" si="56"/>
        <v>2024-09</v>
      </c>
    </row>
    <row r="713" spans="1:15" x14ac:dyDescent="0.25">
      <c r="A713" s="9" t="s">
        <v>310</v>
      </c>
      <c r="B713" s="9" t="s">
        <v>311</v>
      </c>
      <c r="C713" s="25" t="s">
        <v>233</v>
      </c>
      <c r="D713" s="19">
        <v>140.47999999999999</v>
      </c>
      <c r="E713" s="19">
        <v>140.66999999999999</v>
      </c>
      <c r="F713" s="19">
        <v>138.27000000000001</v>
      </c>
      <c r="G713" s="19">
        <v>138.81</v>
      </c>
      <c r="H713" s="19">
        <v>138.81</v>
      </c>
      <c r="I713" s="15">
        <v>4000906</v>
      </c>
      <c r="J713" s="19">
        <f t="shared" si="52"/>
        <v>-1.1887813211845015</v>
      </c>
      <c r="K713" s="19">
        <f t="shared" si="53"/>
        <v>136.959</v>
      </c>
      <c r="L713" s="19">
        <f t="shared" si="54"/>
        <v>142.03399999999999</v>
      </c>
      <c r="M713" s="19">
        <f>MAX(G526:G713)</f>
        <v>175.51</v>
      </c>
      <c r="N713" s="19">
        <f t="shared" si="55"/>
        <v>-20.910489430801658</v>
      </c>
      <c r="O713" s="9" t="str">
        <f t="shared" si="56"/>
        <v>2024-09</v>
      </c>
    </row>
    <row r="714" spans="1:15" x14ac:dyDescent="0.25">
      <c r="A714" s="9" t="s">
        <v>310</v>
      </c>
      <c r="B714" s="9" t="s">
        <v>311</v>
      </c>
      <c r="C714" s="25" t="s">
        <v>234</v>
      </c>
      <c r="D714" s="19">
        <v>138.81</v>
      </c>
      <c r="E714" s="19">
        <v>141.6</v>
      </c>
      <c r="F714" s="19">
        <v>138.65</v>
      </c>
      <c r="G714" s="19">
        <v>140.38999999999999</v>
      </c>
      <c r="H714" s="19">
        <v>140.38999999999999</v>
      </c>
      <c r="I714" s="15">
        <v>2558094</v>
      </c>
      <c r="J714" s="19">
        <f t="shared" si="52"/>
        <v>1.138246524025635</v>
      </c>
      <c r="K714" s="19">
        <f t="shared" si="53"/>
        <v>137.15749999999997</v>
      </c>
      <c r="L714" s="19">
        <f t="shared" si="54"/>
        <v>141.9862</v>
      </c>
      <c r="M714" s="19">
        <f>MAX(G526:G714)</f>
        <v>175.51</v>
      </c>
      <c r="N714" s="19">
        <f t="shared" si="55"/>
        <v>-20.010255825878868</v>
      </c>
      <c r="O714" s="9" t="str">
        <f t="shared" si="56"/>
        <v>2024-09</v>
      </c>
    </row>
    <row r="715" spans="1:15" x14ac:dyDescent="0.25">
      <c r="A715" s="9" t="s">
        <v>310</v>
      </c>
      <c r="B715" s="9" t="s">
        <v>311</v>
      </c>
      <c r="C715" s="25" t="s">
        <v>235</v>
      </c>
      <c r="D715" s="19">
        <v>140.38999999999999</v>
      </c>
      <c r="E715" s="19">
        <v>141.59</v>
      </c>
      <c r="F715" s="19">
        <v>139.83000000000001</v>
      </c>
      <c r="G715" s="19">
        <v>141.46</v>
      </c>
      <c r="H715" s="19">
        <v>141.46</v>
      </c>
      <c r="I715" s="15">
        <v>5947908</v>
      </c>
      <c r="J715" s="19">
        <f t="shared" si="52"/>
        <v>0.76216254718998633</v>
      </c>
      <c r="K715" s="19">
        <f t="shared" si="53"/>
        <v>137.55850000000001</v>
      </c>
      <c r="L715" s="19">
        <f t="shared" si="54"/>
        <v>141.89959999999999</v>
      </c>
      <c r="M715" s="19">
        <f>MAX(G526:G715)</f>
        <v>175.51</v>
      </c>
      <c r="N715" s="19">
        <f t="shared" si="55"/>
        <v>-19.400603954190636</v>
      </c>
      <c r="O715" s="9" t="str">
        <f t="shared" si="56"/>
        <v>2024-09</v>
      </c>
    </row>
    <row r="716" spans="1:15" x14ac:dyDescent="0.25">
      <c r="A716" s="9" t="s">
        <v>310</v>
      </c>
      <c r="B716" s="9" t="s">
        <v>311</v>
      </c>
      <c r="C716" s="25" t="s">
        <v>236</v>
      </c>
      <c r="D716" s="19">
        <v>141.46</v>
      </c>
      <c r="E716" s="19">
        <v>146.26</v>
      </c>
      <c r="F716" s="19">
        <v>141.37</v>
      </c>
      <c r="G716" s="19">
        <v>146.03</v>
      </c>
      <c r="H716" s="19">
        <v>146.03</v>
      </c>
      <c r="I716" s="15">
        <v>6095384</v>
      </c>
      <c r="J716" s="19">
        <f t="shared" si="52"/>
        <v>3.2305952212639566</v>
      </c>
      <c r="K716" s="19">
        <f t="shared" si="53"/>
        <v>138.21</v>
      </c>
      <c r="L716" s="19">
        <f t="shared" si="54"/>
        <v>141.90219999999999</v>
      </c>
      <c r="M716" s="19">
        <f>MAX(G526:G716)</f>
        <v>175.51</v>
      </c>
      <c r="N716" s="19">
        <f t="shared" si="55"/>
        <v>-16.796763717167106</v>
      </c>
      <c r="O716" s="9" t="str">
        <f t="shared" si="56"/>
        <v>2024-09</v>
      </c>
    </row>
    <row r="717" spans="1:15" x14ac:dyDescent="0.25">
      <c r="A717" s="9" t="s">
        <v>310</v>
      </c>
      <c r="B717" s="9" t="s">
        <v>311</v>
      </c>
      <c r="C717" s="25" t="s">
        <v>237</v>
      </c>
      <c r="D717" s="19">
        <v>146.03</v>
      </c>
      <c r="E717" s="19">
        <v>147.69</v>
      </c>
      <c r="F717" s="19">
        <v>145.44</v>
      </c>
      <c r="G717" s="19">
        <v>147.25</v>
      </c>
      <c r="H717" s="19">
        <v>147.25</v>
      </c>
      <c r="I717" s="15">
        <v>4622551</v>
      </c>
      <c r="J717" s="19">
        <f t="shared" si="52"/>
        <v>0.8354447716222686</v>
      </c>
      <c r="K717" s="19">
        <f t="shared" si="53"/>
        <v>138.79299999999998</v>
      </c>
      <c r="L717" s="19">
        <f t="shared" si="54"/>
        <v>141.90519999999998</v>
      </c>
      <c r="M717" s="19">
        <f>MAX(G526:G717)</f>
        <v>175.51</v>
      </c>
      <c r="N717" s="19">
        <f t="shared" si="55"/>
        <v>-16.101646629821659</v>
      </c>
      <c r="O717" s="9" t="str">
        <f t="shared" si="56"/>
        <v>2024-09</v>
      </c>
    </row>
    <row r="718" spans="1:15" x14ac:dyDescent="0.25">
      <c r="A718" s="9" t="s">
        <v>310</v>
      </c>
      <c r="B718" s="9" t="s">
        <v>311</v>
      </c>
      <c r="C718" s="25" t="s">
        <v>238</v>
      </c>
      <c r="D718" s="19">
        <v>147.25</v>
      </c>
      <c r="E718" s="19">
        <v>149.44999999999999</v>
      </c>
      <c r="F718" s="19">
        <v>146.65</v>
      </c>
      <c r="G718" s="19">
        <v>149.34</v>
      </c>
      <c r="H718" s="19">
        <v>149.34</v>
      </c>
      <c r="I718" s="15">
        <v>4671204</v>
      </c>
      <c r="J718" s="19">
        <f t="shared" si="52"/>
        <v>1.4193548387096797</v>
      </c>
      <c r="K718" s="19">
        <f t="shared" si="53"/>
        <v>139.48550000000003</v>
      </c>
      <c r="L718" s="19">
        <f t="shared" si="54"/>
        <v>141.95099999999999</v>
      </c>
      <c r="M718" s="19">
        <f>MAX(G526:G718)</f>
        <v>175.51</v>
      </c>
      <c r="N718" s="19">
        <f t="shared" si="55"/>
        <v>-14.910831291664287</v>
      </c>
      <c r="O718" s="9" t="str">
        <f t="shared" si="56"/>
        <v>2024-09</v>
      </c>
    </row>
    <row r="719" spans="1:15" x14ac:dyDescent="0.25">
      <c r="A719" s="9" t="s">
        <v>310</v>
      </c>
      <c r="B719" s="9" t="s">
        <v>311</v>
      </c>
      <c r="C719" s="25" t="s">
        <v>239</v>
      </c>
      <c r="D719" s="19">
        <v>149.34</v>
      </c>
      <c r="E719" s="19">
        <v>150.03</v>
      </c>
      <c r="F719" s="19">
        <v>145.27000000000001</v>
      </c>
      <c r="G719" s="19">
        <v>145.82</v>
      </c>
      <c r="H719" s="19">
        <v>145.82</v>
      </c>
      <c r="I719" s="15">
        <v>3342405</v>
      </c>
      <c r="J719" s="19">
        <f t="shared" ref="J719:J787" si="57">IFERROR((G719-G718)/G718*100,"")</f>
        <v>-2.3570376322485669</v>
      </c>
      <c r="K719" s="19">
        <f t="shared" si="53"/>
        <v>140.01900000000003</v>
      </c>
      <c r="L719" s="19">
        <f t="shared" si="54"/>
        <v>142.00319999999999</v>
      </c>
      <c r="M719" s="19">
        <f>MAX(G526:G719)</f>
        <v>175.51</v>
      </c>
      <c r="N719" s="19">
        <f t="shared" si="55"/>
        <v>-16.916415019087232</v>
      </c>
      <c r="O719" s="9" t="str">
        <f t="shared" si="56"/>
        <v>2024-09</v>
      </c>
    </row>
    <row r="720" spans="1:15" x14ac:dyDescent="0.25">
      <c r="A720" s="9" t="s">
        <v>310</v>
      </c>
      <c r="B720" s="9" t="s">
        <v>311</v>
      </c>
      <c r="C720" s="25" t="s">
        <v>240</v>
      </c>
      <c r="D720" s="19">
        <v>145.82</v>
      </c>
      <c r="E720" s="19">
        <v>146.31</v>
      </c>
      <c r="F720" s="19">
        <v>144.27000000000001</v>
      </c>
      <c r="G720" s="19">
        <v>145.38</v>
      </c>
      <c r="H720" s="19">
        <v>145.38</v>
      </c>
      <c r="I720" s="15">
        <v>3341921</v>
      </c>
      <c r="J720" s="19">
        <f t="shared" si="57"/>
        <v>-0.30174187354272236</v>
      </c>
      <c r="K720" s="19">
        <f t="shared" si="53"/>
        <v>140.47350000000003</v>
      </c>
      <c r="L720" s="19">
        <f t="shared" si="54"/>
        <v>142.04399999999998</v>
      </c>
      <c r="M720" s="19">
        <f>MAX(G526:G720)</f>
        <v>175.51</v>
      </c>
      <c r="N720" s="19">
        <f t="shared" si="55"/>
        <v>-17.167112985015098</v>
      </c>
      <c r="O720" s="9" t="str">
        <f t="shared" si="56"/>
        <v>2024-09</v>
      </c>
    </row>
    <row r="721" spans="1:15" x14ac:dyDescent="0.25">
      <c r="A721" s="9" t="s">
        <v>310</v>
      </c>
      <c r="B721" s="9" t="s">
        <v>311</v>
      </c>
      <c r="C721" s="25" t="s">
        <v>241</v>
      </c>
      <c r="D721" s="19">
        <v>145.38</v>
      </c>
      <c r="E721" s="19">
        <v>148.11000000000001</v>
      </c>
      <c r="F721" s="19">
        <v>145.1</v>
      </c>
      <c r="G721" s="19">
        <v>148</v>
      </c>
      <c r="H721" s="19">
        <v>148</v>
      </c>
      <c r="I721" s="15">
        <v>2966428</v>
      </c>
      <c r="J721" s="19">
        <f t="shared" si="57"/>
        <v>1.8021736139771667</v>
      </c>
      <c r="K721" s="19">
        <f t="shared" si="53"/>
        <v>141.23600000000005</v>
      </c>
      <c r="L721" s="19">
        <f t="shared" si="54"/>
        <v>142.16960000000003</v>
      </c>
      <c r="M721" s="19">
        <f>MAX(G526:G721)</f>
        <v>175.51</v>
      </c>
      <c r="N721" s="19">
        <f t="shared" si="55"/>
        <v>-15.674320551535519</v>
      </c>
      <c r="O721" s="9" t="str">
        <f t="shared" si="56"/>
        <v>2024-09</v>
      </c>
    </row>
    <row r="722" spans="1:15" x14ac:dyDescent="0.25">
      <c r="A722" s="9" t="s">
        <v>310</v>
      </c>
      <c r="B722" s="9" t="s">
        <v>311</v>
      </c>
      <c r="C722" s="25" t="s">
        <v>242</v>
      </c>
      <c r="D722" s="19">
        <v>148</v>
      </c>
      <c r="E722" s="19">
        <v>153.33000000000001</v>
      </c>
      <c r="F722" s="19">
        <v>147.46</v>
      </c>
      <c r="G722" s="19">
        <v>153.21</v>
      </c>
      <c r="H722" s="19">
        <v>153.21</v>
      </c>
      <c r="I722" s="15">
        <v>3838742</v>
      </c>
      <c r="J722" s="19">
        <f t="shared" si="57"/>
        <v>3.5202702702702759</v>
      </c>
      <c r="K722" s="19">
        <f t="shared" si="53"/>
        <v>142.12350000000004</v>
      </c>
      <c r="L722" s="19">
        <f t="shared" si="54"/>
        <v>142.31260000000003</v>
      </c>
      <c r="M722" s="19">
        <f>MAX(G526:G722)</f>
        <v>175.51</v>
      </c>
      <c r="N722" s="19">
        <f t="shared" si="55"/>
        <v>-12.705828727707813</v>
      </c>
      <c r="O722" s="9" t="str">
        <f t="shared" si="56"/>
        <v>2024-10</v>
      </c>
    </row>
    <row r="723" spans="1:15" x14ac:dyDescent="0.25">
      <c r="A723" s="9" t="s">
        <v>310</v>
      </c>
      <c r="B723" s="9" t="s">
        <v>311</v>
      </c>
      <c r="C723" s="25" t="s">
        <v>243</v>
      </c>
      <c r="D723" s="19">
        <v>153.21</v>
      </c>
      <c r="E723" s="19">
        <v>154.22999999999999</v>
      </c>
      <c r="F723" s="19">
        <v>152.9</v>
      </c>
      <c r="G723" s="19">
        <v>153.09</v>
      </c>
      <c r="H723" s="19">
        <v>153.09</v>
      </c>
      <c r="I723" s="15">
        <v>4139894</v>
      </c>
      <c r="J723" s="19">
        <f t="shared" si="57"/>
        <v>-7.8323869199141402E-2</v>
      </c>
      <c r="K723" s="19">
        <f t="shared" si="53"/>
        <v>143.01500000000001</v>
      </c>
      <c r="L723" s="19">
        <f t="shared" si="54"/>
        <v>142.4888</v>
      </c>
      <c r="M723" s="19">
        <f>MAX(G526:G723)</f>
        <v>175.51</v>
      </c>
      <c r="N723" s="19">
        <f t="shared" si="55"/>
        <v>-12.774200900233598</v>
      </c>
      <c r="O723" s="9" t="str">
        <f t="shared" si="56"/>
        <v>2024-10</v>
      </c>
    </row>
    <row r="724" spans="1:15" x14ac:dyDescent="0.25">
      <c r="A724" s="9" t="s">
        <v>310</v>
      </c>
      <c r="B724" s="9" t="s">
        <v>311</v>
      </c>
      <c r="C724" s="25" t="s">
        <v>244</v>
      </c>
      <c r="D724" s="19">
        <v>153.09</v>
      </c>
      <c r="E724" s="19">
        <v>156.72</v>
      </c>
      <c r="F724" s="19">
        <v>153.06</v>
      </c>
      <c r="G724" s="19">
        <v>155.78</v>
      </c>
      <c r="H724" s="19">
        <v>155.78</v>
      </c>
      <c r="I724" s="15">
        <v>3502357</v>
      </c>
      <c r="J724" s="19">
        <f t="shared" si="57"/>
        <v>1.757136325037558</v>
      </c>
      <c r="K724" s="19">
        <f t="shared" si="53"/>
        <v>143.91050000000001</v>
      </c>
      <c r="L724" s="19">
        <f t="shared" si="54"/>
        <v>142.71619999999999</v>
      </c>
      <c r="M724" s="19">
        <f>MAX(G526:G724)</f>
        <v>175.51</v>
      </c>
      <c r="N724" s="19">
        <f t="shared" si="55"/>
        <v>-11.24152469944732</v>
      </c>
      <c r="O724" s="9" t="str">
        <f t="shared" si="56"/>
        <v>2024-10</v>
      </c>
    </row>
    <row r="725" spans="1:15" x14ac:dyDescent="0.25">
      <c r="A725" s="9" t="s">
        <v>310</v>
      </c>
      <c r="B725" s="9" t="s">
        <v>311</v>
      </c>
      <c r="C725" s="25" t="s">
        <v>245</v>
      </c>
      <c r="D725" s="19">
        <v>155.78</v>
      </c>
      <c r="E725" s="19">
        <v>156.96</v>
      </c>
      <c r="F725" s="19">
        <v>153.78</v>
      </c>
      <c r="G725" s="19">
        <v>154.09</v>
      </c>
      <c r="H725" s="19">
        <v>154.09</v>
      </c>
      <c r="I725" s="15">
        <v>2931101</v>
      </c>
      <c r="J725" s="19">
        <f t="shared" si="57"/>
        <v>-1.084863268712285</v>
      </c>
      <c r="K725" s="19">
        <f t="shared" si="53"/>
        <v>144.73600000000002</v>
      </c>
      <c r="L725" s="19">
        <f t="shared" si="54"/>
        <v>142.87719999999999</v>
      </c>
      <c r="M725" s="19">
        <f>MAX(G526:G725)</f>
        <v>175.51</v>
      </c>
      <c r="N725" s="19">
        <f t="shared" si="55"/>
        <v>-12.204432795852082</v>
      </c>
      <c r="O725" s="9" t="str">
        <f t="shared" si="56"/>
        <v>2024-10</v>
      </c>
    </row>
    <row r="726" spans="1:15" x14ac:dyDescent="0.25">
      <c r="A726" s="9" t="s">
        <v>310</v>
      </c>
      <c r="B726" s="9" t="s">
        <v>311</v>
      </c>
      <c r="C726" s="25" t="s">
        <v>246</v>
      </c>
      <c r="D726" s="19">
        <v>154.09</v>
      </c>
      <c r="E726" s="19">
        <v>154.13</v>
      </c>
      <c r="F726" s="19">
        <v>150.19999999999999</v>
      </c>
      <c r="G726" s="19">
        <v>150.63</v>
      </c>
      <c r="H726" s="19">
        <v>150.63</v>
      </c>
      <c r="I726" s="15">
        <v>4184013</v>
      </c>
      <c r="J726" s="19">
        <f t="shared" si="57"/>
        <v>-2.2454409760529614</v>
      </c>
      <c r="K726" s="19">
        <f t="shared" si="53"/>
        <v>145.25100000000003</v>
      </c>
      <c r="L726" s="19">
        <f t="shared" si="54"/>
        <v>143.0496</v>
      </c>
      <c r="M726" s="19">
        <f>MAX(G526:G726)</f>
        <v>175.51</v>
      </c>
      <c r="N726" s="19">
        <f t="shared" si="55"/>
        <v>-14.175830437012134</v>
      </c>
      <c r="O726" s="9" t="str">
        <f t="shared" si="56"/>
        <v>2024-10</v>
      </c>
    </row>
    <row r="727" spans="1:15" x14ac:dyDescent="0.25">
      <c r="A727" s="9" t="s">
        <v>310</v>
      </c>
      <c r="B727" s="9" t="s">
        <v>311</v>
      </c>
      <c r="C727" s="25" t="s">
        <v>247</v>
      </c>
      <c r="D727" s="19">
        <v>150.63</v>
      </c>
      <c r="E727" s="19">
        <v>152.55000000000001</v>
      </c>
      <c r="F727" s="19">
        <v>150.06</v>
      </c>
      <c r="G727" s="19">
        <v>152.11000000000001</v>
      </c>
      <c r="H727" s="19">
        <v>152.11000000000001</v>
      </c>
      <c r="I727" s="15">
        <v>5462176</v>
      </c>
      <c r="J727" s="19">
        <f t="shared" si="57"/>
        <v>0.98253999867225528</v>
      </c>
      <c r="K727" s="19">
        <f t="shared" si="53"/>
        <v>145.87600000000003</v>
      </c>
      <c r="L727" s="19">
        <f t="shared" si="54"/>
        <v>143.25819999999999</v>
      </c>
      <c r="M727" s="19">
        <f>MAX(G526:G727)</f>
        <v>175.51</v>
      </c>
      <c r="N727" s="19">
        <f t="shared" si="55"/>
        <v>-13.332573642527478</v>
      </c>
      <c r="O727" s="9" t="str">
        <f t="shared" si="56"/>
        <v>2024-10</v>
      </c>
    </row>
    <row r="728" spans="1:15" x14ac:dyDescent="0.25">
      <c r="A728" s="9" t="s">
        <v>310</v>
      </c>
      <c r="B728" s="9" t="s">
        <v>311</v>
      </c>
      <c r="C728" s="25" t="s">
        <v>248</v>
      </c>
      <c r="D728" s="19">
        <v>152.11000000000001</v>
      </c>
      <c r="E728" s="19">
        <v>157.76</v>
      </c>
      <c r="F728" s="19">
        <v>151.32</v>
      </c>
      <c r="G728" s="19">
        <v>157.53</v>
      </c>
      <c r="H728" s="19">
        <v>157.53</v>
      </c>
      <c r="I728" s="15">
        <v>4679710</v>
      </c>
      <c r="J728" s="19">
        <f t="shared" si="57"/>
        <v>3.5632108342646687</v>
      </c>
      <c r="K728" s="19">
        <f t="shared" si="53"/>
        <v>146.71450000000004</v>
      </c>
      <c r="L728" s="19">
        <f t="shared" si="54"/>
        <v>143.55099999999999</v>
      </c>
      <c r="M728" s="19">
        <f>MAX(G526:G728)</f>
        <v>175.51</v>
      </c>
      <c r="N728" s="19">
        <f t="shared" si="55"/>
        <v>-10.244430516779666</v>
      </c>
      <c r="O728" s="9" t="str">
        <f t="shared" si="56"/>
        <v>2024-10</v>
      </c>
    </row>
    <row r="729" spans="1:15" x14ac:dyDescent="0.25">
      <c r="A729" s="9" t="s">
        <v>310</v>
      </c>
      <c r="B729" s="9" t="s">
        <v>311</v>
      </c>
      <c r="C729" s="25" t="s">
        <v>249</v>
      </c>
      <c r="D729" s="19">
        <v>157.53</v>
      </c>
      <c r="E729" s="19">
        <v>157.53</v>
      </c>
      <c r="F729" s="19">
        <v>151.11000000000001</v>
      </c>
      <c r="G729" s="19">
        <v>151.94999999999999</v>
      </c>
      <c r="H729" s="19">
        <v>151.94999999999999</v>
      </c>
      <c r="I729" s="15">
        <v>5224043</v>
      </c>
      <c r="J729" s="19">
        <f t="shared" si="57"/>
        <v>-3.5421824414397332</v>
      </c>
      <c r="K729" s="19">
        <f t="shared" si="53"/>
        <v>147.41050000000001</v>
      </c>
      <c r="L729" s="19">
        <f t="shared" si="54"/>
        <v>143.64359999999999</v>
      </c>
      <c r="M729" s="19">
        <f>MAX(G526:G729)</f>
        <v>175.51</v>
      </c>
      <c r="N729" s="19">
        <f t="shared" si="55"/>
        <v>-13.423736539228537</v>
      </c>
      <c r="O729" s="9" t="str">
        <f t="shared" si="56"/>
        <v>2024-10</v>
      </c>
    </row>
    <row r="730" spans="1:15" x14ac:dyDescent="0.25">
      <c r="A730" s="9" t="s">
        <v>310</v>
      </c>
      <c r="B730" s="9" t="s">
        <v>311</v>
      </c>
      <c r="C730" s="25" t="s">
        <v>250</v>
      </c>
      <c r="D730" s="19">
        <v>151.94999999999999</v>
      </c>
      <c r="E730" s="19">
        <v>152.47</v>
      </c>
      <c r="F730" s="19">
        <v>150.52000000000001</v>
      </c>
      <c r="G730" s="19">
        <v>151.12</v>
      </c>
      <c r="H730" s="19">
        <v>151.12</v>
      </c>
      <c r="I730" s="15">
        <v>4191529</v>
      </c>
      <c r="J730" s="19">
        <f t="shared" si="57"/>
        <v>-0.54623231326093069</v>
      </c>
      <c r="K730" s="19">
        <f t="shared" si="53"/>
        <v>148.14100000000002</v>
      </c>
      <c r="L730" s="19">
        <f t="shared" si="54"/>
        <v>143.59099999999998</v>
      </c>
      <c r="M730" s="19">
        <f>MAX(G526:G730)</f>
        <v>175.51</v>
      </c>
      <c r="N730" s="19">
        <f t="shared" si="55"/>
        <v>-13.896644065865186</v>
      </c>
      <c r="O730" s="9" t="str">
        <f t="shared" si="56"/>
        <v>2024-10</v>
      </c>
    </row>
    <row r="731" spans="1:15" x14ac:dyDescent="0.25">
      <c r="A731" s="9" t="s">
        <v>310</v>
      </c>
      <c r="B731" s="9" t="s">
        <v>311</v>
      </c>
      <c r="C731" s="25" t="s">
        <v>251</v>
      </c>
      <c r="D731" s="19">
        <v>151.12</v>
      </c>
      <c r="E731" s="19">
        <v>157.19</v>
      </c>
      <c r="F731" s="19">
        <v>151.09</v>
      </c>
      <c r="G731" s="19">
        <v>155.44999999999999</v>
      </c>
      <c r="H731" s="19">
        <v>155.44999999999999</v>
      </c>
      <c r="I731" s="15">
        <v>4866936</v>
      </c>
      <c r="J731" s="19">
        <f t="shared" si="57"/>
        <v>2.865272631021694</v>
      </c>
      <c r="K731" s="19">
        <f t="shared" si="53"/>
        <v>148.89600000000002</v>
      </c>
      <c r="L731" s="19">
        <f t="shared" si="54"/>
        <v>143.66219999999998</v>
      </c>
      <c r="M731" s="19">
        <f>MAX(G526:G731)</f>
        <v>175.51</v>
      </c>
      <c r="N731" s="19">
        <f t="shared" si="55"/>
        <v>-11.429548173893227</v>
      </c>
      <c r="O731" s="9" t="str">
        <f t="shared" si="56"/>
        <v>2024-10</v>
      </c>
    </row>
    <row r="732" spans="1:15" x14ac:dyDescent="0.25">
      <c r="A732" s="9" t="s">
        <v>310</v>
      </c>
      <c r="B732" s="9" t="s">
        <v>311</v>
      </c>
      <c r="C732" s="25" t="s">
        <v>252</v>
      </c>
      <c r="D732" s="19">
        <v>155.44999999999999</v>
      </c>
      <c r="E732" s="19">
        <v>156.94</v>
      </c>
      <c r="F732" s="19">
        <v>154.13999999999999</v>
      </c>
      <c r="G732" s="19">
        <v>154.61000000000001</v>
      </c>
      <c r="H732" s="19">
        <v>154.61000000000001</v>
      </c>
      <c r="I732" s="15">
        <v>4991144</v>
      </c>
      <c r="J732" s="19">
        <f t="shared" si="57"/>
        <v>-0.54036667738821165</v>
      </c>
      <c r="K732" s="19">
        <f t="shared" si="53"/>
        <v>149.60249999999999</v>
      </c>
      <c r="L732" s="19">
        <f t="shared" si="54"/>
        <v>143.755</v>
      </c>
      <c r="M732" s="19">
        <f>MAX(G526:G732)</f>
        <v>175.51</v>
      </c>
      <c r="N732" s="19">
        <f t="shared" si="55"/>
        <v>-11.908153381573687</v>
      </c>
      <c r="O732" s="9" t="str">
        <f t="shared" si="56"/>
        <v>2024-10</v>
      </c>
    </row>
    <row r="733" spans="1:15" x14ac:dyDescent="0.25">
      <c r="A733" s="9" t="s">
        <v>310</v>
      </c>
      <c r="B733" s="9" t="s">
        <v>311</v>
      </c>
      <c r="C733" s="25" t="s">
        <v>253</v>
      </c>
      <c r="D733" s="19">
        <v>154.61000000000001</v>
      </c>
      <c r="E733" s="19">
        <v>155.28</v>
      </c>
      <c r="F733" s="19">
        <v>151.54</v>
      </c>
      <c r="G733" s="19">
        <v>151.88999999999999</v>
      </c>
      <c r="H733" s="19">
        <v>151.88999999999999</v>
      </c>
      <c r="I733" s="15">
        <v>2189732</v>
      </c>
      <c r="J733" s="19">
        <f t="shared" si="57"/>
        <v>-1.7592652480434818</v>
      </c>
      <c r="K733" s="19">
        <f t="shared" si="53"/>
        <v>150.25649999999999</v>
      </c>
      <c r="L733" s="19">
        <f t="shared" si="54"/>
        <v>143.82339999999999</v>
      </c>
      <c r="M733" s="19">
        <f>MAX(G526:G733)</f>
        <v>175.51</v>
      </c>
      <c r="N733" s="19">
        <f t="shared" si="55"/>
        <v>-13.457922625491427</v>
      </c>
      <c r="O733" s="9" t="str">
        <f t="shared" si="56"/>
        <v>2024-10</v>
      </c>
    </row>
    <row r="734" spans="1:15" x14ac:dyDescent="0.25">
      <c r="A734" s="9" t="s">
        <v>310</v>
      </c>
      <c r="B734" s="9" t="s">
        <v>311</v>
      </c>
      <c r="C734" s="25" t="s">
        <v>254</v>
      </c>
      <c r="D734" s="19">
        <v>151.88999999999999</v>
      </c>
      <c r="E734" s="19">
        <v>152.66999999999999</v>
      </c>
      <c r="F734" s="19">
        <v>151.22999999999999</v>
      </c>
      <c r="G734" s="19">
        <v>152.4</v>
      </c>
      <c r="H734" s="19">
        <v>152.4</v>
      </c>
      <c r="I734" s="15">
        <v>5562808</v>
      </c>
      <c r="J734" s="19">
        <f t="shared" si="57"/>
        <v>0.33576930673515004</v>
      </c>
      <c r="K734" s="19">
        <f t="shared" si="53"/>
        <v>150.857</v>
      </c>
      <c r="L734" s="19">
        <f t="shared" si="54"/>
        <v>143.90579999999997</v>
      </c>
      <c r="M734" s="19">
        <f>MAX(G526:G734)</f>
        <v>175.51</v>
      </c>
      <c r="N734" s="19">
        <f t="shared" si="55"/>
        <v>-13.167340892256844</v>
      </c>
      <c r="O734" s="9" t="str">
        <f t="shared" si="56"/>
        <v>2024-10</v>
      </c>
    </row>
    <row r="735" spans="1:15" x14ac:dyDescent="0.25">
      <c r="A735" s="9" t="s">
        <v>310</v>
      </c>
      <c r="B735" s="9" t="s">
        <v>311</v>
      </c>
      <c r="C735" s="25" t="s">
        <v>255</v>
      </c>
      <c r="D735" s="19">
        <v>152.4</v>
      </c>
      <c r="E735" s="19">
        <v>155.05000000000001</v>
      </c>
      <c r="F735" s="19">
        <v>151.44999999999999</v>
      </c>
      <c r="G735" s="19">
        <v>154.26</v>
      </c>
      <c r="H735" s="19">
        <v>154.26</v>
      </c>
      <c r="I735" s="15">
        <v>4384259</v>
      </c>
      <c r="J735" s="19">
        <f t="shared" si="57"/>
        <v>1.2204724409448722</v>
      </c>
      <c r="K735" s="19">
        <f t="shared" si="53"/>
        <v>151.49699999999999</v>
      </c>
      <c r="L735" s="19">
        <f t="shared" si="54"/>
        <v>144.00939999999997</v>
      </c>
      <c r="M735" s="19">
        <f>MAX(G526:G735)</f>
        <v>175.51</v>
      </c>
      <c r="N735" s="19">
        <f t="shared" si="55"/>
        <v>-12.107572218107231</v>
      </c>
      <c r="O735" s="9" t="str">
        <f t="shared" si="56"/>
        <v>2024-10</v>
      </c>
    </row>
    <row r="736" spans="1:15" x14ac:dyDescent="0.25">
      <c r="A736" s="9" t="s">
        <v>310</v>
      </c>
      <c r="B736" s="9" t="s">
        <v>311</v>
      </c>
      <c r="C736" s="25" t="s">
        <v>256</v>
      </c>
      <c r="D736" s="19">
        <v>154.26</v>
      </c>
      <c r="E736" s="19">
        <v>157.41999999999999</v>
      </c>
      <c r="F736" s="19">
        <v>153.46</v>
      </c>
      <c r="G736" s="19">
        <v>157.34</v>
      </c>
      <c r="H736" s="19">
        <v>157.34</v>
      </c>
      <c r="I736" s="15">
        <v>3211345</v>
      </c>
      <c r="J736" s="19">
        <f t="shared" si="57"/>
        <v>1.9966290678076057</v>
      </c>
      <c r="K736" s="19">
        <f t="shared" si="53"/>
        <v>152.0625</v>
      </c>
      <c r="L736" s="19">
        <f t="shared" si="54"/>
        <v>144.26419999999996</v>
      </c>
      <c r="M736" s="19">
        <f>MAX(G526:G736)</f>
        <v>175.51</v>
      </c>
      <c r="N736" s="19">
        <f t="shared" si="55"/>
        <v>-10.352686456612153</v>
      </c>
      <c r="O736" s="9" t="str">
        <f t="shared" si="56"/>
        <v>2024-10</v>
      </c>
    </row>
    <row r="737" spans="1:15" x14ac:dyDescent="0.25">
      <c r="A737" s="9" t="s">
        <v>310</v>
      </c>
      <c r="B737" s="9" t="s">
        <v>311</v>
      </c>
      <c r="C737" s="25" t="s">
        <v>257</v>
      </c>
      <c r="D737" s="19">
        <v>157.34</v>
      </c>
      <c r="E737" s="19">
        <v>157.38999999999999</v>
      </c>
      <c r="F737" s="19">
        <v>155.31</v>
      </c>
      <c r="G737" s="19">
        <v>155.47</v>
      </c>
      <c r="H737" s="19">
        <v>155.47</v>
      </c>
      <c r="I737" s="15">
        <v>3951599</v>
      </c>
      <c r="J737" s="19">
        <f t="shared" si="57"/>
        <v>-1.1885089614846858</v>
      </c>
      <c r="K737" s="19">
        <f t="shared" ref="K737:K800" si="58">AVERAGE(G718:G737)</f>
        <v>152.4735</v>
      </c>
      <c r="L737" s="19">
        <f t="shared" si="54"/>
        <v>144.548</v>
      </c>
      <c r="M737" s="19">
        <f>MAX(G526:G737)</f>
        <v>175.51</v>
      </c>
      <c r="N737" s="19">
        <f t="shared" si="55"/>
        <v>-11.418152811805591</v>
      </c>
      <c r="O737" s="9" t="str">
        <f t="shared" si="56"/>
        <v>2024-10</v>
      </c>
    </row>
    <row r="738" spans="1:15" x14ac:dyDescent="0.25">
      <c r="A738" s="9" t="s">
        <v>310</v>
      </c>
      <c r="B738" s="9" t="s">
        <v>311</v>
      </c>
      <c r="C738" s="25" t="s">
        <v>258</v>
      </c>
      <c r="D738" s="19">
        <v>155.47</v>
      </c>
      <c r="E738" s="19">
        <v>168.75</v>
      </c>
      <c r="F738" s="19">
        <v>154.41999999999999</v>
      </c>
      <c r="G738" s="19">
        <v>168.69</v>
      </c>
      <c r="H738" s="19">
        <v>168.69</v>
      </c>
      <c r="I738" s="15">
        <v>9463856</v>
      </c>
      <c r="J738" s="19">
        <f t="shared" si="57"/>
        <v>8.5032482150897266</v>
      </c>
      <c r="K738" s="19">
        <f t="shared" si="58"/>
        <v>153.44099999999997</v>
      </c>
      <c r="L738" s="19">
        <f t="shared" si="54"/>
        <v>144.96259999999995</v>
      </c>
      <c r="M738" s="19">
        <f>MAX(G526:G738)</f>
        <v>175.51</v>
      </c>
      <c r="N738" s="19">
        <f t="shared" si="55"/>
        <v>-3.8858184718819402</v>
      </c>
      <c r="O738" s="9" t="str">
        <f t="shared" si="56"/>
        <v>2024-10</v>
      </c>
    </row>
    <row r="739" spans="1:15" x14ac:dyDescent="0.25">
      <c r="A739" s="9" t="s">
        <v>310</v>
      </c>
      <c r="B739" s="9" t="s">
        <v>311</v>
      </c>
      <c r="C739" s="25" t="s">
        <v>259</v>
      </c>
      <c r="D739" s="19">
        <v>168.69</v>
      </c>
      <c r="E739" s="19">
        <v>169.01</v>
      </c>
      <c r="F739" s="19">
        <v>166.35</v>
      </c>
      <c r="G739" s="19">
        <v>167.4</v>
      </c>
      <c r="H739" s="19">
        <v>167.4</v>
      </c>
      <c r="I739" s="15">
        <v>2635719</v>
      </c>
      <c r="J739" s="19">
        <f t="shared" si="57"/>
        <v>-0.7647163435888269</v>
      </c>
      <c r="K739" s="19">
        <f t="shared" si="58"/>
        <v>154.52000000000001</v>
      </c>
      <c r="L739" s="19">
        <f t="shared" si="54"/>
        <v>145.39319999999998</v>
      </c>
      <c r="M739" s="19">
        <f>MAX(G526:G739)</f>
        <v>175.51</v>
      </c>
      <c r="N739" s="19">
        <f t="shared" si="55"/>
        <v>-4.6208193265340922</v>
      </c>
      <c r="O739" s="9" t="str">
        <f t="shared" si="56"/>
        <v>2024-10</v>
      </c>
    </row>
    <row r="740" spans="1:15" x14ac:dyDescent="0.25">
      <c r="A740" s="9" t="s">
        <v>310</v>
      </c>
      <c r="B740" s="9" t="s">
        <v>311</v>
      </c>
      <c r="C740" s="25" t="s">
        <v>260</v>
      </c>
      <c r="D740" s="19">
        <v>167.4</v>
      </c>
      <c r="E740" s="19">
        <v>168.63</v>
      </c>
      <c r="F740" s="19">
        <v>167.02</v>
      </c>
      <c r="G740" s="19">
        <v>167.94</v>
      </c>
      <c r="H740" s="19">
        <v>167.94</v>
      </c>
      <c r="I740" s="15">
        <v>5936297</v>
      </c>
      <c r="J740" s="19">
        <f t="shared" si="57"/>
        <v>0.32258064516128554</v>
      </c>
      <c r="K740" s="19">
        <f t="shared" si="58"/>
        <v>155.648</v>
      </c>
      <c r="L740" s="19">
        <f t="shared" si="54"/>
        <v>145.84739999999999</v>
      </c>
      <c r="M740" s="19">
        <f>MAX(G526:G740)</f>
        <v>175.51</v>
      </c>
      <c r="N740" s="19">
        <f t="shared" si="55"/>
        <v>-4.3131445501680776</v>
      </c>
      <c r="O740" s="9" t="str">
        <f t="shared" si="56"/>
        <v>2024-10</v>
      </c>
    </row>
    <row r="741" spans="1:15" x14ac:dyDescent="0.25">
      <c r="A741" s="9" t="s">
        <v>310</v>
      </c>
      <c r="B741" s="9" t="s">
        <v>311</v>
      </c>
      <c r="C741" s="25" t="s">
        <v>261</v>
      </c>
      <c r="D741" s="19">
        <v>167.94</v>
      </c>
      <c r="E741" s="19">
        <v>169.93</v>
      </c>
      <c r="F741" s="19">
        <v>167.31</v>
      </c>
      <c r="G741" s="19">
        <v>169.3</v>
      </c>
      <c r="H741" s="19">
        <v>169.3</v>
      </c>
      <c r="I741" s="15">
        <v>1492515</v>
      </c>
      <c r="J741" s="19">
        <f t="shared" si="57"/>
        <v>0.80981302846255421</v>
      </c>
      <c r="K741" s="19">
        <f t="shared" si="58"/>
        <v>156.71300000000002</v>
      </c>
      <c r="L741" s="19">
        <f t="shared" si="54"/>
        <v>146.39159999999998</v>
      </c>
      <c r="M741" s="19">
        <f>MAX(G526:G741)</f>
        <v>175.51</v>
      </c>
      <c r="N741" s="19">
        <f t="shared" si="55"/>
        <v>-3.5382599282092073</v>
      </c>
      <c r="O741" s="9" t="str">
        <f t="shared" si="56"/>
        <v>2024-10</v>
      </c>
    </row>
    <row r="742" spans="1:15" x14ac:dyDescent="0.25">
      <c r="A742" s="9" t="s">
        <v>310</v>
      </c>
      <c r="B742" s="9" t="s">
        <v>311</v>
      </c>
      <c r="C742" s="25" t="s">
        <v>262</v>
      </c>
      <c r="D742" s="19">
        <v>169.3</v>
      </c>
      <c r="E742" s="19">
        <v>173.09</v>
      </c>
      <c r="F742" s="19">
        <v>167.47</v>
      </c>
      <c r="G742" s="19">
        <v>172.93</v>
      </c>
      <c r="H742" s="19">
        <v>172.93</v>
      </c>
      <c r="I742" s="15">
        <v>4969445</v>
      </c>
      <c r="J742" s="19">
        <f t="shared" si="57"/>
        <v>2.1441228588304755</v>
      </c>
      <c r="K742" s="19">
        <f t="shared" si="58"/>
        <v>157.69900000000001</v>
      </c>
      <c r="L742" s="19">
        <f t="shared" si="54"/>
        <v>147.03699999999998</v>
      </c>
      <c r="M742" s="19">
        <f>MAX(G526:G742)</f>
        <v>175.51</v>
      </c>
      <c r="N742" s="19">
        <f t="shared" si="55"/>
        <v>-1.4700017093043041</v>
      </c>
      <c r="O742" s="9" t="str">
        <f t="shared" si="56"/>
        <v>2024-10</v>
      </c>
    </row>
    <row r="743" spans="1:15" x14ac:dyDescent="0.25">
      <c r="A743" s="9" t="s">
        <v>310</v>
      </c>
      <c r="B743" s="9" t="s">
        <v>311</v>
      </c>
      <c r="C743" s="25" t="s">
        <v>263</v>
      </c>
      <c r="D743" s="19">
        <v>172.93</v>
      </c>
      <c r="E743" s="19">
        <v>173.74</v>
      </c>
      <c r="F743" s="19">
        <v>172.73</v>
      </c>
      <c r="G743" s="19">
        <v>173.68</v>
      </c>
      <c r="H743" s="19">
        <v>173.68</v>
      </c>
      <c r="I743" s="15">
        <v>4043337</v>
      </c>
      <c r="J743" s="19">
        <f t="shared" si="57"/>
        <v>0.43370149771583871</v>
      </c>
      <c r="K743" s="19">
        <f t="shared" si="58"/>
        <v>158.7285</v>
      </c>
      <c r="L743" s="19">
        <f t="shared" si="54"/>
        <v>147.67439999999999</v>
      </c>
      <c r="M743" s="19">
        <f>MAX(G526:G743)</f>
        <v>175.51</v>
      </c>
      <c r="N743" s="19">
        <f t="shared" si="55"/>
        <v>-1.0426756310181666</v>
      </c>
      <c r="O743" s="9" t="str">
        <f t="shared" si="56"/>
        <v>2024-10</v>
      </c>
    </row>
    <row r="744" spans="1:15" x14ac:dyDescent="0.25">
      <c r="A744" s="9" t="s">
        <v>310</v>
      </c>
      <c r="B744" s="9" t="s">
        <v>311</v>
      </c>
      <c r="C744" s="25" t="s">
        <v>264</v>
      </c>
      <c r="D744" s="19">
        <v>173.68</v>
      </c>
      <c r="E744" s="19">
        <v>174.7</v>
      </c>
      <c r="F744" s="19">
        <v>172.66</v>
      </c>
      <c r="G744" s="19">
        <v>174.15</v>
      </c>
      <c r="H744" s="19">
        <v>174.15</v>
      </c>
      <c r="I744" s="15">
        <v>4170831</v>
      </c>
      <c r="J744" s="19">
        <f t="shared" si="57"/>
        <v>0.27061262091202143</v>
      </c>
      <c r="K744" s="19">
        <f t="shared" si="58"/>
        <v>159.64699999999999</v>
      </c>
      <c r="L744" s="19">
        <f t="shared" si="54"/>
        <v>148.42899999999997</v>
      </c>
      <c r="M744" s="19">
        <f>MAX(G526:G744)</f>
        <v>175.51</v>
      </c>
      <c r="N744" s="19">
        <f t="shared" si="55"/>
        <v>-0.77488462195885432</v>
      </c>
      <c r="O744" s="9" t="str">
        <f t="shared" si="56"/>
        <v>2024-10</v>
      </c>
    </row>
    <row r="745" spans="1:15" x14ac:dyDescent="0.25">
      <c r="A745" s="9" t="s">
        <v>310</v>
      </c>
      <c r="B745" s="9" t="s">
        <v>311</v>
      </c>
      <c r="C745" s="25" t="s">
        <v>265</v>
      </c>
      <c r="D745" s="19">
        <v>174.15</v>
      </c>
      <c r="E745" s="19">
        <v>176.14</v>
      </c>
      <c r="F745" s="19">
        <v>173.35</v>
      </c>
      <c r="G745" s="19">
        <v>175.43</v>
      </c>
      <c r="H745" s="19">
        <v>175.43</v>
      </c>
      <c r="I745" s="15">
        <v>3884621</v>
      </c>
      <c r="J745" s="19">
        <f t="shared" si="57"/>
        <v>0.73499856445592948</v>
      </c>
      <c r="K745" s="19">
        <f t="shared" si="58"/>
        <v>160.714</v>
      </c>
      <c r="L745" s="19">
        <f t="shared" si="54"/>
        <v>149.2688</v>
      </c>
      <c r="M745" s="19">
        <f>MAX(G526:G745)</f>
        <v>175.51</v>
      </c>
      <c r="N745" s="19">
        <f t="shared" si="55"/>
        <v>-4.5581448350512276E-2</v>
      </c>
      <c r="O745" s="9" t="str">
        <f t="shared" si="56"/>
        <v>2024-11</v>
      </c>
    </row>
    <row r="746" spans="1:15" x14ac:dyDescent="0.25">
      <c r="A746" s="9" t="s">
        <v>310</v>
      </c>
      <c r="B746" s="9" t="s">
        <v>311</v>
      </c>
      <c r="C746" s="25" t="s">
        <v>266</v>
      </c>
      <c r="D746" s="19">
        <v>175.43</v>
      </c>
      <c r="E746" s="19">
        <v>176.94</v>
      </c>
      <c r="F746" s="19">
        <v>174.94</v>
      </c>
      <c r="G746" s="19">
        <v>176.78</v>
      </c>
      <c r="H746" s="19">
        <v>176.78</v>
      </c>
      <c r="I746" s="15">
        <v>5611204</v>
      </c>
      <c r="J746" s="19">
        <f t="shared" si="57"/>
        <v>0.7695377073476567</v>
      </c>
      <c r="K746" s="19">
        <f t="shared" si="58"/>
        <v>162.0215</v>
      </c>
      <c r="L746" s="19">
        <f t="shared" si="54"/>
        <v>150.14439999999999</v>
      </c>
      <c r="M746" s="19">
        <f>MAX(G526:G746)</f>
        <v>176.78</v>
      </c>
      <c r="N746" s="19">
        <f t="shared" si="55"/>
        <v>0</v>
      </c>
      <c r="O746" s="9" t="str">
        <f t="shared" si="56"/>
        <v>2024-11</v>
      </c>
    </row>
    <row r="747" spans="1:15" x14ac:dyDescent="0.25">
      <c r="A747" s="9" t="s">
        <v>310</v>
      </c>
      <c r="B747" s="9" t="s">
        <v>311</v>
      </c>
      <c r="C747" s="25" t="s">
        <v>267</v>
      </c>
      <c r="D747" s="19">
        <v>176.78</v>
      </c>
      <c r="E747" s="19">
        <v>177.9</v>
      </c>
      <c r="F747" s="19">
        <v>174.74</v>
      </c>
      <c r="G747" s="19">
        <v>175.73</v>
      </c>
      <c r="H747" s="19">
        <v>175.73</v>
      </c>
      <c r="I747" s="15">
        <v>5060721</v>
      </c>
      <c r="J747" s="19">
        <f t="shared" si="57"/>
        <v>-0.59395859260097938</v>
      </c>
      <c r="K747" s="19">
        <f t="shared" si="58"/>
        <v>163.20250000000001</v>
      </c>
      <c r="L747" s="19">
        <f t="shared" si="54"/>
        <v>150.94719999999998</v>
      </c>
      <c r="M747" s="19">
        <f>MAX(G526:G747)</f>
        <v>176.78</v>
      </c>
      <c r="N747" s="19">
        <f t="shared" si="55"/>
        <v>-0.59395859260097938</v>
      </c>
      <c r="O747" s="9" t="str">
        <f t="shared" si="56"/>
        <v>2024-11</v>
      </c>
    </row>
    <row r="748" spans="1:15" x14ac:dyDescent="0.25">
      <c r="A748" s="9" t="s">
        <v>310</v>
      </c>
      <c r="B748" s="9" t="s">
        <v>311</v>
      </c>
      <c r="C748" s="25" t="s">
        <v>268</v>
      </c>
      <c r="D748" s="19">
        <v>175.73</v>
      </c>
      <c r="E748" s="19">
        <v>176.36</v>
      </c>
      <c r="F748" s="19">
        <v>171.19</v>
      </c>
      <c r="G748" s="19">
        <v>171.92</v>
      </c>
      <c r="H748" s="19">
        <v>171.92</v>
      </c>
      <c r="I748" s="15">
        <v>3633452</v>
      </c>
      <c r="J748" s="19">
        <f t="shared" si="57"/>
        <v>-2.1680987879132774</v>
      </c>
      <c r="K748" s="19">
        <f t="shared" si="58"/>
        <v>163.922</v>
      </c>
      <c r="L748" s="19">
        <f t="shared" si="54"/>
        <v>151.67580000000001</v>
      </c>
      <c r="M748" s="19">
        <f>MAX(G526:G748)</f>
        <v>176.78</v>
      </c>
      <c r="N748" s="19">
        <f t="shared" si="55"/>
        <v>-2.7491797714673685</v>
      </c>
      <c r="O748" s="9" t="str">
        <f t="shared" si="56"/>
        <v>2024-11</v>
      </c>
    </row>
    <row r="749" spans="1:15" x14ac:dyDescent="0.25">
      <c r="A749" s="9" t="s">
        <v>310</v>
      </c>
      <c r="B749" s="9" t="s">
        <v>311</v>
      </c>
      <c r="C749" s="25" t="s">
        <v>269</v>
      </c>
      <c r="D749" s="19">
        <v>171.92</v>
      </c>
      <c r="E749" s="19">
        <v>177.57</v>
      </c>
      <c r="F749" s="19">
        <v>171.47</v>
      </c>
      <c r="G749" s="19">
        <v>177.57</v>
      </c>
      <c r="H749" s="19">
        <v>177.57</v>
      </c>
      <c r="I749" s="15">
        <v>4188111</v>
      </c>
      <c r="J749" s="19">
        <f t="shared" si="57"/>
        <v>3.2864122847836241</v>
      </c>
      <c r="K749" s="19">
        <f t="shared" si="58"/>
        <v>165.20300000000003</v>
      </c>
      <c r="L749" s="19">
        <f t="shared" si="54"/>
        <v>152.52420000000001</v>
      </c>
      <c r="M749" s="19">
        <f>MAX(G526:G749)</f>
        <v>177.57</v>
      </c>
      <c r="N749" s="19">
        <f t="shared" si="55"/>
        <v>0</v>
      </c>
      <c r="O749" s="9" t="str">
        <f t="shared" si="56"/>
        <v>2024-11</v>
      </c>
    </row>
    <row r="750" spans="1:15" x14ac:dyDescent="0.25">
      <c r="A750" s="9" t="s">
        <v>310</v>
      </c>
      <c r="B750" s="9" t="s">
        <v>311</v>
      </c>
      <c r="C750" s="25" t="s">
        <v>270</v>
      </c>
      <c r="D750" s="19">
        <v>177.57</v>
      </c>
      <c r="E750" s="19">
        <v>177.83</v>
      </c>
      <c r="F750" s="19">
        <v>175.71</v>
      </c>
      <c r="G750" s="19">
        <v>176.4</v>
      </c>
      <c r="H750" s="19">
        <v>176.4</v>
      </c>
      <c r="I750" s="15">
        <v>4682176</v>
      </c>
      <c r="J750" s="19">
        <f t="shared" si="57"/>
        <v>-0.6588950836289843</v>
      </c>
      <c r="K750" s="19">
        <f t="shared" si="58"/>
        <v>166.46700000000004</v>
      </c>
      <c r="L750" s="19">
        <f t="shared" si="54"/>
        <v>153.32640000000001</v>
      </c>
      <c r="M750" s="19">
        <f>MAX(G526:G750)</f>
        <v>177.57</v>
      </c>
      <c r="N750" s="19">
        <f t="shared" si="55"/>
        <v>-0.6588950836289843</v>
      </c>
      <c r="O750" s="9" t="str">
        <f t="shared" si="56"/>
        <v>2024-11</v>
      </c>
    </row>
    <row r="751" spans="1:15" x14ac:dyDescent="0.25">
      <c r="A751" s="9" t="s">
        <v>310</v>
      </c>
      <c r="B751" s="9" t="s">
        <v>311</v>
      </c>
      <c r="C751" s="25" t="s">
        <v>271</v>
      </c>
      <c r="D751" s="19">
        <v>176.4</v>
      </c>
      <c r="E751" s="19">
        <v>179.29</v>
      </c>
      <c r="F751" s="19">
        <v>175.54</v>
      </c>
      <c r="G751" s="19">
        <v>178.83</v>
      </c>
      <c r="H751" s="19">
        <v>178.83</v>
      </c>
      <c r="I751" s="15">
        <v>5370973</v>
      </c>
      <c r="J751" s="19">
        <f t="shared" si="57"/>
        <v>1.3775510204081671</v>
      </c>
      <c r="K751" s="19">
        <f t="shared" si="58"/>
        <v>167.63600000000002</v>
      </c>
      <c r="L751" s="19">
        <f t="shared" si="54"/>
        <v>154.24799999999999</v>
      </c>
      <c r="M751" s="19">
        <f>MAX(G526:G751)</f>
        <v>178.83</v>
      </c>
      <c r="N751" s="19">
        <f t="shared" si="55"/>
        <v>0</v>
      </c>
      <c r="O751" s="9" t="str">
        <f t="shared" si="56"/>
        <v>2024-11</v>
      </c>
    </row>
    <row r="752" spans="1:15" x14ac:dyDescent="0.25">
      <c r="A752" s="9" t="s">
        <v>310</v>
      </c>
      <c r="B752" s="9" t="s">
        <v>311</v>
      </c>
      <c r="C752" s="25" t="s">
        <v>272</v>
      </c>
      <c r="D752" s="19">
        <v>178.83</v>
      </c>
      <c r="E752" s="19">
        <v>180.21</v>
      </c>
      <c r="F752" s="19">
        <v>178.49</v>
      </c>
      <c r="G752" s="19">
        <v>179.02</v>
      </c>
      <c r="H752" s="19">
        <v>179.02</v>
      </c>
      <c r="I752" s="15">
        <v>2231033</v>
      </c>
      <c r="J752" s="19">
        <f t="shared" si="57"/>
        <v>0.10624615556673808</v>
      </c>
      <c r="K752" s="19">
        <f t="shared" si="58"/>
        <v>168.85650000000004</v>
      </c>
      <c r="L752" s="19">
        <f t="shared" si="54"/>
        <v>155.11920000000001</v>
      </c>
      <c r="M752" s="19">
        <f>MAX(G526:G752)</f>
        <v>179.02</v>
      </c>
      <c r="N752" s="19">
        <f t="shared" si="55"/>
        <v>0</v>
      </c>
      <c r="O752" s="9" t="str">
        <f t="shared" si="56"/>
        <v>2024-11</v>
      </c>
    </row>
    <row r="753" spans="1:15" x14ac:dyDescent="0.25">
      <c r="A753" s="9" t="s">
        <v>310</v>
      </c>
      <c r="B753" s="9" t="s">
        <v>311</v>
      </c>
      <c r="C753" s="25" t="s">
        <v>273</v>
      </c>
      <c r="D753" s="19">
        <v>179.02</v>
      </c>
      <c r="E753" s="19">
        <v>180.73</v>
      </c>
      <c r="F753" s="19">
        <v>177.18</v>
      </c>
      <c r="G753" s="19">
        <v>177.98</v>
      </c>
      <c r="H753" s="19">
        <v>177.98</v>
      </c>
      <c r="I753" s="15">
        <v>1847509</v>
      </c>
      <c r="J753" s="19">
        <f t="shared" si="57"/>
        <v>-0.58094067701933882</v>
      </c>
      <c r="K753" s="19">
        <f t="shared" si="58"/>
        <v>170.16100000000003</v>
      </c>
      <c r="L753" s="19">
        <f t="shared" si="54"/>
        <v>155.97359999999998</v>
      </c>
      <c r="M753" s="19">
        <f>MAX(G526:G753)</f>
        <v>179.02</v>
      </c>
      <c r="N753" s="19">
        <f t="shared" si="55"/>
        <v>-0.58094067701933882</v>
      </c>
      <c r="O753" s="9" t="str">
        <f t="shared" si="56"/>
        <v>2024-11</v>
      </c>
    </row>
    <row r="754" spans="1:15" x14ac:dyDescent="0.25">
      <c r="A754" s="9" t="s">
        <v>310</v>
      </c>
      <c r="B754" s="9" t="s">
        <v>311</v>
      </c>
      <c r="C754" s="25" t="s">
        <v>274</v>
      </c>
      <c r="D754" s="19">
        <v>177.98</v>
      </c>
      <c r="E754" s="19">
        <v>183.2</v>
      </c>
      <c r="F754" s="19">
        <v>177.65</v>
      </c>
      <c r="G754" s="19">
        <v>182.32</v>
      </c>
      <c r="H754" s="19">
        <v>182.32</v>
      </c>
      <c r="I754" s="15">
        <v>4160606</v>
      </c>
      <c r="J754" s="19">
        <f t="shared" si="57"/>
        <v>2.4384762332846406</v>
      </c>
      <c r="K754" s="19">
        <f t="shared" si="58"/>
        <v>171.65700000000001</v>
      </c>
      <c r="L754" s="19">
        <f t="shared" si="54"/>
        <v>156.86259999999999</v>
      </c>
      <c r="M754" s="19">
        <f>MAX(G526:G754)</f>
        <v>182.32</v>
      </c>
      <c r="N754" s="19">
        <f t="shared" si="55"/>
        <v>0</v>
      </c>
      <c r="O754" s="9" t="str">
        <f t="shared" si="56"/>
        <v>2024-11</v>
      </c>
    </row>
    <row r="755" spans="1:15" x14ac:dyDescent="0.25">
      <c r="A755" s="9" t="s">
        <v>310</v>
      </c>
      <c r="B755" s="9" t="s">
        <v>311</v>
      </c>
      <c r="C755" s="25" t="s">
        <v>275</v>
      </c>
      <c r="D755" s="19">
        <v>182.32</v>
      </c>
      <c r="E755" s="19">
        <v>187.85</v>
      </c>
      <c r="F755" s="19">
        <v>182.13</v>
      </c>
      <c r="G755" s="19">
        <v>187.59</v>
      </c>
      <c r="H755" s="19">
        <v>187.59</v>
      </c>
      <c r="I755" s="15">
        <v>2438988</v>
      </c>
      <c r="J755" s="19">
        <f t="shared" si="57"/>
        <v>2.8905221588416028</v>
      </c>
      <c r="K755" s="19">
        <f t="shared" si="58"/>
        <v>173.32350000000002</v>
      </c>
      <c r="L755" s="19">
        <f t="shared" si="54"/>
        <v>157.86279999999996</v>
      </c>
      <c r="M755" s="19">
        <f>MAX(G526:G755)</f>
        <v>187.59</v>
      </c>
      <c r="N755" s="19">
        <f t="shared" si="55"/>
        <v>0</v>
      </c>
      <c r="O755" s="9" t="str">
        <f t="shared" si="56"/>
        <v>2024-11</v>
      </c>
    </row>
    <row r="756" spans="1:15" x14ac:dyDescent="0.25">
      <c r="A756" s="9" t="s">
        <v>310</v>
      </c>
      <c r="B756" s="9" t="s">
        <v>311</v>
      </c>
      <c r="C756" s="25" t="s">
        <v>276</v>
      </c>
      <c r="D756" s="19">
        <v>187.59</v>
      </c>
      <c r="E756" s="19">
        <v>188.85</v>
      </c>
      <c r="F756" s="19">
        <v>181.71</v>
      </c>
      <c r="G756" s="19">
        <v>183.23</v>
      </c>
      <c r="H756" s="19">
        <v>183.23</v>
      </c>
      <c r="I756" s="15">
        <v>4434893</v>
      </c>
      <c r="J756" s="19">
        <f t="shared" si="57"/>
        <v>-2.3242177088331006</v>
      </c>
      <c r="K756" s="19">
        <f t="shared" si="58"/>
        <v>174.61800000000002</v>
      </c>
      <c r="L756" s="19">
        <f t="shared" si="54"/>
        <v>158.72079999999997</v>
      </c>
      <c r="M756" s="19">
        <f>MAX(G526:G756)</f>
        <v>187.59</v>
      </c>
      <c r="N756" s="19">
        <f t="shared" si="55"/>
        <v>-2.3242177088331006</v>
      </c>
      <c r="O756" s="9" t="str">
        <f t="shared" si="56"/>
        <v>2024-11</v>
      </c>
    </row>
    <row r="757" spans="1:15" x14ac:dyDescent="0.25">
      <c r="A757" s="9" t="s">
        <v>310</v>
      </c>
      <c r="B757" s="9" t="s">
        <v>311</v>
      </c>
      <c r="C757" s="25" t="s">
        <v>277</v>
      </c>
      <c r="D757" s="19">
        <v>183.23</v>
      </c>
      <c r="E757" s="19">
        <v>184.14</v>
      </c>
      <c r="F757" s="19">
        <v>182.42</v>
      </c>
      <c r="G757" s="19">
        <v>183</v>
      </c>
      <c r="H757" s="19">
        <v>183</v>
      </c>
      <c r="I757" s="15">
        <v>2918993</v>
      </c>
      <c r="J757" s="19">
        <f t="shared" si="57"/>
        <v>-0.12552529607596452</v>
      </c>
      <c r="K757" s="19">
        <f t="shared" si="58"/>
        <v>175.99450000000004</v>
      </c>
      <c r="L757" s="19">
        <f t="shared" si="54"/>
        <v>159.58859999999996</v>
      </c>
      <c r="M757" s="19">
        <f>MAX(G526:G757)</f>
        <v>187.59</v>
      </c>
      <c r="N757" s="19">
        <f t="shared" si="55"/>
        <v>-2.4468255237486023</v>
      </c>
      <c r="O757" s="9" t="str">
        <f t="shared" si="56"/>
        <v>2024-11</v>
      </c>
    </row>
    <row r="758" spans="1:15" x14ac:dyDescent="0.25">
      <c r="A758" s="9" t="s">
        <v>310</v>
      </c>
      <c r="B758" s="9" t="s">
        <v>311</v>
      </c>
      <c r="C758" s="25" t="s">
        <v>278</v>
      </c>
      <c r="D758" s="19">
        <v>183</v>
      </c>
      <c r="E758" s="19">
        <v>184.81</v>
      </c>
      <c r="F758" s="19">
        <v>182.64</v>
      </c>
      <c r="G758" s="19">
        <v>184.22</v>
      </c>
      <c r="H758" s="19">
        <v>184.22</v>
      </c>
      <c r="I758" s="15">
        <v>3566669</v>
      </c>
      <c r="J758" s="19">
        <f t="shared" si="57"/>
        <v>0.66666666666666596</v>
      </c>
      <c r="K758" s="19">
        <f t="shared" si="58"/>
        <v>176.77100000000002</v>
      </c>
      <c r="L758" s="19">
        <f t="shared" si="54"/>
        <v>160.45779999999996</v>
      </c>
      <c r="M758" s="19">
        <f>MAX(G526:G758)</f>
        <v>187.59</v>
      </c>
      <c r="N758" s="19">
        <f t="shared" si="55"/>
        <v>-1.7964710272402606</v>
      </c>
      <c r="O758" s="9" t="str">
        <f t="shared" si="56"/>
        <v>2024-11</v>
      </c>
    </row>
    <row r="759" spans="1:15" x14ac:dyDescent="0.25">
      <c r="A759" s="9" t="s">
        <v>310</v>
      </c>
      <c r="B759" s="9" t="s">
        <v>311</v>
      </c>
      <c r="C759" s="25" t="s">
        <v>279</v>
      </c>
      <c r="D759" s="19">
        <v>184.22</v>
      </c>
      <c r="E759" s="19">
        <v>185.86</v>
      </c>
      <c r="F759" s="19">
        <v>184.18</v>
      </c>
      <c r="G759" s="19">
        <v>185.24</v>
      </c>
      <c r="H759" s="19">
        <v>185.24</v>
      </c>
      <c r="I759" s="15">
        <v>5507726</v>
      </c>
      <c r="J759" s="19">
        <f t="shared" si="57"/>
        <v>0.55368581044403986</v>
      </c>
      <c r="K759" s="19">
        <f t="shared" si="58"/>
        <v>177.66300000000001</v>
      </c>
      <c r="L759" s="19">
        <f t="shared" si="54"/>
        <v>161.40199999999996</v>
      </c>
      <c r="M759" s="19">
        <f>MAX(G526:G759)</f>
        <v>187.59</v>
      </c>
      <c r="N759" s="19">
        <f t="shared" si="55"/>
        <v>-1.2527320219627882</v>
      </c>
      <c r="O759" s="9" t="str">
        <f t="shared" si="56"/>
        <v>2024-11</v>
      </c>
    </row>
    <row r="760" spans="1:15" x14ac:dyDescent="0.25">
      <c r="A760" s="9" t="s">
        <v>310</v>
      </c>
      <c r="B760" s="9" t="s">
        <v>311</v>
      </c>
      <c r="C760" s="25" t="s">
        <v>280</v>
      </c>
      <c r="D760" s="19">
        <v>185.24</v>
      </c>
      <c r="E760" s="19">
        <v>186.72</v>
      </c>
      <c r="F760" s="19">
        <v>184.65</v>
      </c>
      <c r="G760" s="19">
        <v>185.93</v>
      </c>
      <c r="H760" s="19">
        <v>185.93</v>
      </c>
      <c r="I760" s="15">
        <v>4404363</v>
      </c>
      <c r="J760" s="19">
        <f t="shared" si="57"/>
        <v>0.37248974303606008</v>
      </c>
      <c r="K760" s="19">
        <f t="shared" si="58"/>
        <v>178.56250000000003</v>
      </c>
      <c r="L760" s="19">
        <f t="shared" si="54"/>
        <v>162.39039999999997</v>
      </c>
      <c r="M760" s="19">
        <f>MAX(G526:G760)</f>
        <v>187.59</v>
      </c>
      <c r="N760" s="19">
        <f t="shared" si="55"/>
        <v>-0.8849085772162677</v>
      </c>
      <c r="O760" s="9" t="str">
        <f t="shared" si="56"/>
        <v>2024-11</v>
      </c>
    </row>
    <row r="761" spans="1:15" x14ac:dyDescent="0.25">
      <c r="A761" s="9" t="s">
        <v>310</v>
      </c>
      <c r="B761" s="9" t="s">
        <v>311</v>
      </c>
      <c r="C761" s="25" t="s">
        <v>281</v>
      </c>
      <c r="D761" s="19">
        <v>185.93</v>
      </c>
      <c r="E761" s="19">
        <v>186.45</v>
      </c>
      <c r="F761" s="19">
        <v>179.81</v>
      </c>
      <c r="G761" s="19">
        <v>181.17</v>
      </c>
      <c r="H761" s="19">
        <v>181.17</v>
      </c>
      <c r="I761" s="15">
        <v>5727602</v>
      </c>
      <c r="J761" s="19">
        <f t="shared" si="57"/>
        <v>-2.5601032646695097</v>
      </c>
      <c r="K761" s="19">
        <f t="shared" si="58"/>
        <v>179.15600000000001</v>
      </c>
      <c r="L761" s="19">
        <f t="shared" si="54"/>
        <v>163.20679999999996</v>
      </c>
      <c r="M761" s="19">
        <f>MAX(G526:G761)</f>
        <v>187.59</v>
      </c>
      <c r="N761" s="19">
        <f t="shared" si="55"/>
        <v>-3.4223572685111234</v>
      </c>
      <c r="O761" s="9" t="str">
        <f t="shared" si="56"/>
        <v>2024-11</v>
      </c>
    </row>
    <row r="762" spans="1:15" x14ac:dyDescent="0.25">
      <c r="A762" s="9" t="s">
        <v>310</v>
      </c>
      <c r="B762" s="9" t="s">
        <v>311</v>
      </c>
      <c r="C762" s="25" t="s">
        <v>282</v>
      </c>
      <c r="D762" s="19">
        <v>181.17</v>
      </c>
      <c r="E762" s="19">
        <v>181.5</v>
      </c>
      <c r="F762" s="19">
        <v>176.93</v>
      </c>
      <c r="G762" s="19">
        <v>177.91</v>
      </c>
      <c r="H762" s="19">
        <v>177.91</v>
      </c>
      <c r="I762" s="15">
        <v>4593446</v>
      </c>
      <c r="J762" s="19">
        <f t="shared" si="57"/>
        <v>-1.7994149141690077</v>
      </c>
      <c r="K762" s="19">
        <f t="shared" si="58"/>
        <v>179.405</v>
      </c>
      <c r="L762" s="19">
        <f t="shared" si="54"/>
        <v>163.95539999999997</v>
      </c>
      <c r="M762" s="19">
        <f>MAX(G526:G762)</f>
        <v>187.59</v>
      </c>
      <c r="N762" s="19">
        <f t="shared" si="55"/>
        <v>-5.1601897755743948</v>
      </c>
      <c r="O762" s="9" t="str">
        <f t="shared" si="56"/>
        <v>2024-11</v>
      </c>
    </row>
    <row r="763" spans="1:15" x14ac:dyDescent="0.25">
      <c r="A763" s="9" t="s">
        <v>310</v>
      </c>
      <c r="B763" s="9" t="s">
        <v>311</v>
      </c>
      <c r="C763" s="25" t="s">
        <v>283</v>
      </c>
      <c r="D763" s="19">
        <v>177.91</v>
      </c>
      <c r="E763" s="19">
        <v>178.74</v>
      </c>
      <c r="F763" s="19">
        <v>174.66</v>
      </c>
      <c r="G763" s="19">
        <v>175.69</v>
      </c>
      <c r="H763" s="19">
        <v>175.69</v>
      </c>
      <c r="I763" s="15">
        <v>3589149</v>
      </c>
      <c r="J763" s="19">
        <f t="shared" si="57"/>
        <v>-1.2478219324377489</v>
      </c>
      <c r="K763" s="19">
        <f t="shared" si="58"/>
        <v>179.50549999999998</v>
      </c>
      <c r="L763" s="19">
        <f t="shared" si="54"/>
        <v>164.69299999999998</v>
      </c>
      <c r="M763" s="19">
        <f>MAX(G526:G763)</f>
        <v>187.59</v>
      </c>
      <c r="N763" s="19">
        <f t="shared" si="55"/>
        <v>-6.3436217282371157</v>
      </c>
      <c r="O763" s="9" t="str">
        <f t="shared" si="56"/>
        <v>2024-11</v>
      </c>
    </row>
    <row r="764" spans="1:15" x14ac:dyDescent="0.25">
      <c r="A764" s="9" t="s">
        <v>310</v>
      </c>
      <c r="B764" s="9" t="s">
        <v>311</v>
      </c>
      <c r="C764" s="25" t="s">
        <v>284</v>
      </c>
      <c r="D764" s="19">
        <v>175.69</v>
      </c>
      <c r="E764" s="19">
        <v>176.96</v>
      </c>
      <c r="F764" s="19">
        <v>171.92</v>
      </c>
      <c r="G764" s="19">
        <v>171.94</v>
      </c>
      <c r="H764" s="19">
        <v>171.94</v>
      </c>
      <c r="I764" s="15">
        <v>2907702</v>
      </c>
      <c r="J764" s="19">
        <f t="shared" si="57"/>
        <v>-2.1344413455518243</v>
      </c>
      <c r="K764" s="19">
        <f t="shared" si="58"/>
        <v>179.39499999999995</v>
      </c>
      <c r="L764" s="19">
        <f t="shared" si="54"/>
        <v>165.32399999999998</v>
      </c>
      <c r="M764" s="19">
        <f>MAX(G526:G764)</f>
        <v>187.59</v>
      </c>
      <c r="N764" s="19">
        <f t="shared" si="55"/>
        <v>-8.342662188816039</v>
      </c>
      <c r="O764" s="9" t="str">
        <f t="shared" si="56"/>
        <v>2024-11</v>
      </c>
    </row>
    <row r="765" spans="1:15" x14ac:dyDescent="0.25">
      <c r="A765" s="9" t="s">
        <v>310</v>
      </c>
      <c r="B765" s="9" t="s">
        <v>311</v>
      </c>
      <c r="C765" s="25" t="s">
        <v>285</v>
      </c>
      <c r="D765" s="19">
        <v>171.94</v>
      </c>
      <c r="E765" s="19">
        <v>173.9</v>
      </c>
      <c r="F765" s="19">
        <v>170.91</v>
      </c>
      <c r="G765" s="19">
        <v>171.29</v>
      </c>
      <c r="H765" s="19">
        <v>171.29</v>
      </c>
      <c r="I765" s="15">
        <v>3824634</v>
      </c>
      <c r="J765" s="19">
        <f t="shared" si="57"/>
        <v>-0.37803885076189697</v>
      </c>
      <c r="K765" s="19">
        <f t="shared" si="58"/>
        <v>179.18799999999999</v>
      </c>
      <c r="L765" s="19">
        <f t="shared" si="54"/>
        <v>165.92059999999998</v>
      </c>
      <c r="M765" s="19">
        <f>MAX(G526:G765)</f>
        <v>187.59</v>
      </c>
      <c r="N765" s="19">
        <f t="shared" si="55"/>
        <v>-8.6891625353163882</v>
      </c>
      <c r="O765" s="9" t="str">
        <f t="shared" si="56"/>
        <v>2024-11</v>
      </c>
    </row>
    <row r="766" spans="1:15" x14ac:dyDescent="0.25">
      <c r="A766" s="9" t="s">
        <v>310</v>
      </c>
      <c r="B766" s="9" t="s">
        <v>311</v>
      </c>
      <c r="C766" s="25" t="s">
        <v>286</v>
      </c>
      <c r="D766" s="19">
        <v>171.29</v>
      </c>
      <c r="E766" s="19">
        <v>179.2</v>
      </c>
      <c r="F766" s="19">
        <v>171.05</v>
      </c>
      <c r="G766" s="19">
        <v>178.71</v>
      </c>
      <c r="H766" s="19">
        <v>178.71</v>
      </c>
      <c r="I766" s="15">
        <v>3776690</v>
      </c>
      <c r="J766" s="19">
        <f t="shared" si="57"/>
        <v>4.3318348998774105</v>
      </c>
      <c r="K766" s="19">
        <f t="shared" si="58"/>
        <v>179.28450000000001</v>
      </c>
      <c r="L766" s="19">
        <f t="shared" si="54"/>
        <v>166.57419999999993</v>
      </c>
      <c r="M766" s="19">
        <f>MAX(G526:G766)</f>
        <v>187.59</v>
      </c>
      <c r="N766" s="19">
        <f t="shared" si="55"/>
        <v>-4.7337278106508851</v>
      </c>
      <c r="O766" s="9" t="str">
        <f t="shared" si="56"/>
        <v>2024-12</v>
      </c>
    </row>
    <row r="767" spans="1:15" x14ac:dyDescent="0.25">
      <c r="A767" s="9" t="s">
        <v>310</v>
      </c>
      <c r="B767" s="9" t="s">
        <v>311</v>
      </c>
      <c r="C767" s="25" t="s">
        <v>287</v>
      </c>
      <c r="D767" s="19">
        <v>178.71</v>
      </c>
      <c r="E767" s="19">
        <v>180.05</v>
      </c>
      <c r="F767" s="19">
        <v>178.32</v>
      </c>
      <c r="G767" s="19">
        <v>178.35</v>
      </c>
      <c r="H767" s="19">
        <v>178.35</v>
      </c>
      <c r="I767" s="15">
        <v>4276698</v>
      </c>
      <c r="J767" s="19">
        <f t="shared" si="57"/>
        <v>-0.2014436797045569</v>
      </c>
      <c r="K767" s="19">
        <f t="shared" si="58"/>
        <v>179.41549999999998</v>
      </c>
      <c r="L767" s="19">
        <f t="shared" ref="L767:L830" si="59">AVERAGE(G718:G767)</f>
        <v>167.19619999999995</v>
      </c>
      <c r="M767" s="19">
        <f>MAX(G526:G767)</f>
        <v>187.59</v>
      </c>
      <c r="N767" s="19">
        <f t="shared" si="55"/>
        <v>-4.925635694866469</v>
      </c>
      <c r="O767" s="9" t="str">
        <f t="shared" si="56"/>
        <v>2024-12</v>
      </c>
    </row>
    <row r="768" spans="1:15" x14ac:dyDescent="0.25">
      <c r="A768" s="9" t="s">
        <v>310</v>
      </c>
      <c r="B768" s="9" t="s">
        <v>311</v>
      </c>
      <c r="C768" s="25" t="s">
        <v>288</v>
      </c>
      <c r="D768" s="19">
        <v>178.35</v>
      </c>
      <c r="E768" s="19">
        <v>179.49</v>
      </c>
      <c r="F768" s="19">
        <v>172.99</v>
      </c>
      <c r="G768" s="19">
        <v>173.47</v>
      </c>
      <c r="H768" s="19">
        <v>173.47</v>
      </c>
      <c r="I768" s="15">
        <v>4913703</v>
      </c>
      <c r="J768" s="19">
        <f t="shared" si="57"/>
        <v>-2.7361928791701686</v>
      </c>
      <c r="K768" s="19">
        <f t="shared" si="58"/>
        <v>179.49299999999999</v>
      </c>
      <c r="L768" s="19">
        <f t="shared" si="59"/>
        <v>167.67879999999994</v>
      </c>
      <c r="M768" s="19">
        <f>MAX(G526:G768)</f>
        <v>187.59</v>
      </c>
      <c r="N768" s="19">
        <f t="shared" si="55"/>
        <v>-7.5270536808998365</v>
      </c>
      <c r="O768" s="9" t="str">
        <f t="shared" si="56"/>
        <v>2024-12</v>
      </c>
    </row>
    <row r="769" spans="1:15" x14ac:dyDescent="0.25">
      <c r="A769" s="9" t="s">
        <v>310</v>
      </c>
      <c r="B769" s="9" t="s">
        <v>311</v>
      </c>
      <c r="C769" s="25" t="s">
        <v>289</v>
      </c>
      <c r="D769" s="19">
        <v>173.47</v>
      </c>
      <c r="E769" s="19">
        <v>173.49</v>
      </c>
      <c r="F769" s="19">
        <v>171.24</v>
      </c>
      <c r="G769" s="19">
        <v>171.86</v>
      </c>
      <c r="H769" s="19">
        <v>171.86</v>
      </c>
      <c r="I769" s="15">
        <v>3282082</v>
      </c>
      <c r="J769" s="19">
        <f t="shared" si="57"/>
        <v>-0.92811437136103381</v>
      </c>
      <c r="K769" s="19">
        <f t="shared" si="58"/>
        <v>179.20749999999998</v>
      </c>
      <c r="L769" s="19">
        <f t="shared" si="59"/>
        <v>168.19959999999995</v>
      </c>
      <c r="M769" s="19">
        <f>MAX(G526:G769)</f>
        <v>187.59</v>
      </c>
      <c r="N769" s="19">
        <f t="shared" si="55"/>
        <v>-8.3853083853083792</v>
      </c>
      <c r="O769" s="9" t="str">
        <f t="shared" si="56"/>
        <v>2024-12</v>
      </c>
    </row>
    <row r="770" spans="1:15" x14ac:dyDescent="0.25">
      <c r="A770" s="9" t="s">
        <v>310</v>
      </c>
      <c r="B770" s="9" t="s">
        <v>311</v>
      </c>
      <c r="C770" s="25" t="s">
        <v>290</v>
      </c>
      <c r="D770" s="19">
        <v>171.86</v>
      </c>
      <c r="E770" s="19">
        <v>175.85</v>
      </c>
      <c r="F770" s="19">
        <v>171.19</v>
      </c>
      <c r="G770" s="19">
        <v>175.23</v>
      </c>
      <c r="H770" s="19">
        <v>175.23</v>
      </c>
      <c r="I770" s="15">
        <v>5910071</v>
      </c>
      <c r="J770" s="19">
        <f t="shared" si="57"/>
        <v>1.9608984056790271</v>
      </c>
      <c r="K770" s="19">
        <f t="shared" si="58"/>
        <v>179.149</v>
      </c>
      <c r="L770" s="19">
        <f t="shared" si="59"/>
        <v>168.79659999999996</v>
      </c>
      <c r="M770" s="19">
        <f>MAX(G526:G770)</f>
        <v>187.59</v>
      </c>
      <c r="N770" s="19">
        <f t="shared" ref="N770:N833" si="60">(G770-M770)/M770*100</f>
        <v>-6.588837358068135</v>
      </c>
      <c r="O770" s="9" t="str">
        <f t="shared" ref="O770:O833" si="61">TEXT(C770,"yyyy-mm")</f>
        <v>2024-12</v>
      </c>
    </row>
    <row r="771" spans="1:15" x14ac:dyDescent="0.25">
      <c r="A771" s="9" t="s">
        <v>310</v>
      </c>
      <c r="B771" s="9" t="s">
        <v>311</v>
      </c>
      <c r="C771" s="25" t="s">
        <v>291</v>
      </c>
      <c r="D771" s="19">
        <v>175.23</v>
      </c>
      <c r="E771" s="19">
        <v>176.3</v>
      </c>
      <c r="F771" s="19">
        <v>173.9</v>
      </c>
      <c r="G771" s="19">
        <v>174.46</v>
      </c>
      <c r="H771" s="19">
        <v>174.46</v>
      </c>
      <c r="I771" s="15">
        <v>4350817</v>
      </c>
      <c r="J771" s="19">
        <f t="shared" si="57"/>
        <v>-0.43942247332076806</v>
      </c>
      <c r="K771" s="19">
        <f t="shared" si="58"/>
        <v>178.93049999999999</v>
      </c>
      <c r="L771" s="19">
        <f t="shared" si="59"/>
        <v>169.32579999999996</v>
      </c>
      <c r="M771" s="19">
        <f>MAX(G526:G771)</f>
        <v>187.59</v>
      </c>
      <c r="N771" s="19">
        <f t="shared" si="60"/>
        <v>-6.9993069993069961</v>
      </c>
      <c r="O771" s="9" t="str">
        <f t="shared" si="61"/>
        <v>2024-12</v>
      </c>
    </row>
    <row r="772" spans="1:15" x14ac:dyDescent="0.25">
      <c r="A772" s="9" t="s">
        <v>310</v>
      </c>
      <c r="B772" s="9" t="s">
        <v>311</v>
      </c>
      <c r="C772" s="25" t="s">
        <v>292</v>
      </c>
      <c r="D772" s="19">
        <v>174.46</v>
      </c>
      <c r="E772" s="19">
        <v>175.79</v>
      </c>
      <c r="F772" s="19">
        <v>173.66</v>
      </c>
      <c r="G772" s="19">
        <v>175.75</v>
      </c>
      <c r="H772" s="19">
        <v>175.75</v>
      </c>
      <c r="I772" s="15">
        <v>2640938</v>
      </c>
      <c r="J772" s="19">
        <f t="shared" si="57"/>
        <v>0.73942450991630859</v>
      </c>
      <c r="K772" s="19">
        <f t="shared" si="58"/>
        <v>178.767</v>
      </c>
      <c r="L772" s="19">
        <f t="shared" si="59"/>
        <v>169.77659999999997</v>
      </c>
      <c r="M772" s="19">
        <f>MAX(G526:G772)</f>
        <v>187.59</v>
      </c>
      <c r="N772" s="19">
        <f t="shared" si="60"/>
        <v>-6.3116370808678521</v>
      </c>
      <c r="O772" s="9" t="str">
        <f t="shared" si="61"/>
        <v>2024-12</v>
      </c>
    </row>
    <row r="773" spans="1:15" x14ac:dyDescent="0.25">
      <c r="A773" s="9" t="s">
        <v>310</v>
      </c>
      <c r="B773" s="9" t="s">
        <v>311</v>
      </c>
      <c r="C773" s="25" t="s">
        <v>293</v>
      </c>
      <c r="D773" s="19">
        <v>175.75</v>
      </c>
      <c r="E773" s="19">
        <v>175.94</v>
      </c>
      <c r="F773" s="19">
        <v>172.91</v>
      </c>
      <c r="G773" s="19">
        <v>173.54</v>
      </c>
      <c r="H773" s="19">
        <v>173.54</v>
      </c>
      <c r="I773" s="15">
        <v>5411476</v>
      </c>
      <c r="J773" s="19">
        <f t="shared" si="57"/>
        <v>-1.2574679943101041</v>
      </c>
      <c r="K773" s="19">
        <f t="shared" si="58"/>
        <v>178.54500000000002</v>
      </c>
      <c r="L773" s="19">
        <f t="shared" si="59"/>
        <v>170.18559999999997</v>
      </c>
      <c r="M773" s="19">
        <f>MAX(G526:G773)</f>
        <v>187.59</v>
      </c>
      <c r="N773" s="19">
        <f t="shared" si="60"/>
        <v>-7.4897382589690338</v>
      </c>
      <c r="O773" s="9" t="str">
        <f t="shared" si="61"/>
        <v>2024-12</v>
      </c>
    </row>
    <row r="774" spans="1:15" x14ac:dyDescent="0.25">
      <c r="A774" s="9" t="s">
        <v>310</v>
      </c>
      <c r="B774" s="9" t="s">
        <v>311</v>
      </c>
      <c r="C774" s="25" t="s">
        <v>294</v>
      </c>
      <c r="D774" s="19">
        <v>173.54</v>
      </c>
      <c r="E774" s="19">
        <v>173.63</v>
      </c>
      <c r="F774" s="19">
        <v>170.82</v>
      </c>
      <c r="G774" s="19">
        <v>170.88</v>
      </c>
      <c r="H774" s="19">
        <v>170.88</v>
      </c>
      <c r="I774" s="15">
        <v>3279344</v>
      </c>
      <c r="J774" s="19">
        <f t="shared" si="57"/>
        <v>-1.5327878298951232</v>
      </c>
      <c r="K774" s="19">
        <f t="shared" si="58"/>
        <v>177.97300000000001</v>
      </c>
      <c r="L774" s="19">
        <f t="shared" si="59"/>
        <v>170.48759999999996</v>
      </c>
      <c r="M774" s="19">
        <f>MAX(G526:G774)</f>
        <v>187.59</v>
      </c>
      <c r="N774" s="19">
        <f t="shared" si="60"/>
        <v>-8.9077242923396796</v>
      </c>
      <c r="O774" s="9" t="str">
        <f t="shared" si="61"/>
        <v>2024-12</v>
      </c>
    </row>
    <row r="775" spans="1:15" x14ac:dyDescent="0.25">
      <c r="A775" s="9" t="s">
        <v>310</v>
      </c>
      <c r="B775" s="9" t="s">
        <v>311</v>
      </c>
      <c r="C775" s="25" t="s">
        <v>295</v>
      </c>
      <c r="D775" s="19">
        <v>170.88</v>
      </c>
      <c r="E775" s="19">
        <v>171.28</v>
      </c>
      <c r="F775" s="19">
        <v>166.93</v>
      </c>
      <c r="G775" s="19">
        <v>167.76</v>
      </c>
      <c r="H775" s="19">
        <v>167.76</v>
      </c>
      <c r="I775" s="15">
        <v>5560774</v>
      </c>
      <c r="J775" s="19">
        <f t="shared" si="57"/>
        <v>-1.8258426966292163</v>
      </c>
      <c r="K775" s="19">
        <f t="shared" si="58"/>
        <v>176.98150000000001</v>
      </c>
      <c r="L775" s="19">
        <f t="shared" si="59"/>
        <v>170.761</v>
      </c>
      <c r="M775" s="19">
        <f>MAX(G526:G775)</f>
        <v>187.59</v>
      </c>
      <c r="N775" s="19">
        <f t="shared" si="60"/>
        <v>-10.570925955541346</v>
      </c>
      <c r="O775" s="9" t="str">
        <f t="shared" si="61"/>
        <v>2024-12</v>
      </c>
    </row>
    <row r="776" spans="1:15" x14ac:dyDescent="0.25">
      <c r="A776" s="9" t="s">
        <v>310</v>
      </c>
      <c r="B776" s="9" t="s">
        <v>311</v>
      </c>
      <c r="C776" s="25" t="s">
        <v>296</v>
      </c>
      <c r="D776" s="19">
        <v>167.76</v>
      </c>
      <c r="E776" s="19">
        <v>171.01</v>
      </c>
      <c r="F776" s="19">
        <v>167.44</v>
      </c>
      <c r="G776" s="19">
        <v>170.54</v>
      </c>
      <c r="H776" s="19">
        <v>170.54</v>
      </c>
      <c r="I776" s="15">
        <v>5751600</v>
      </c>
      <c r="J776" s="19">
        <f t="shared" si="57"/>
        <v>1.6571292322365292</v>
      </c>
      <c r="K776" s="19">
        <f t="shared" si="58"/>
        <v>176.34700000000004</v>
      </c>
      <c r="L776" s="19">
        <f t="shared" si="59"/>
        <v>171.15920000000003</v>
      </c>
      <c r="M776" s="19">
        <f>MAX(G526:G776)</f>
        <v>187.59</v>
      </c>
      <c r="N776" s="19">
        <f t="shared" si="60"/>
        <v>-9.0889706274321718</v>
      </c>
      <c r="O776" s="9" t="str">
        <f t="shared" si="61"/>
        <v>2024-12</v>
      </c>
    </row>
    <row r="777" spans="1:15" x14ac:dyDescent="0.25">
      <c r="A777" s="9" t="s">
        <v>310</v>
      </c>
      <c r="B777" s="9" t="s">
        <v>311</v>
      </c>
      <c r="C777" s="25" t="s">
        <v>297</v>
      </c>
      <c r="D777" s="19">
        <v>170.54</v>
      </c>
      <c r="E777" s="19">
        <v>172.47</v>
      </c>
      <c r="F777" s="19">
        <v>170.4</v>
      </c>
      <c r="G777" s="19">
        <v>172.37</v>
      </c>
      <c r="H777" s="19">
        <v>172.37</v>
      </c>
      <c r="I777" s="15">
        <v>3583898</v>
      </c>
      <c r="J777" s="19">
        <f t="shared" si="57"/>
        <v>1.0730620382315073</v>
      </c>
      <c r="K777" s="19">
        <f t="shared" si="58"/>
        <v>175.81550000000001</v>
      </c>
      <c r="L777" s="19">
        <f t="shared" si="59"/>
        <v>171.56440000000003</v>
      </c>
      <c r="M777" s="19">
        <f>MAX(G526:G777)</f>
        <v>187.59</v>
      </c>
      <c r="N777" s="19">
        <f t="shared" si="60"/>
        <v>-8.1134388826696497</v>
      </c>
      <c r="O777" s="9" t="str">
        <f t="shared" si="61"/>
        <v>2024-12</v>
      </c>
    </row>
    <row r="778" spans="1:15" x14ac:dyDescent="0.25">
      <c r="A778" s="9" t="s">
        <v>310</v>
      </c>
      <c r="B778" s="9" t="s">
        <v>311</v>
      </c>
      <c r="C778" s="25" t="s">
        <v>298</v>
      </c>
      <c r="D778" s="19">
        <v>172.37</v>
      </c>
      <c r="E778" s="19">
        <v>172.83</v>
      </c>
      <c r="F778" s="19">
        <v>171.46</v>
      </c>
      <c r="G778" s="19">
        <v>171.77</v>
      </c>
      <c r="H778" s="19">
        <v>171.77</v>
      </c>
      <c r="I778" s="15">
        <v>5468359</v>
      </c>
      <c r="J778" s="19">
        <f t="shared" si="57"/>
        <v>-0.34808841445726885</v>
      </c>
      <c r="K778" s="19">
        <f t="shared" si="58"/>
        <v>175.19300000000001</v>
      </c>
      <c r="L778" s="19">
        <f t="shared" si="59"/>
        <v>171.84920000000002</v>
      </c>
      <c r="M778" s="19">
        <f>MAX(G526:G778)</f>
        <v>187.59</v>
      </c>
      <c r="N778" s="19">
        <f t="shared" si="60"/>
        <v>-8.4332853563622763</v>
      </c>
      <c r="O778" s="9" t="str">
        <f t="shared" si="61"/>
        <v>2024-12</v>
      </c>
    </row>
    <row r="779" spans="1:15" x14ac:dyDescent="0.25">
      <c r="A779" s="9" t="s">
        <v>310</v>
      </c>
      <c r="B779" s="9" t="s">
        <v>311</v>
      </c>
      <c r="C779" s="25" t="s">
        <v>299</v>
      </c>
      <c r="D779" s="19">
        <v>171.77</v>
      </c>
      <c r="E779" s="19">
        <v>172.86</v>
      </c>
      <c r="F779" s="19">
        <v>169.55</v>
      </c>
      <c r="G779" s="19">
        <v>170.94</v>
      </c>
      <c r="H779" s="19">
        <v>170.94</v>
      </c>
      <c r="I779" s="15">
        <v>3763984</v>
      </c>
      <c r="J779" s="19">
        <f t="shared" si="57"/>
        <v>-0.48320428479944838</v>
      </c>
      <c r="K779" s="19">
        <f t="shared" si="58"/>
        <v>174.47800000000001</v>
      </c>
      <c r="L779" s="19">
        <f t="shared" si="59"/>
        <v>172.22900000000001</v>
      </c>
      <c r="M779" s="19">
        <f>MAX(G526:G779)</f>
        <v>187.59</v>
      </c>
      <c r="N779" s="19">
        <f t="shared" si="60"/>
        <v>-8.875739644970416</v>
      </c>
      <c r="O779" s="9" t="str">
        <f t="shared" si="61"/>
        <v>2024-12</v>
      </c>
    </row>
    <row r="780" spans="1:15" x14ac:dyDescent="0.25">
      <c r="A780" s="9" t="s">
        <v>310</v>
      </c>
      <c r="B780" s="9" t="s">
        <v>311</v>
      </c>
      <c r="C780" s="25" t="s">
        <v>300</v>
      </c>
      <c r="D780" s="19">
        <v>170.94</v>
      </c>
      <c r="E780" s="19">
        <v>171.51</v>
      </c>
      <c r="F780" s="19">
        <v>169.36</v>
      </c>
      <c r="G780" s="19">
        <v>169.64</v>
      </c>
      <c r="H780" s="19">
        <v>169.64</v>
      </c>
      <c r="I780" s="15">
        <v>3039446</v>
      </c>
      <c r="J780" s="19">
        <f t="shared" si="57"/>
        <v>-0.7605007605007672</v>
      </c>
      <c r="K780" s="19">
        <f t="shared" si="58"/>
        <v>173.6635</v>
      </c>
      <c r="L780" s="19">
        <f t="shared" si="59"/>
        <v>172.59939999999997</v>
      </c>
      <c r="M780" s="19">
        <f>MAX(G526:G780)</f>
        <v>187.59</v>
      </c>
      <c r="N780" s="19">
        <f t="shared" si="60"/>
        <v>-9.568740337971116</v>
      </c>
      <c r="O780" s="9" t="str">
        <f t="shared" si="61"/>
        <v>2024-12</v>
      </c>
    </row>
    <row r="781" spans="1:15" x14ac:dyDescent="0.25">
      <c r="A781" s="9" t="s">
        <v>310</v>
      </c>
      <c r="B781" s="9" t="s">
        <v>311</v>
      </c>
      <c r="C781" s="25" t="s">
        <v>301</v>
      </c>
      <c r="D781" s="19">
        <v>169.64</v>
      </c>
      <c r="E781" s="19">
        <v>170.78</v>
      </c>
      <c r="F781" s="19">
        <v>169.57</v>
      </c>
      <c r="G781" s="19">
        <v>170.26</v>
      </c>
      <c r="H781" s="19">
        <v>170.26</v>
      </c>
      <c r="I781" s="15">
        <v>4486215</v>
      </c>
      <c r="J781" s="19">
        <f t="shared" si="57"/>
        <v>0.36547983966046016</v>
      </c>
      <c r="K781" s="19">
        <f t="shared" si="58"/>
        <v>173.11799999999999</v>
      </c>
      <c r="L781" s="19">
        <f t="shared" si="59"/>
        <v>172.8956</v>
      </c>
      <c r="M781" s="19">
        <f>MAX(G526:G781)</f>
        <v>187.59</v>
      </c>
      <c r="N781" s="19">
        <f t="shared" si="60"/>
        <v>-9.2382323151553987</v>
      </c>
      <c r="O781" s="9" t="str">
        <f t="shared" si="61"/>
        <v>2024-12</v>
      </c>
    </row>
    <row r="782" spans="1:15" x14ac:dyDescent="0.25">
      <c r="A782" s="9" t="s">
        <v>310</v>
      </c>
      <c r="B782" s="9" t="s">
        <v>311</v>
      </c>
      <c r="C782" s="25" t="s">
        <v>302</v>
      </c>
      <c r="D782" s="19">
        <v>170.26</v>
      </c>
      <c r="E782" s="19">
        <v>170.95</v>
      </c>
      <c r="F782" s="19">
        <v>167.32</v>
      </c>
      <c r="G782" s="19">
        <v>167.93</v>
      </c>
      <c r="H782" s="19">
        <v>167.93</v>
      </c>
      <c r="I782" s="15">
        <v>5288268</v>
      </c>
      <c r="J782" s="19">
        <f t="shared" si="57"/>
        <v>-1.3684952425701775</v>
      </c>
      <c r="K782" s="19">
        <f t="shared" si="58"/>
        <v>172.61899999999997</v>
      </c>
      <c r="L782" s="19">
        <f t="shared" si="59"/>
        <v>173.16200000000001</v>
      </c>
      <c r="M782" s="19">
        <f>MAX(G526:G782)</f>
        <v>187.59</v>
      </c>
      <c r="N782" s="19">
        <f t="shared" si="60"/>
        <v>-10.480302787995093</v>
      </c>
      <c r="O782" s="9" t="str">
        <f t="shared" si="61"/>
        <v>2024-12</v>
      </c>
    </row>
    <row r="783" spans="1:15" x14ac:dyDescent="0.25">
      <c r="A783" s="9" t="s">
        <v>310</v>
      </c>
      <c r="B783" s="9" t="s">
        <v>311</v>
      </c>
      <c r="C783" s="25" t="s">
        <v>303</v>
      </c>
      <c r="D783" s="19">
        <v>167.93</v>
      </c>
      <c r="E783" s="19">
        <v>168.51</v>
      </c>
      <c r="F783" s="19">
        <v>167.16</v>
      </c>
      <c r="G783" s="19">
        <v>167.43</v>
      </c>
      <c r="H783" s="19">
        <v>167.43</v>
      </c>
      <c r="I783" s="15">
        <v>4192617</v>
      </c>
      <c r="J783" s="19">
        <f t="shared" si="57"/>
        <v>-0.29774310724706721</v>
      </c>
      <c r="K783" s="19">
        <f t="shared" si="58"/>
        <v>172.20599999999996</v>
      </c>
      <c r="L783" s="19">
        <f t="shared" si="59"/>
        <v>173.47280000000003</v>
      </c>
      <c r="M783" s="19">
        <f>MAX(G526:G783)</f>
        <v>187.59</v>
      </c>
      <c r="N783" s="19">
        <f t="shared" si="60"/>
        <v>-10.746841516072283</v>
      </c>
      <c r="O783" s="9" t="str">
        <f t="shared" si="61"/>
        <v>2024-12</v>
      </c>
    </row>
    <row r="784" spans="1:15" x14ac:dyDescent="0.25">
      <c r="A784" s="9" t="s">
        <v>310</v>
      </c>
      <c r="B784" s="9" t="s">
        <v>311</v>
      </c>
      <c r="C784" s="25" t="s">
        <v>304</v>
      </c>
      <c r="D784" s="19">
        <v>167.43</v>
      </c>
      <c r="E784" s="19">
        <v>170.27</v>
      </c>
      <c r="F784" s="19">
        <v>165.78</v>
      </c>
      <c r="G784" s="19">
        <v>169.96</v>
      </c>
      <c r="H784" s="19">
        <v>169.96</v>
      </c>
      <c r="I784" s="15">
        <v>4665700</v>
      </c>
      <c r="J784" s="19">
        <f t="shared" si="57"/>
        <v>1.5110792570029272</v>
      </c>
      <c r="K784" s="19">
        <f t="shared" si="58"/>
        <v>172.10699999999997</v>
      </c>
      <c r="L784" s="19">
        <f t="shared" si="59"/>
        <v>173.82399999999998</v>
      </c>
      <c r="M784" s="19">
        <f>MAX(G526:G784)</f>
        <v>187.59</v>
      </c>
      <c r="N784" s="19">
        <f t="shared" si="60"/>
        <v>-9.3981555520017039</v>
      </c>
      <c r="O784" s="9" t="str">
        <f t="shared" si="61"/>
        <v>2024-12</v>
      </c>
    </row>
    <row r="785" spans="1:15" x14ac:dyDescent="0.25">
      <c r="A785" s="9" t="s">
        <v>310</v>
      </c>
      <c r="B785" s="9" t="s">
        <v>311</v>
      </c>
      <c r="C785" s="25" t="s">
        <v>305</v>
      </c>
      <c r="D785" s="19">
        <v>169.96</v>
      </c>
      <c r="E785" s="19">
        <v>173.02</v>
      </c>
      <c r="F785" s="19">
        <v>169.36</v>
      </c>
      <c r="G785" s="19">
        <v>172.6</v>
      </c>
      <c r="H785" s="19">
        <v>172.6</v>
      </c>
      <c r="I785" s="15">
        <v>4800313</v>
      </c>
      <c r="J785" s="19">
        <f t="shared" si="57"/>
        <v>1.5533066603906722</v>
      </c>
      <c r="K785" s="19">
        <f t="shared" si="58"/>
        <v>172.17249999999996</v>
      </c>
      <c r="L785" s="19">
        <f t="shared" si="59"/>
        <v>174.19080000000002</v>
      </c>
      <c r="M785" s="19">
        <f>MAX(G526:G785)</f>
        <v>187.59</v>
      </c>
      <c r="N785" s="19">
        <f t="shared" si="60"/>
        <v>-7.990831067754149</v>
      </c>
      <c r="O785" s="9" t="str">
        <f t="shared" si="61"/>
        <v>2024-12</v>
      </c>
    </row>
    <row r="786" spans="1:15" x14ac:dyDescent="0.25">
      <c r="A786" s="9" t="s">
        <v>310</v>
      </c>
      <c r="B786" s="9" t="s">
        <v>311</v>
      </c>
      <c r="C786" s="25" t="s">
        <v>306</v>
      </c>
      <c r="D786" s="19">
        <v>172.6</v>
      </c>
      <c r="E786" s="19">
        <v>173.42</v>
      </c>
      <c r="F786" s="19">
        <v>169.38</v>
      </c>
      <c r="G786" s="19">
        <v>170.5</v>
      </c>
      <c r="H786" s="19">
        <v>170.5</v>
      </c>
      <c r="I786" s="15">
        <v>3634073</v>
      </c>
      <c r="J786" s="19">
        <f t="shared" si="57"/>
        <v>-1.2166859791425229</v>
      </c>
      <c r="K786" s="19">
        <f t="shared" si="58"/>
        <v>171.76199999999997</v>
      </c>
      <c r="L786" s="19">
        <f t="shared" si="59"/>
        <v>174.45400000000001</v>
      </c>
      <c r="M786" s="19">
        <f>MAX(G526:G786)</f>
        <v>187.59</v>
      </c>
      <c r="N786" s="19">
        <f t="shared" si="60"/>
        <v>-9.1102937256783427</v>
      </c>
      <c r="O786" s="9" t="str">
        <f t="shared" si="61"/>
        <v>2024-12</v>
      </c>
    </row>
    <row r="787" spans="1:15" x14ac:dyDescent="0.25">
      <c r="A787" s="9" t="s">
        <v>310</v>
      </c>
      <c r="B787" s="9" t="s">
        <v>311</v>
      </c>
      <c r="C787" s="25" t="s">
        <v>307</v>
      </c>
      <c r="D787" s="19">
        <v>170.5</v>
      </c>
      <c r="E787" s="19">
        <v>172.61</v>
      </c>
      <c r="F787" s="19">
        <v>169.43</v>
      </c>
      <c r="G787" s="19">
        <v>172.24</v>
      </c>
      <c r="H787" s="19">
        <v>172.24</v>
      </c>
      <c r="I787" s="15">
        <v>5702714</v>
      </c>
      <c r="J787" s="19">
        <f t="shared" si="57"/>
        <v>1.020527859237542</v>
      </c>
      <c r="K787" s="19">
        <f t="shared" si="58"/>
        <v>171.45650000000001</v>
      </c>
      <c r="L787" s="19">
        <f t="shared" si="59"/>
        <v>174.7894</v>
      </c>
      <c r="M787" s="19">
        <f>MAX(G526:G787)</f>
        <v>187.59</v>
      </c>
      <c r="N787" s="19">
        <f t="shared" si="60"/>
        <v>-8.1827389519697178</v>
      </c>
      <c r="O787" s="9" t="str">
        <f t="shared" si="61"/>
        <v>2024-12</v>
      </c>
    </row>
    <row r="788" spans="1:15" x14ac:dyDescent="0.25">
      <c r="A788" s="9" t="s">
        <v>312</v>
      </c>
      <c r="B788" s="9" t="s">
        <v>313</v>
      </c>
      <c r="C788" s="25" t="s">
        <v>46</v>
      </c>
      <c r="D788" s="19">
        <v>58</v>
      </c>
      <c r="E788" s="19">
        <v>58.46</v>
      </c>
      <c r="F788" s="19">
        <v>57.69</v>
      </c>
      <c r="G788" s="19">
        <v>58.45</v>
      </c>
      <c r="H788" s="19">
        <v>58.45</v>
      </c>
      <c r="I788" s="15">
        <v>4336691</v>
      </c>
      <c r="J788" s="19"/>
      <c r="K788" s="19"/>
      <c r="L788" s="19"/>
      <c r="M788" s="19">
        <f>MAX(G788:G788)</f>
        <v>58.45</v>
      </c>
      <c r="N788" s="19">
        <f t="shared" si="60"/>
        <v>0</v>
      </c>
      <c r="O788" s="9" t="str">
        <f t="shared" si="61"/>
        <v>2024-01</v>
      </c>
    </row>
    <row r="789" spans="1:15" x14ac:dyDescent="0.25">
      <c r="A789" s="9" t="s">
        <v>312</v>
      </c>
      <c r="B789" s="9" t="s">
        <v>313</v>
      </c>
      <c r="C789" s="25" t="s">
        <v>47</v>
      </c>
      <c r="D789" s="19">
        <v>58.45</v>
      </c>
      <c r="E789" s="19">
        <v>58.54</v>
      </c>
      <c r="F789" s="19">
        <v>57.42</v>
      </c>
      <c r="G789" s="19">
        <v>57.68</v>
      </c>
      <c r="H789" s="19">
        <v>57.68</v>
      </c>
      <c r="I789" s="15">
        <v>5241771</v>
      </c>
      <c r="J789" s="19">
        <f t="shared" ref="J789:J852" si="62">IFERROR((G789-G788)/G788*100,"")</f>
        <v>-1.3173652694610831</v>
      </c>
      <c r="K789" s="19"/>
      <c r="L789" s="19"/>
      <c r="M789" s="19">
        <f>MAX(G788:G789)</f>
        <v>58.45</v>
      </c>
      <c r="N789" s="19">
        <f t="shared" si="60"/>
        <v>-1.3173652694610831</v>
      </c>
      <c r="O789" s="9" t="str">
        <f t="shared" si="61"/>
        <v>2024-01</v>
      </c>
    </row>
    <row r="790" spans="1:15" x14ac:dyDescent="0.25">
      <c r="A790" s="9" t="s">
        <v>312</v>
      </c>
      <c r="B790" s="9" t="s">
        <v>313</v>
      </c>
      <c r="C790" s="25" t="s">
        <v>48</v>
      </c>
      <c r="D790" s="19">
        <v>57.68</v>
      </c>
      <c r="E790" s="19">
        <v>57.78</v>
      </c>
      <c r="F790" s="19">
        <v>57.53</v>
      </c>
      <c r="G790" s="19">
        <v>57.57</v>
      </c>
      <c r="H790" s="19">
        <v>57.57</v>
      </c>
      <c r="I790" s="15">
        <v>4899744</v>
      </c>
      <c r="J790" s="19">
        <f t="shared" si="62"/>
        <v>-0.19070735090152469</v>
      </c>
      <c r="K790" s="19"/>
      <c r="L790" s="19"/>
      <c r="M790" s="19">
        <f>MAX(G788:G790)</f>
        <v>58.45</v>
      </c>
      <c r="N790" s="19">
        <f t="shared" si="60"/>
        <v>-1.505560307955522</v>
      </c>
      <c r="O790" s="9" t="str">
        <f t="shared" si="61"/>
        <v>2024-01</v>
      </c>
    </row>
    <row r="791" spans="1:15" x14ac:dyDescent="0.25">
      <c r="A791" s="9" t="s">
        <v>312</v>
      </c>
      <c r="B791" s="9" t="s">
        <v>313</v>
      </c>
      <c r="C791" s="25" t="s">
        <v>49</v>
      </c>
      <c r="D791" s="19">
        <v>57.57</v>
      </c>
      <c r="E791" s="19">
        <v>58.02</v>
      </c>
      <c r="F791" s="19">
        <v>57.42</v>
      </c>
      <c r="G791" s="19">
        <v>57.88</v>
      </c>
      <c r="H791" s="19">
        <v>57.88</v>
      </c>
      <c r="I791" s="15">
        <v>4328040</v>
      </c>
      <c r="J791" s="19">
        <f t="shared" si="62"/>
        <v>0.53847490012159505</v>
      </c>
      <c r="K791" s="19"/>
      <c r="L791" s="19"/>
      <c r="M791" s="19">
        <f>MAX(G788:G791)</f>
        <v>58.45</v>
      </c>
      <c r="N791" s="19">
        <f t="shared" si="60"/>
        <v>-0.97519247219846061</v>
      </c>
      <c r="O791" s="9" t="str">
        <f t="shared" si="61"/>
        <v>2024-01</v>
      </c>
    </row>
    <row r="792" spans="1:15" x14ac:dyDescent="0.25">
      <c r="A792" s="9" t="s">
        <v>312</v>
      </c>
      <c r="B792" s="9" t="s">
        <v>313</v>
      </c>
      <c r="C792" s="25" t="s">
        <v>50</v>
      </c>
      <c r="D792" s="19">
        <v>57.88</v>
      </c>
      <c r="E792" s="19">
        <v>57.89</v>
      </c>
      <c r="F792" s="19">
        <v>57.16</v>
      </c>
      <c r="G792" s="19">
        <v>57.24</v>
      </c>
      <c r="H792" s="19">
        <v>57.24</v>
      </c>
      <c r="I792" s="15">
        <v>1641817</v>
      </c>
      <c r="J792" s="19">
        <f t="shared" si="62"/>
        <v>-1.1057360055286811</v>
      </c>
      <c r="K792" s="19"/>
      <c r="L792" s="19"/>
      <c r="M792" s="19">
        <f>MAX(G788:G792)</f>
        <v>58.45</v>
      </c>
      <c r="N792" s="19">
        <f t="shared" si="60"/>
        <v>-2.0701454234388383</v>
      </c>
      <c r="O792" s="9" t="str">
        <f t="shared" si="61"/>
        <v>2024-01</v>
      </c>
    </row>
    <row r="793" spans="1:15" x14ac:dyDescent="0.25">
      <c r="A793" s="9" t="s">
        <v>312</v>
      </c>
      <c r="B793" s="9" t="s">
        <v>313</v>
      </c>
      <c r="C793" s="25" t="s">
        <v>51</v>
      </c>
      <c r="D793" s="19">
        <v>57.24</v>
      </c>
      <c r="E793" s="19">
        <v>57.57</v>
      </c>
      <c r="F793" s="19">
        <v>57.13</v>
      </c>
      <c r="G793" s="19">
        <v>57.57</v>
      </c>
      <c r="H793" s="19">
        <v>57.57</v>
      </c>
      <c r="I793" s="15">
        <v>4270124</v>
      </c>
      <c r="J793" s="19">
        <f t="shared" si="62"/>
        <v>0.57651991614255471</v>
      </c>
      <c r="K793" s="19"/>
      <c r="L793" s="19"/>
      <c r="M793" s="19">
        <f>MAX(G788:G793)</f>
        <v>58.45</v>
      </c>
      <c r="N793" s="19">
        <f t="shared" si="60"/>
        <v>-1.505560307955522</v>
      </c>
      <c r="O793" s="9" t="str">
        <f t="shared" si="61"/>
        <v>2024-01</v>
      </c>
    </row>
    <row r="794" spans="1:15" x14ac:dyDescent="0.25">
      <c r="A794" s="9" t="s">
        <v>312</v>
      </c>
      <c r="B794" s="9" t="s">
        <v>313</v>
      </c>
      <c r="C794" s="25" t="s">
        <v>52</v>
      </c>
      <c r="D794" s="19">
        <v>57.57</v>
      </c>
      <c r="E794" s="19">
        <v>58.05</v>
      </c>
      <c r="F794" s="19">
        <v>57.53</v>
      </c>
      <c r="G794" s="19">
        <v>57.99</v>
      </c>
      <c r="H794" s="19">
        <v>57.99</v>
      </c>
      <c r="I794" s="15">
        <v>4329799</v>
      </c>
      <c r="J794" s="19">
        <f t="shared" si="62"/>
        <v>0.72954663887441673</v>
      </c>
      <c r="K794" s="19"/>
      <c r="L794" s="19"/>
      <c r="M794" s="19">
        <f>MAX(G788:G794)</f>
        <v>58.45</v>
      </c>
      <c r="N794" s="19">
        <f t="shared" si="60"/>
        <v>-0.78699743370402186</v>
      </c>
      <c r="O794" s="9" t="str">
        <f t="shared" si="61"/>
        <v>2024-01</v>
      </c>
    </row>
    <row r="795" spans="1:15" x14ac:dyDescent="0.25">
      <c r="A795" s="9" t="s">
        <v>312</v>
      </c>
      <c r="B795" s="9" t="s">
        <v>313</v>
      </c>
      <c r="C795" s="25" t="s">
        <v>53</v>
      </c>
      <c r="D795" s="19">
        <v>57.99</v>
      </c>
      <c r="E795" s="19">
        <v>58.58</v>
      </c>
      <c r="F795" s="19">
        <v>57.77</v>
      </c>
      <c r="G795" s="19">
        <v>58.52</v>
      </c>
      <c r="H795" s="19">
        <v>58.52</v>
      </c>
      <c r="I795" s="15">
        <v>4296013</v>
      </c>
      <c r="J795" s="19">
        <f t="shared" si="62"/>
        <v>0.91395068115192468</v>
      </c>
      <c r="K795" s="19"/>
      <c r="L795" s="19"/>
      <c r="M795" s="19">
        <f>MAX(G788:G795)</f>
        <v>58.52</v>
      </c>
      <c r="N795" s="19">
        <f t="shared" si="60"/>
        <v>0</v>
      </c>
      <c r="O795" s="9" t="str">
        <f t="shared" si="61"/>
        <v>2024-01</v>
      </c>
    </row>
    <row r="796" spans="1:15" x14ac:dyDescent="0.25">
      <c r="A796" s="9" t="s">
        <v>312</v>
      </c>
      <c r="B796" s="9" t="s">
        <v>313</v>
      </c>
      <c r="C796" s="25" t="s">
        <v>54</v>
      </c>
      <c r="D796" s="19">
        <v>58.52</v>
      </c>
      <c r="E796" s="19">
        <v>58.66</v>
      </c>
      <c r="F796" s="19">
        <v>58.15</v>
      </c>
      <c r="G796" s="19">
        <v>58.47</v>
      </c>
      <c r="H796" s="19">
        <v>58.47</v>
      </c>
      <c r="I796" s="15">
        <v>1760245</v>
      </c>
      <c r="J796" s="19">
        <f t="shared" si="62"/>
        <v>-8.5440874914566409E-2</v>
      </c>
      <c r="K796" s="19"/>
      <c r="L796" s="19"/>
      <c r="M796" s="19">
        <f>MAX(G788:G796)</f>
        <v>58.52</v>
      </c>
      <c r="N796" s="19">
        <f t="shared" si="60"/>
        <v>-8.5440874914566409E-2</v>
      </c>
      <c r="O796" s="9" t="str">
        <f t="shared" si="61"/>
        <v>2024-01</v>
      </c>
    </row>
    <row r="797" spans="1:15" x14ac:dyDescent="0.25">
      <c r="A797" s="9" t="s">
        <v>312</v>
      </c>
      <c r="B797" s="9" t="s">
        <v>313</v>
      </c>
      <c r="C797" s="25" t="s">
        <v>55</v>
      </c>
      <c r="D797" s="19">
        <v>58.47</v>
      </c>
      <c r="E797" s="19">
        <v>59.56</v>
      </c>
      <c r="F797" s="19">
        <v>58.06</v>
      </c>
      <c r="G797" s="19">
        <v>59.52</v>
      </c>
      <c r="H797" s="19">
        <v>59.52</v>
      </c>
      <c r="I797" s="15">
        <v>1879797</v>
      </c>
      <c r="J797" s="19">
        <f t="shared" si="62"/>
        <v>1.7957927142124237</v>
      </c>
      <c r="K797" s="19"/>
      <c r="L797" s="19"/>
      <c r="M797" s="19">
        <f>MAX(G788:G797)</f>
        <v>59.52</v>
      </c>
      <c r="N797" s="19">
        <f t="shared" si="60"/>
        <v>0</v>
      </c>
      <c r="O797" s="9" t="str">
        <f t="shared" si="61"/>
        <v>2024-01</v>
      </c>
    </row>
    <row r="798" spans="1:15" x14ac:dyDescent="0.25">
      <c r="A798" s="9" t="s">
        <v>312</v>
      </c>
      <c r="B798" s="9" t="s">
        <v>313</v>
      </c>
      <c r="C798" s="25" t="s">
        <v>56</v>
      </c>
      <c r="D798" s="19">
        <v>59.52</v>
      </c>
      <c r="E798" s="19">
        <v>59.83</v>
      </c>
      <c r="F798" s="19">
        <v>59.04</v>
      </c>
      <c r="G798" s="19">
        <v>59.55</v>
      </c>
      <c r="H798" s="19">
        <v>59.55</v>
      </c>
      <c r="I798" s="15">
        <v>3672049</v>
      </c>
      <c r="J798" s="19">
        <f t="shared" si="62"/>
        <v>5.0403225806441583E-2</v>
      </c>
      <c r="K798" s="19"/>
      <c r="L798" s="19"/>
      <c r="M798" s="19">
        <f>MAX(G788:G798)</f>
        <v>59.55</v>
      </c>
      <c r="N798" s="19">
        <f t="shared" si="60"/>
        <v>0</v>
      </c>
      <c r="O798" s="9" t="str">
        <f t="shared" si="61"/>
        <v>2024-01</v>
      </c>
    </row>
    <row r="799" spans="1:15" x14ac:dyDescent="0.25">
      <c r="A799" s="9" t="s">
        <v>312</v>
      </c>
      <c r="B799" s="9" t="s">
        <v>313</v>
      </c>
      <c r="C799" s="25" t="s">
        <v>57</v>
      </c>
      <c r="D799" s="19">
        <v>59.55</v>
      </c>
      <c r="E799" s="19">
        <v>59.6</v>
      </c>
      <c r="F799" s="19">
        <v>58.81</v>
      </c>
      <c r="G799" s="19">
        <v>59.37</v>
      </c>
      <c r="H799" s="19">
        <v>59.37</v>
      </c>
      <c r="I799" s="15">
        <v>2776075</v>
      </c>
      <c r="J799" s="19">
        <f t="shared" si="62"/>
        <v>-0.30226700251889127</v>
      </c>
      <c r="K799" s="19"/>
      <c r="L799" s="19"/>
      <c r="M799" s="19">
        <f>MAX(G788:G799)</f>
        <v>59.55</v>
      </c>
      <c r="N799" s="19">
        <f t="shared" si="60"/>
        <v>-0.30226700251889127</v>
      </c>
      <c r="O799" s="9" t="str">
        <f t="shared" si="61"/>
        <v>2024-01</v>
      </c>
    </row>
    <row r="800" spans="1:15" x14ac:dyDescent="0.25">
      <c r="A800" s="9" t="s">
        <v>312</v>
      </c>
      <c r="B800" s="9" t="s">
        <v>313</v>
      </c>
      <c r="C800" s="25" t="s">
        <v>58</v>
      </c>
      <c r="D800" s="19">
        <v>59.37</v>
      </c>
      <c r="E800" s="19">
        <v>59.45</v>
      </c>
      <c r="F800" s="19">
        <v>58.83</v>
      </c>
      <c r="G800" s="19">
        <v>59.09</v>
      </c>
      <c r="H800" s="19">
        <v>59.09</v>
      </c>
      <c r="I800" s="15">
        <v>3109435</v>
      </c>
      <c r="J800" s="19">
        <f t="shared" si="62"/>
        <v>-0.47161866262421093</v>
      </c>
      <c r="K800" s="19"/>
      <c r="L800" s="19"/>
      <c r="M800" s="19">
        <f>MAX(G788:G800)</f>
        <v>59.55</v>
      </c>
      <c r="N800" s="19">
        <f t="shared" si="60"/>
        <v>-0.77246011754826838</v>
      </c>
      <c r="O800" s="9" t="str">
        <f t="shared" si="61"/>
        <v>2024-01</v>
      </c>
    </row>
    <row r="801" spans="1:15" x14ac:dyDescent="0.25">
      <c r="A801" s="9" t="s">
        <v>312</v>
      </c>
      <c r="B801" s="9" t="s">
        <v>313</v>
      </c>
      <c r="C801" s="25" t="s">
        <v>59</v>
      </c>
      <c r="D801" s="19">
        <v>59.09</v>
      </c>
      <c r="E801" s="19">
        <v>59.2</v>
      </c>
      <c r="F801" s="19">
        <v>59.03</v>
      </c>
      <c r="G801" s="19">
        <v>59.17</v>
      </c>
      <c r="H801" s="19">
        <v>59.17</v>
      </c>
      <c r="I801" s="15">
        <v>2890016</v>
      </c>
      <c r="J801" s="19">
        <f t="shared" si="62"/>
        <v>0.13538669825689337</v>
      </c>
      <c r="K801" s="19"/>
      <c r="L801" s="19"/>
      <c r="M801" s="19">
        <f>MAX(G788:G801)</f>
        <v>59.55</v>
      </c>
      <c r="N801" s="19">
        <f t="shared" si="60"/>
        <v>-0.63811922753987493</v>
      </c>
      <c r="O801" s="9" t="str">
        <f t="shared" si="61"/>
        <v>2024-01</v>
      </c>
    </row>
    <row r="802" spans="1:15" x14ac:dyDescent="0.25">
      <c r="A802" s="9" t="s">
        <v>312</v>
      </c>
      <c r="B802" s="9" t="s">
        <v>313</v>
      </c>
      <c r="C802" s="25" t="s">
        <v>60</v>
      </c>
      <c r="D802" s="19">
        <v>59.17</v>
      </c>
      <c r="E802" s="19">
        <v>59.31</v>
      </c>
      <c r="F802" s="19">
        <v>58.72</v>
      </c>
      <c r="G802" s="19">
        <v>58.87</v>
      </c>
      <c r="H802" s="19">
        <v>58.87</v>
      </c>
      <c r="I802" s="15">
        <v>4312449</v>
      </c>
      <c r="J802" s="19">
        <f t="shared" si="62"/>
        <v>-0.5070136893696201</v>
      </c>
      <c r="K802" s="19"/>
      <c r="L802" s="19"/>
      <c r="M802" s="19">
        <f>MAX(G788:G802)</f>
        <v>59.55</v>
      </c>
      <c r="N802" s="19">
        <f t="shared" si="60"/>
        <v>-1.1418975650713683</v>
      </c>
      <c r="O802" s="9" t="str">
        <f t="shared" si="61"/>
        <v>2024-01</v>
      </c>
    </row>
    <row r="803" spans="1:15" x14ac:dyDescent="0.25">
      <c r="A803" s="9" t="s">
        <v>312</v>
      </c>
      <c r="B803" s="9" t="s">
        <v>313</v>
      </c>
      <c r="C803" s="25" t="s">
        <v>61</v>
      </c>
      <c r="D803" s="19">
        <v>58.87</v>
      </c>
      <c r="E803" s="19">
        <v>59.16</v>
      </c>
      <c r="F803" s="19">
        <v>58.87</v>
      </c>
      <c r="G803" s="19">
        <v>59.16</v>
      </c>
      <c r="H803" s="19">
        <v>59.16</v>
      </c>
      <c r="I803" s="15">
        <v>5346011</v>
      </c>
      <c r="J803" s="19">
        <f t="shared" si="62"/>
        <v>0.49261083743842216</v>
      </c>
      <c r="K803" s="19"/>
      <c r="L803" s="19"/>
      <c r="M803" s="19">
        <f>MAX(G788:G803)</f>
        <v>59.55</v>
      </c>
      <c r="N803" s="19">
        <f t="shared" si="60"/>
        <v>-0.65491183879093307</v>
      </c>
      <c r="O803" s="9" t="str">
        <f t="shared" si="61"/>
        <v>2024-01</v>
      </c>
    </row>
    <row r="804" spans="1:15" x14ac:dyDescent="0.25">
      <c r="A804" s="9" t="s">
        <v>312</v>
      </c>
      <c r="B804" s="9" t="s">
        <v>313</v>
      </c>
      <c r="C804" s="25" t="s">
        <v>62</v>
      </c>
      <c r="D804" s="19">
        <v>59.16</v>
      </c>
      <c r="E804" s="19">
        <v>59.27</v>
      </c>
      <c r="F804" s="19">
        <v>58.71</v>
      </c>
      <c r="G804" s="19">
        <v>58.97</v>
      </c>
      <c r="H804" s="19">
        <v>58.97</v>
      </c>
      <c r="I804" s="15">
        <v>3704698</v>
      </c>
      <c r="J804" s="19">
        <f t="shared" si="62"/>
        <v>-0.32116294793779199</v>
      </c>
      <c r="K804" s="19"/>
      <c r="L804" s="19"/>
      <c r="M804" s="19">
        <f>MAX(G788:G804)</f>
        <v>59.55</v>
      </c>
      <c r="N804" s="19">
        <f t="shared" si="60"/>
        <v>-0.97397145256087037</v>
      </c>
      <c r="O804" s="9" t="str">
        <f t="shared" si="61"/>
        <v>2024-01</v>
      </c>
    </row>
    <row r="805" spans="1:15" x14ac:dyDescent="0.25">
      <c r="A805" s="9" t="s">
        <v>312</v>
      </c>
      <c r="B805" s="9" t="s">
        <v>313</v>
      </c>
      <c r="C805" s="25" t="s">
        <v>63</v>
      </c>
      <c r="D805" s="19">
        <v>58.97</v>
      </c>
      <c r="E805" s="19">
        <v>58.98</v>
      </c>
      <c r="F805" s="19">
        <v>58.74</v>
      </c>
      <c r="G805" s="19">
        <v>58.79</v>
      </c>
      <c r="H805" s="19">
        <v>58.79</v>
      </c>
      <c r="I805" s="15">
        <v>3219935</v>
      </c>
      <c r="J805" s="19">
        <f t="shared" si="62"/>
        <v>-0.30523995251822911</v>
      </c>
      <c r="K805" s="19"/>
      <c r="L805" s="19"/>
      <c r="M805" s="19">
        <f>MAX(G788:G805)</f>
        <v>59.55</v>
      </c>
      <c r="N805" s="19">
        <f t="shared" si="60"/>
        <v>-1.2762384550797616</v>
      </c>
      <c r="O805" s="9" t="str">
        <f t="shared" si="61"/>
        <v>2024-01</v>
      </c>
    </row>
    <row r="806" spans="1:15" x14ac:dyDescent="0.25">
      <c r="A806" s="9" t="s">
        <v>312</v>
      </c>
      <c r="B806" s="9" t="s">
        <v>313</v>
      </c>
      <c r="C806" s="25" t="s">
        <v>64</v>
      </c>
      <c r="D806" s="19">
        <v>58.79</v>
      </c>
      <c r="E806" s="19">
        <v>58.86</v>
      </c>
      <c r="F806" s="19">
        <v>58.43</v>
      </c>
      <c r="G806" s="19">
        <v>58.59</v>
      </c>
      <c r="H806" s="19">
        <v>58.59</v>
      </c>
      <c r="I806" s="15">
        <v>5010081</v>
      </c>
      <c r="J806" s="19">
        <f t="shared" si="62"/>
        <v>-0.34019391052899428</v>
      </c>
      <c r="K806" s="19"/>
      <c r="L806" s="19"/>
      <c r="M806" s="19">
        <f>MAX(G788:G806)</f>
        <v>59.55</v>
      </c>
      <c r="N806" s="19">
        <f t="shared" si="60"/>
        <v>-1.6120906801007453</v>
      </c>
      <c r="O806" s="9" t="str">
        <f t="shared" si="61"/>
        <v>2024-01</v>
      </c>
    </row>
    <row r="807" spans="1:15" x14ac:dyDescent="0.25">
      <c r="A807" s="9" t="s">
        <v>312</v>
      </c>
      <c r="B807" s="9" t="s">
        <v>313</v>
      </c>
      <c r="C807" s="25" t="s">
        <v>65</v>
      </c>
      <c r="D807" s="19">
        <v>58.59</v>
      </c>
      <c r="E807" s="19">
        <v>58.82</v>
      </c>
      <c r="F807" s="19">
        <v>58.12</v>
      </c>
      <c r="G807" s="19">
        <v>58.36</v>
      </c>
      <c r="H807" s="19">
        <v>58.36</v>
      </c>
      <c r="I807" s="15">
        <v>4255175</v>
      </c>
      <c r="J807" s="19">
        <f t="shared" si="62"/>
        <v>-0.39255845707459291</v>
      </c>
      <c r="K807" s="19">
        <f t="shared" ref="K807:K870" si="63">AVERAGE(G788:G807)</f>
        <v>58.540499999999987</v>
      </c>
      <c r="L807" s="19"/>
      <c r="M807" s="19">
        <f>MAX(G788:G807)</f>
        <v>59.55</v>
      </c>
      <c r="N807" s="19">
        <f t="shared" si="60"/>
        <v>-1.9983207388748914</v>
      </c>
      <c r="O807" s="9" t="str">
        <f t="shared" si="61"/>
        <v>2024-01</v>
      </c>
    </row>
    <row r="808" spans="1:15" x14ac:dyDescent="0.25">
      <c r="A808" s="9" t="s">
        <v>312</v>
      </c>
      <c r="B808" s="9" t="s">
        <v>313</v>
      </c>
      <c r="C808" s="25" t="s">
        <v>66</v>
      </c>
      <c r="D808" s="19">
        <v>58.36</v>
      </c>
      <c r="E808" s="19">
        <v>58.43</v>
      </c>
      <c r="F808" s="19">
        <v>57.27</v>
      </c>
      <c r="G808" s="19">
        <v>57.47</v>
      </c>
      <c r="H808" s="19">
        <v>57.47</v>
      </c>
      <c r="I808" s="15">
        <v>3413135</v>
      </c>
      <c r="J808" s="19">
        <f t="shared" si="62"/>
        <v>-1.5250171350239898</v>
      </c>
      <c r="K808" s="19">
        <f t="shared" si="63"/>
        <v>58.491499999999988</v>
      </c>
      <c r="L808" s="19"/>
      <c r="M808" s="19">
        <f>MAX(G788:G808)</f>
        <v>59.55</v>
      </c>
      <c r="N808" s="19">
        <f t="shared" si="60"/>
        <v>-3.4928631402183012</v>
      </c>
      <c r="O808" s="9" t="str">
        <f t="shared" si="61"/>
        <v>2024-01</v>
      </c>
    </row>
    <row r="809" spans="1:15" x14ac:dyDescent="0.25">
      <c r="A809" s="9" t="s">
        <v>312</v>
      </c>
      <c r="B809" s="9" t="s">
        <v>313</v>
      </c>
      <c r="C809" s="25" t="s">
        <v>67</v>
      </c>
      <c r="D809" s="19">
        <v>57.47</v>
      </c>
      <c r="E809" s="19">
        <v>58.46</v>
      </c>
      <c r="F809" s="19">
        <v>57.16</v>
      </c>
      <c r="G809" s="19">
        <v>58.34</v>
      </c>
      <c r="H809" s="19">
        <v>58.34</v>
      </c>
      <c r="I809" s="15">
        <v>5940552</v>
      </c>
      <c r="J809" s="19">
        <f t="shared" si="62"/>
        <v>1.5138333043327032</v>
      </c>
      <c r="K809" s="19">
        <f t="shared" si="63"/>
        <v>58.524499999999989</v>
      </c>
      <c r="L809" s="19"/>
      <c r="M809" s="19">
        <f>MAX(G788:G809)</f>
        <v>59.55</v>
      </c>
      <c r="N809" s="19">
        <f t="shared" si="60"/>
        <v>-2.0319059613769839</v>
      </c>
      <c r="O809" s="9" t="str">
        <f t="shared" si="61"/>
        <v>2024-01</v>
      </c>
    </row>
    <row r="810" spans="1:15" x14ac:dyDescent="0.25">
      <c r="A810" s="9" t="s">
        <v>312</v>
      </c>
      <c r="B810" s="9" t="s">
        <v>313</v>
      </c>
      <c r="C810" s="25" t="s">
        <v>68</v>
      </c>
      <c r="D810" s="19">
        <v>58.34</v>
      </c>
      <c r="E810" s="19">
        <v>58.68</v>
      </c>
      <c r="F810" s="19">
        <v>57.84</v>
      </c>
      <c r="G810" s="19">
        <v>58.13</v>
      </c>
      <c r="H810" s="19">
        <v>58.13</v>
      </c>
      <c r="I810" s="15">
        <v>4081616</v>
      </c>
      <c r="J810" s="19">
        <f t="shared" si="62"/>
        <v>-0.3599588618443621</v>
      </c>
      <c r="K810" s="19">
        <f t="shared" si="63"/>
        <v>58.552499999999995</v>
      </c>
      <c r="L810" s="19"/>
      <c r="M810" s="19">
        <f>MAX(G788:G810)</f>
        <v>59.55</v>
      </c>
      <c r="N810" s="19">
        <f t="shared" si="60"/>
        <v>-2.3845507976490254</v>
      </c>
      <c r="O810" s="9" t="str">
        <f t="shared" si="61"/>
        <v>2024-01</v>
      </c>
    </row>
    <row r="811" spans="1:15" x14ac:dyDescent="0.25">
      <c r="A811" s="9" t="s">
        <v>312</v>
      </c>
      <c r="B811" s="9" t="s">
        <v>313</v>
      </c>
      <c r="C811" s="25" t="s">
        <v>69</v>
      </c>
      <c r="D811" s="19">
        <v>58.13</v>
      </c>
      <c r="E811" s="19">
        <v>58.44</v>
      </c>
      <c r="F811" s="19">
        <v>57.36</v>
      </c>
      <c r="G811" s="19">
        <v>57.49</v>
      </c>
      <c r="H811" s="19">
        <v>57.49</v>
      </c>
      <c r="I811" s="15">
        <v>4234088</v>
      </c>
      <c r="J811" s="19">
        <f t="shared" si="62"/>
        <v>-1.100980560811974</v>
      </c>
      <c r="K811" s="19">
        <f t="shared" si="63"/>
        <v>58.533000000000001</v>
      </c>
      <c r="L811" s="19"/>
      <c r="M811" s="19">
        <f>MAX(G788:G811)</f>
        <v>59.55</v>
      </c>
      <c r="N811" s="19">
        <f t="shared" si="60"/>
        <v>-3.459277917716197</v>
      </c>
      <c r="O811" s="9" t="str">
        <f t="shared" si="61"/>
        <v>2024-02</v>
      </c>
    </row>
    <row r="812" spans="1:15" x14ac:dyDescent="0.25">
      <c r="A812" s="9" t="s">
        <v>312</v>
      </c>
      <c r="B812" s="9" t="s">
        <v>313</v>
      </c>
      <c r="C812" s="25" t="s">
        <v>70</v>
      </c>
      <c r="D812" s="19">
        <v>57.49</v>
      </c>
      <c r="E812" s="19">
        <v>57.96</v>
      </c>
      <c r="F812" s="19">
        <v>57.4</v>
      </c>
      <c r="G812" s="19">
        <v>57.73</v>
      </c>
      <c r="H812" s="19">
        <v>57.73</v>
      </c>
      <c r="I812" s="15">
        <v>5713147</v>
      </c>
      <c r="J812" s="19">
        <f t="shared" si="62"/>
        <v>0.41746390676638528</v>
      </c>
      <c r="K812" s="19">
        <f t="shared" si="63"/>
        <v>58.557500000000005</v>
      </c>
      <c r="L812" s="19"/>
      <c r="M812" s="19">
        <f>MAX(G788:G812)</f>
        <v>59.55</v>
      </c>
      <c r="N812" s="19">
        <f t="shared" si="60"/>
        <v>-3.0562552476910168</v>
      </c>
      <c r="O812" s="9" t="str">
        <f t="shared" si="61"/>
        <v>2024-02</v>
      </c>
    </row>
    <row r="813" spans="1:15" x14ac:dyDescent="0.25">
      <c r="A813" s="9" t="s">
        <v>312</v>
      </c>
      <c r="B813" s="9" t="s">
        <v>313</v>
      </c>
      <c r="C813" s="25" t="s">
        <v>71</v>
      </c>
      <c r="D813" s="19">
        <v>57.73</v>
      </c>
      <c r="E813" s="19">
        <v>57.77</v>
      </c>
      <c r="F813" s="19">
        <v>52.77</v>
      </c>
      <c r="G813" s="19">
        <v>52.89</v>
      </c>
      <c r="H813" s="19">
        <v>52.89</v>
      </c>
      <c r="I813" s="15">
        <v>8893128</v>
      </c>
      <c r="J813" s="19">
        <f t="shared" si="62"/>
        <v>-8.3838558808245214</v>
      </c>
      <c r="K813" s="19">
        <f t="shared" si="63"/>
        <v>58.323500000000003</v>
      </c>
      <c r="L813" s="19"/>
      <c r="M813" s="19">
        <f>MAX(G788:G813)</f>
        <v>59.55</v>
      </c>
      <c r="N813" s="19">
        <f t="shared" si="60"/>
        <v>-11.183879093198987</v>
      </c>
      <c r="O813" s="9" t="str">
        <f t="shared" si="61"/>
        <v>2024-02</v>
      </c>
    </row>
    <row r="814" spans="1:15" x14ac:dyDescent="0.25">
      <c r="A814" s="9" t="s">
        <v>312</v>
      </c>
      <c r="B814" s="9" t="s">
        <v>313</v>
      </c>
      <c r="C814" s="25" t="s">
        <v>72</v>
      </c>
      <c r="D814" s="19">
        <v>52.89</v>
      </c>
      <c r="E814" s="19">
        <v>53.14</v>
      </c>
      <c r="F814" s="19">
        <v>52.28</v>
      </c>
      <c r="G814" s="19">
        <v>52.56</v>
      </c>
      <c r="H814" s="19">
        <v>52.56</v>
      </c>
      <c r="I814" s="15">
        <v>3562655</v>
      </c>
      <c r="J814" s="19">
        <f t="shared" si="62"/>
        <v>-0.62393647192285551</v>
      </c>
      <c r="K814" s="19">
        <f t="shared" si="63"/>
        <v>58.052000000000007</v>
      </c>
      <c r="L814" s="19"/>
      <c r="M814" s="19">
        <f>MAX(G788:G814)</f>
        <v>59.55</v>
      </c>
      <c r="N814" s="19">
        <f t="shared" si="60"/>
        <v>-11.738035264483619</v>
      </c>
      <c r="O814" s="9" t="str">
        <f t="shared" si="61"/>
        <v>2024-02</v>
      </c>
    </row>
    <row r="815" spans="1:15" x14ac:dyDescent="0.25">
      <c r="A815" s="9" t="s">
        <v>312</v>
      </c>
      <c r="B815" s="9" t="s">
        <v>313</v>
      </c>
      <c r="C815" s="25" t="s">
        <v>73</v>
      </c>
      <c r="D815" s="19">
        <v>52.56</v>
      </c>
      <c r="E815" s="19">
        <v>54.06</v>
      </c>
      <c r="F815" s="19">
        <v>52.22</v>
      </c>
      <c r="G815" s="19">
        <v>53.61</v>
      </c>
      <c r="H815" s="19">
        <v>53.61</v>
      </c>
      <c r="I815" s="15">
        <v>2282374</v>
      </c>
      <c r="J815" s="19">
        <f t="shared" si="62"/>
        <v>1.9977168949771633</v>
      </c>
      <c r="K815" s="19">
        <f t="shared" si="63"/>
        <v>57.806500000000007</v>
      </c>
      <c r="L815" s="19"/>
      <c r="M815" s="19">
        <f>MAX(G788:G815)</f>
        <v>59.55</v>
      </c>
      <c r="N815" s="19">
        <f t="shared" si="60"/>
        <v>-9.9748110831234218</v>
      </c>
      <c r="O815" s="9" t="str">
        <f t="shared" si="61"/>
        <v>2024-02</v>
      </c>
    </row>
    <row r="816" spans="1:15" x14ac:dyDescent="0.25">
      <c r="A816" s="9" t="s">
        <v>312</v>
      </c>
      <c r="B816" s="9" t="s">
        <v>313</v>
      </c>
      <c r="C816" s="25" t="s">
        <v>74</v>
      </c>
      <c r="D816" s="19">
        <v>53.61</v>
      </c>
      <c r="E816" s="19">
        <v>53.96</v>
      </c>
      <c r="F816" s="19">
        <v>52.99</v>
      </c>
      <c r="G816" s="19">
        <v>53.01</v>
      </c>
      <c r="H816" s="19">
        <v>53.01</v>
      </c>
      <c r="I816" s="15">
        <v>4854627</v>
      </c>
      <c r="J816" s="19">
        <f t="shared" si="62"/>
        <v>-1.1191941801902658</v>
      </c>
      <c r="K816" s="19">
        <f t="shared" si="63"/>
        <v>57.533500000000004</v>
      </c>
      <c r="L816" s="19"/>
      <c r="M816" s="19">
        <f>MAX(G788:G816)</f>
        <v>59.55</v>
      </c>
      <c r="N816" s="19">
        <f t="shared" si="60"/>
        <v>-10.982367758186397</v>
      </c>
      <c r="O816" s="9" t="str">
        <f t="shared" si="61"/>
        <v>2024-02</v>
      </c>
    </row>
    <row r="817" spans="1:15" x14ac:dyDescent="0.25">
      <c r="A817" s="9" t="s">
        <v>312</v>
      </c>
      <c r="B817" s="9" t="s">
        <v>313</v>
      </c>
      <c r="C817" s="25" t="s">
        <v>75</v>
      </c>
      <c r="D817" s="19">
        <v>53.01</v>
      </c>
      <c r="E817" s="19">
        <v>53.04</v>
      </c>
      <c r="F817" s="19">
        <v>52.82</v>
      </c>
      <c r="G817" s="19">
        <v>52.91</v>
      </c>
      <c r="H817" s="19">
        <v>52.91</v>
      </c>
      <c r="I817" s="15">
        <v>4002153</v>
      </c>
      <c r="J817" s="19">
        <f t="shared" si="62"/>
        <v>-0.18864365214110815</v>
      </c>
      <c r="K817" s="19">
        <f t="shared" si="63"/>
        <v>57.20300000000001</v>
      </c>
      <c r="L817" s="19"/>
      <c r="M817" s="19">
        <f>MAX(G788:G817)</f>
        <v>59.55</v>
      </c>
      <c r="N817" s="19">
        <f t="shared" si="60"/>
        <v>-11.150293870696895</v>
      </c>
      <c r="O817" s="9" t="str">
        <f t="shared" si="61"/>
        <v>2024-02</v>
      </c>
    </row>
    <row r="818" spans="1:15" x14ac:dyDescent="0.25">
      <c r="A818" s="9" t="s">
        <v>312</v>
      </c>
      <c r="B818" s="9" t="s">
        <v>313</v>
      </c>
      <c r="C818" s="25" t="s">
        <v>76</v>
      </c>
      <c r="D818" s="19">
        <v>52.91</v>
      </c>
      <c r="E818" s="19">
        <v>53.33</v>
      </c>
      <c r="F818" s="19">
        <v>52.88</v>
      </c>
      <c r="G818" s="19">
        <v>52.97</v>
      </c>
      <c r="H818" s="19">
        <v>52.97</v>
      </c>
      <c r="I818" s="15">
        <v>1923392</v>
      </c>
      <c r="J818" s="19">
        <f t="shared" si="62"/>
        <v>0.1134001134001177</v>
      </c>
      <c r="K818" s="19">
        <f t="shared" si="63"/>
        <v>56.874000000000009</v>
      </c>
      <c r="L818" s="19"/>
      <c r="M818" s="19">
        <f>MAX(G788:G818)</f>
        <v>59.55</v>
      </c>
      <c r="N818" s="19">
        <f t="shared" si="60"/>
        <v>-11.049538203190593</v>
      </c>
      <c r="O818" s="9" t="str">
        <f t="shared" si="61"/>
        <v>2024-02</v>
      </c>
    </row>
    <row r="819" spans="1:15" x14ac:dyDescent="0.25">
      <c r="A819" s="9" t="s">
        <v>312</v>
      </c>
      <c r="B819" s="9" t="s">
        <v>313</v>
      </c>
      <c r="C819" s="25" t="s">
        <v>77</v>
      </c>
      <c r="D819" s="19">
        <v>52.97</v>
      </c>
      <c r="E819" s="19">
        <v>53.37</v>
      </c>
      <c r="F819" s="19">
        <v>52.82</v>
      </c>
      <c r="G819" s="19">
        <v>53.34</v>
      </c>
      <c r="H819" s="19">
        <v>53.34</v>
      </c>
      <c r="I819" s="15">
        <v>3831335</v>
      </c>
      <c r="J819" s="19">
        <f t="shared" si="62"/>
        <v>0.69850858976780172</v>
      </c>
      <c r="K819" s="19">
        <f t="shared" si="63"/>
        <v>56.572500000000005</v>
      </c>
      <c r="L819" s="19"/>
      <c r="M819" s="19">
        <f>MAX(G788:G819)</f>
        <v>59.55</v>
      </c>
      <c r="N819" s="19">
        <f t="shared" si="60"/>
        <v>-10.428211586901753</v>
      </c>
      <c r="O819" s="9" t="str">
        <f t="shared" si="61"/>
        <v>2024-02</v>
      </c>
    </row>
    <row r="820" spans="1:15" x14ac:dyDescent="0.25">
      <c r="A820" s="9" t="s">
        <v>312</v>
      </c>
      <c r="B820" s="9" t="s">
        <v>313</v>
      </c>
      <c r="C820" s="25" t="s">
        <v>78</v>
      </c>
      <c r="D820" s="19">
        <v>53.34</v>
      </c>
      <c r="E820" s="19">
        <v>53.47</v>
      </c>
      <c r="F820" s="19">
        <v>52.91</v>
      </c>
      <c r="G820" s="19">
        <v>53.05</v>
      </c>
      <c r="H820" s="19">
        <v>53.05</v>
      </c>
      <c r="I820" s="15">
        <v>6260801</v>
      </c>
      <c r="J820" s="19">
        <f t="shared" si="62"/>
        <v>-0.54368203974504359</v>
      </c>
      <c r="K820" s="19">
        <f t="shared" si="63"/>
        <v>56.270499999999991</v>
      </c>
      <c r="L820" s="19"/>
      <c r="M820" s="19">
        <f>MAX(G788:G820)</f>
        <v>59.55</v>
      </c>
      <c r="N820" s="19">
        <f t="shared" si="60"/>
        <v>-10.915197313182199</v>
      </c>
      <c r="O820" s="9" t="str">
        <f t="shared" si="61"/>
        <v>2024-02</v>
      </c>
    </row>
    <row r="821" spans="1:15" x14ac:dyDescent="0.25">
      <c r="A821" s="9" t="s">
        <v>312</v>
      </c>
      <c r="B821" s="9" t="s">
        <v>313</v>
      </c>
      <c r="C821" s="25" t="s">
        <v>79</v>
      </c>
      <c r="D821" s="19">
        <v>53.05</v>
      </c>
      <c r="E821" s="19">
        <v>53.56</v>
      </c>
      <c r="F821" s="19">
        <v>53.05</v>
      </c>
      <c r="G821" s="19">
        <v>53.39</v>
      </c>
      <c r="H821" s="19">
        <v>53.39</v>
      </c>
      <c r="I821" s="15">
        <v>4380342</v>
      </c>
      <c r="J821" s="19">
        <f t="shared" si="62"/>
        <v>0.64090480678605732</v>
      </c>
      <c r="K821" s="19">
        <f t="shared" si="63"/>
        <v>55.981500000000018</v>
      </c>
      <c r="L821" s="19"/>
      <c r="M821" s="19">
        <f>MAX(G788:G821)</f>
        <v>59.55</v>
      </c>
      <c r="N821" s="19">
        <f t="shared" si="60"/>
        <v>-10.34424853064651</v>
      </c>
      <c r="O821" s="9" t="str">
        <f t="shared" si="61"/>
        <v>2024-02</v>
      </c>
    </row>
    <row r="822" spans="1:15" x14ac:dyDescent="0.25">
      <c r="A822" s="9" t="s">
        <v>312</v>
      </c>
      <c r="B822" s="9" t="s">
        <v>313</v>
      </c>
      <c r="C822" s="25" t="s">
        <v>80</v>
      </c>
      <c r="D822" s="19">
        <v>53.39</v>
      </c>
      <c r="E822" s="19">
        <v>53.94</v>
      </c>
      <c r="F822" s="19">
        <v>53.22</v>
      </c>
      <c r="G822" s="19">
        <v>53.79</v>
      </c>
      <c r="H822" s="19">
        <v>53.79</v>
      </c>
      <c r="I822" s="15">
        <v>5959875</v>
      </c>
      <c r="J822" s="19">
        <f t="shared" si="62"/>
        <v>0.74920397078104251</v>
      </c>
      <c r="K822" s="19">
        <f t="shared" si="63"/>
        <v>55.727499999999999</v>
      </c>
      <c r="L822" s="19"/>
      <c r="M822" s="19">
        <f>MAX(G788:G822)</f>
        <v>59.55</v>
      </c>
      <c r="N822" s="19">
        <f t="shared" si="60"/>
        <v>-9.6725440806045313</v>
      </c>
      <c r="O822" s="9" t="str">
        <f t="shared" si="61"/>
        <v>2024-02</v>
      </c>
    </row>
    <row r="823" spans="1:15" x14ac:dyDescent="0.25">
      <c r="A823" s="9" t="s">
        <v>312</v>
      </c>
      <c r="B823" s="9" t="s">
        <v>313</v>
      </c>
      <c r="C823" s="25" t="s">
        <v>81</v>
      </c>
      <c r="D823" s="19">
        <v>53.79</v>
      </c>
      <c r="E823" s="19">
        <v>53.92</v>
      </c>
      <c r="F823" s="19">
        <v>52.47</v>
      </c>
      <c r="G823" s="19">
        <v>52.75</v>
      </c>
      <c r="H823" s="19">
        <v>52.75</v>
      </c>
      <c r="I823" s="15">
        <v>4855919</v>
      </c>
      <c r="J823" s="19">
        <f t="shared" si="62"/>
        <v>-1.9334448782301525</v>
      </c>
      <c r="K823" s="19">
        <f t="shared" si="63"/>
        <v>55.406999999999996</v>
      </c>
      <c r="L823" s="19"/>
      <c r="M823" s="19">
        <f>MAX(G788:G823)</f>
        <v>59.55</v>
      </c>
      <c r="N823" s="19">
        <f t="shared" si="60"/>
        <v>-11.418975650713682</v>
      </c>
      <c r="O823" s="9" t="str">
        <f t="shared" si="61"/>
        <v>2024-02</v>
      </c>
    </row>
    <row r="824" spans="1:15" x14ac:dyDescent="0.25">
      <c r="A824" s="9" t="s">
        <v>312</v>
      </c>
      <c r="B824" s="9" t="s">
        <v>313</v>
      </c>
      <c r="C824" s="25" t="s">
        <v>82</v>
      </c>
      <c r="D824" s="19">
        <v>52.75</v>
      </c>
      <c r="E824" s="19">
        <v>52.88</v>
      </c>
      <c r="F824" s="19">
        <v>52.25</v>
      </c>
      <c r="G824" s="19">
        <v>52.28</v>
      </c>
      <c r="H824" s="19">
        <v>52.28</v>
      </c>
      <c r="I824" s="15">
        <v>5750417</v>
      </c>
      <c r="J824" s="19">
        <f t="shared" si="62"/>
        <v>-0.89099526066350498</v>
      </c>
      <c r="K824" s="19">
        <f t="shared" si="63"/>
        <v>55.072500000000005</v>
      </c>
      <c r="L824" s="19"/>
      <c r="M824" s="19">
        <f>MAX(G788:G824)</f>
        <v>59.55</v>
      </c>
      <c r="N824" s="19">
        <f t="shared" si="60"/>
        <v>-12.20822837951301</v>
      </c>
      <c r="O824" s="9" t="str">
        <f t="shared" si="61"/>
        <v>2024-02</v>
      </c>
    </row>
    <row r="825" spans="1:15" x14ac:dyDescent="0.25">
      <c r="A825" s="9" t="s">
        <v>312</v>
      </c>
      <c r="B825" s="9" t="s">
        <v>313</v>
      </c>
      <c r="C825" s="25" t="s">
        <v>83</v>
      </c>
      <c r="D825" s="19">
        <v>52.28</v>
      </c>
      <c r="E825" s="19">
        <v>53.05</v>
      </c>
      <c r="F825" s="19">
        <v>52.09</v>
      </c>
      <c r="G825" s="19">
        <v>53.01</v>
      </c>
      <c r="H825" s="19">
        <v>53.01</v>
      </c>
      <c r="I825" s="15">
        <v>3754773</v>
      </c>
      <c r="J825" s="19">
        <f t="shared" si="62"/>
        <v>1.396327467482779</v>
      </c>
      <c r="K825" s="19">
        <f t="shared" si="63"/>
        <v>54.783500000000004</v>
      </c>
      <c r="L825" s="19"/>
      <c r="M825" s="19">
        <f>MAX(G788:G825)</f>
        <v>59.55</v>
      </c>
      <c r="N825" s="19">
        <f t="shared" si="60"/>
        <v>-10.982367758186397</v>
      </c>
      <c r="O825" s="9" t="str">
        <f t="shared" si="61"/>
        <v>2024-02</v>
      </c>
    </row>
    <row r="826" spans="1:15" x14ac:dyDescent="0.25">
      <c r="A826" s="9" t="s">
        <v>312</v>
      </c>
      <c r="B826" s="9" t="s">
        <v>313</v>
      </c>
      <c r="C826" s="25" t="s">
        <v>84</v>
      </c>
      <c r="D826" s="19">
        <v>53.01</v>
      </c>
      <c r="E826" s="19">
        <v>53.1</v>
      </c>
      <c r="F826" s="19">
        <v>52.81</v>
      </c>
      <c r="G826" s="19">
        <v>52.88</v>
      </c>
      <c r="H826" s="19">
        <v>52.88</v>
      </c>
      <c r="I826" s="15">
        <v>4356098</v>
      </c>
      <c r="J826" s="19">
        <f t="shared" si="62"/>
        <v>-0.24523674778342852</v>
      </c>
      <c r="K826" s="19">
        <f t="shared" si="63"/>
        <v>54.498000000000005</v>
      </c>
      <c r="L826" s="19"/>
      <c r="M826" s="19">
        <f>MAX(G788:G826)</f>
        <v>59.55</v>
      </c>
      <c r="N826" s="19">
        <f t="shared" si="60"/>
        <v>-11.200671704450034</v>
      </c>
      <c r="O826" s="9" t="str">
        <f t="shared" si="61"/>
        <v>2024-02</v>
      </c>
    </row>
    <row r="827" spans="1:15" x14ac:dyDescent="0.25">
      <c r="A827" s="9" t="s">
        <v>312</v>
      </c>
      <c r="B827" s="9" t="s">
        <v>313</v>
      </c>
      <c r="C827" s="25" t="s">
        <v>85</v>
      </c>
      <c r="D827" s="19">
        <v>52.88</v>
      </c>
      <c r="E827" s="19">
        <v>52.96</v>
      </c>
      <c r="F827" s="19">
        <v>52.51</v>
      </c>
      <c r="G827" s="19">
        <v>52.59</v>
      </c>
      <c r="H827" s="19">
        <v>52.59</v>
      </c>
      <c r="I827" s="15">
        <v>5218265</v>
      </c>
      <c r="J827" s="19">
        <f t="shared" si="62"/>
        <v>-0.54841149773070941</v>
      </c>
      <c r="K827" s="19">
        <f t="shared" si="63"/>
        <v>54.209499999999991</v>
      </c>
      <c r="L827" s="19"/>
      <c r="M827" s="19">
        <f>MAX(G788:G827)</f>
        <v>59.55</v>
      </c>
      <c r="N827" s="19">
        <f t="shared" si="60"/>
        <v>-11.68765743073047</v>
      </c>
      <c r="O827" s="9" t="str">
        <f t="shared" si="61"/>
        <v>2024-02</v>
      </c>
    </row>
    <row r="828" spans="1:15" x14ac:dyDescent="0.25">
      <c r="A828" s="9" t="s">
        <v>312</v>
      </c>
      <c r="B828" s="9" t="s">
        <v>313</v>
      </c>
      <c r="C828" s="25" t="s">
        <v>86</v>
      </c>
      <c r="D828" s="19">
        <v>52.59</v>
      </c>
      <c r="E828" s="19">
        <v>53.2</v>
      </c>
      <c r="F828" s="19">
        <v>52.36</v>
      </c>
      <c r="G828" s="19">
        <v>52.65</v>
      </c>
      <c r="H828" s="19">
        <v>52.65</v>
      </c>
      <c r="I828" s="15">
        <v>4262333</v>
      </c>
      <c r="J828" s="19">
        <f t="shared" si="62"/>
        <v>0.11409013120364168</v>
      </c>
      <c r="K828" s="19">
        <f t="shared" si="63"/>
        <v>53.968499999999992</v>
      </c>
      <c r="L828" s="19"/>
      <c r="M828" s="19">
        <f>MAX(G788:G828)</f>
        <v>59.55</v>
      </c>
      <c r="N828" s="19">
        <f t="shared" si="60"/>
        <v>-11.58690176322418</v>
      </c>
      <c r="O828" s="9" t="str">
        <f t="shared" si="61"/>
        <v>2024-02</v>
      </c>
    </row>
    <row r="829" spans="1:15" x14ac:dyDescent="0.25">
      <c r="A829" s="9" t="s">
        <v>312</v>
      </c>
      <c r="B829" s="9" t="s">
        <v>313</v>
      </c>
      <c r="C829" s="25" t="s">
        <v>87</v>
      </c>
      <c r="D829" s="19">
        <v>52.65</v>
      </c>
      <c r="E829" s="19">
        <v>52.66</v>
      </c>
      <c r="F829" s="19">
        <v>52.08</v>
      </c>
      <c r="G829" s="19">
        <v>52.27</v>
      </c>
      <c r="H829" s="19">
        <v>52.27</v>
      </c>
      <c r="I829" s="15">
        <v>3459757</v>
      </c>
      <c r="J829" s="19">
        <f t="shared" si="62"/>
        <v>-0.7217473884140464</v>
      </c>
      <c r="K829" s="19">
        <f t="shared" si="63"/>
        <v>53.664999999999999</v>
      </c>
      <c r="L829" s="19"/>
      <c r="M829" s="19">
        <f>MAX(G788:G829)</f>
        <v>59.55</v>
      </c>
      <c r="N829" s="19">
        <f t="shared" si="60"/>
        <v>-12.225020990764055</v>
      </c>
      <c r="O829" s="9" t="str">
        <f t="shared" si="61"/>
        <v>2024-02</v>
      </c>
    </row>
    <row r="830" spans="1:15" x14ac:dyDescent="0.25">
      <c r="A830" s="9" t="s">
        <v>312</v>
      </c>
      <c r="B830" s="9" t="s">
        <v>313</v>
      </c>
      <c r="C830" s="25" t="s">
        <v>88</v>
      </c>
      <c r="D830" s="19">
        <v>52.27</v>
      </c>
      <c r="E830" s="19">
        <v>52.57</v>
      </c>
      <c r="F830" s="19">
        <v>52.14</v>
      </c>
      <c r="G830" s="19">
        <v>52.32</v>
      </c>
      <c r="H830" s="19">
        <v>52.32</v>
      </c>
      <c r="I830" s="15">
        <v>5154779</v>
      </c>
      <c r="J830" s="19">
        <f t="shared" si="62"/>
        <v>9.5657164721632215E-2</v>
      </c>
      <c r="K830" s="19">
        <f t="shared" si="63"/>
        <v>53.374499999999998</v>
      </c>
      <c r="L830" s="19"/>
      <c r="M830" s="19">
        <f>MAX(G788:G830)</f>
        <v>59.55</v>
      </c>
      <c r="N830" s="19">
        <f t="shared" si="60"/>
        <v>-12.141057934508812</v>
      </c>
      <c r="O830" s="9" t="str">
        <f t="shared" si="61"/>
        <v>2024-02</v>
      </c>
    </row>
    <row r="831" spans="1:15" x14ac:dyDescent="0.25">
      <c r="A831" s="9" t="s">
        <v>312</v>
      </c>
      <c r="B831" s="9" t="s">
        <v>313</v>
      </c>
      <c r="C831" s="25" t="s">
        <v>89</v>
      </c>
      <c r="D831" s="19">
        <v>52.32</v>
      </c>
      <c r="E831" s="19">
        <v>52.49</v>
      </c>
      <c r="F831" s="19">
        <v>51.89</v>
      </c>
      <c r="G831" s="19">
        <v>52.07</v>
      </c>
      <c r="H831" s="19">
        <v>52.07</v>
      </c>
      <c r="I831" s="15">
        <v>3184133</v>
      </c>
      <c r="J831" s="19">
        <f t="shared" si="62"/>
        <v>-0.47782874617736998</v>
      </c>
      <c r="K831" s="19">
        <f t="shared" si="63"/>
        <v>53.103500000000011</v>
      </c>
      <c r="L831" s="19"/>
      <c r="M831" s="19">
        <f>MAX(G788:G831)</f>
        <v>59.55</v>
      </c>
      <c r="N831" s="19">
        <f t="shared" si="60"/>
        <v>-12.560873215785051</v>
      </c>
      <c r="O831" s="9" t="str">
        <f t="shared" si="61"/>
        <v>2024-02</v>
      </c>
    </row>
    <row r="832" spans="1:15" x14ac:dyDescent="0.25">
      <c r="A832" s="9" t="s">
        <v>312</v>
      </c>
      <c r="B832" s="9" t="s">
        <v>313</v>
      </c>
      <c r="C832" s="25" t="s">
        <v>90</v>
      </c>
      <c r="D832" s="19">
        <v>52.07</v>
      </c>
      <c r="E832" s="19">
        <v>52.11</v>
      </c>
      <c r="F832" s="19">
        <v>51.41</v>
      </c>
      <c r="G832" s="19">
        <v>51.71</v>
      </c>
      <c r="H832" s="19">
        <v>51.71</v>
      </c>
      <c r="I832" s="15">
        <v>3013197</v>
      </c>
      <c r="J832" s="19">
        <f t="shared" si="62"/>
        <v>-0.69137699251008145</v>
      </c>
      <c r="K832" s="19">
        <f t="shared" si="63"/>
        <v>52.802500000000009</v>
      </c>
      <c r="L832" s="19"/>
      <c r="M832" s="19">
        <f>MAX(G788:G832)</f>
        <v>59.55</v>
      </c>
      <c r="N832" s="19">
        <f t="shared" si="60"/>
        <v>-13.165407220822834</v>
      </c>
      <c r="O832" s="9" t="str">
        <f t="shared" si="61"/>
        <v>2024-03</v>
      </c>
    </row>
    <row r="833" spans="1:15" x14ac:dyDescent="0.25">
      <c r="A833" s="9" t="s">
        <v>312</v>
      </c>
      <c r="B833" s="9" t="s">
        <v>313</v>
      </c>
      <c r="C833" s="25" t="s">
        <v>91</v>
      </c>
      <c r="D833" s="19">
        <v>51.71</v>
      </c>
      <c r="E833" s="19">
        <v>52.02</v>
      </c>
      <c r="F833" s="19">
        <v>50.62</v>
      </c>
      <c r="G833" s="19">
        <v>50.74</v>
      </c>
      <c r="H833" s="19">
        <v>50.74</v>
      </c>
      <c r="I833" s="15">
        <v>3786372</v>
      </c>
      <c r="J833" s="19">
        <f t="shared" si="62"/>
        <v>-1.8758460645909862</v>
      </c>
      <c r="K833" s="19">
        <f t="shared" si="63"/>
        <v>52.695000000000007</v>
      </c>
      <c r="L833" s="19"/>
      <c r="M833" s="19">
        <f>MAX(G788:G833)</f>
        <v>59.55</v>
      </c>
      <c r="N833" s="19">
        <f t="shared" si="60"/>
        <v>-14.794290512174635</v>
      </c>
      <c r="O833" s="9" t="str">
        <f t="shared" si="61"/>
        <v>2024-03</v>
      </c>
    </row>
    <row r="834" spans="1:15" x14ac:dyDescent="0.25">
      <c r="A834" s="9" t="s">
        <v>312</v>
      </c>
      <c r="B834" s="9" t="s">
        <v>313</v>
      </c>
      <c r="C834" s="25" t="s">
        <v>92</v>
      </c>
      <c r="D834" s="19">
        <v>50.74</v>
      </c>
      <c r="E834" s="19">
        <v>50.9</v>
      </c>
      <c r="F834" s="19">
        <v>50.63</v>
      </c>
      <c r="G834" s="19">
        <v>50.82</v>
      </c>
      <c r="H834" s="19">
        <v>50.82</v>
      </c>
      <c r="I834" s="15">
        <v>4603356</v>
      </c>
      <c r="J834" s="19">
        <f t="shared" si="62"/>
        <v>0.15766653527788391</v>
      </c>
      <c r="K834" s="19">
        <f t="shared" si="63"/>
        <v>52.608000000000004</v>
      </c>
      <c r="L834" s="19"/>
      <c r="M834" s="19">
        <f>MAX(G788:G834)</f>
        <v>59.55</v>
      </c>
      <c r="N834" s="19">
        <f t="shared" ref="N834:N897" si="64">(G834-M834)/M834*100</f>
        <v>-14.659949622166243</v>
      </c>
      <c r="O834" s="9" t="str">
        <f t="shared" ref="O834:O897" si="65">TEXT(C834,"yyyy-mm")</f>
        <v>2024-03</v>
      </c>
    </row>
    <row r="835" spans="1:15" x14ac:dyDescent="0.25">
      <c r="A835" s="9" t="s">
        <v>312</v>
      </c>
      <c r="B835" s="9" t="s">
        <v>313</v>
      </c>
      <c r="C835" s="25" t="s">
        <v>93</v>
      </c>
      <c r="D835" s="19">
        <v>50.82</v>
      </c>
      <c r="E835" s="19">
        <v>51.51</v>
      </c>
      <c r="F835" s="19">
        <v>50.7</v>
      </c>
      <c r="G835" s="19">
        <v>51.31</v>
      </c>
      <c r="H835" s="19">
        <v>51.31</v>
      </c>
      <c r="I835" s="15">
        <v>5024018</v>
      </c>
      <c r="J835" s="19">
        <f t="shared" si="62"/>
        <v>0.96418732782369532</v>
      </c>
      <c r="K835" s="19">
        <f t="shared" si="63"/>
        <v>52.493000000000009</v>
      </c>
      <c r="L835" s="19"/>
      <c r="M835" s="19">
        <f>MAX(G788:G835)</f>
        <v>59.55</v>
      </c>
      <c r="N835" s="19">
        <f t="shared" si="64"/>
        <v>-13.837111670864813</v>
      </c>
      <c r="O835" s="9" t="str">
        <f t="shared" si="65"/>
        <v>2024-03</v>
      </c>
    </row>
    <row r="836" spans="1:15" x14ac:dyDescent="0.25">
      <c r="A836" s="9" t="s">
        <v>312</v>
      </c>
      <c r="B836" s="9" t="s">
        <v>313</v>
      </c>
      <c r="C836" s="25" t="s">
        <v>94</v>
      </c>
      <c r="D836" s="19">
        <v>51.31</v>
      </c>
      <c r="E836" s="19">
        <v>51.37</v>
      </c>
      <c r="F836" s="19">
        <v>50.9</v>
      </c>
      <c r="G836" s="19">
        <v>51.09</v>
      </c>
      <c r="H836" s="19">
        <v>51.09</v>
      </c>
      <c r="I836" s="15">
        <v>4609975</v>
      </c>
      <c r="J836" s="19">
        <f t="shared" si="62"/>
        <v>-0.42876632235431467</v>
      </c>
      <c r="K836" s="19">
        <f t="shared" si="63"/>
        <v>52.397000000000006</v>
      </c>
      <c r="L836" s="19"/>
      <c r="M836" s="19">
        <f>MAX(G788:G836)</f>
        <v>59.55</v>
      </c>
      <c r="N836" s="19">
        <f t="shared" si="64"/>
        <v>-14.206549118387898</v>
      </c>
      <c r="O836" s="9" t="str">
        <f t="shared" si="65"/>
        <v>2024-03</v>
      </c>
    </row>
    <row r="837" spans="1:15" x14ac:dyDescent="0.25">
      <c r="A837" s="9" t="s">
        <v>312</v>
      </c>
      <c r="B837" s="9" t="s">
        <v>313</v>
      </c>
      <c r="C837" s="25" t="s">
        <v>95</v>
      </c>
      <c r="D837" s="19">
        <v>51.09</v>
      </c>
      <c r="E837" s="19">
        <v>51.17</v>
      </c>
      <c r="F837" s="19">
        <v>50.59</v>
      </c>
      <c r="G837" s="19">
        <v>50.63</v>
      </c>
      <c r="H837" s="19">
        <v>50.63</v>
      </c>
      <c r="I837" s="15">
        <v>4893503</v>
      </c>
      <c r="J837" s="19">
        <f t="shared" si="62"/>
        <v>-0.90037189273830653</v>
      </c>
      <c r="K837" s="19">
        <f t="shared" si="63"/>
        <v>52.283000000000015</v>
      </c>
      <c r="L837" s="19">
        <f t="shared" ref="L837:L900" si="66">AVERAGE(G788:G837)</f>
        <v>55.41220000000002</v>
      </c>
      <c r="M837" s="19">
        <f>MAX(G788:G837)</f>
        <v>59.55</v>
      </c>
      <c r="N837" s="19">
        <f t="shared" si="64"/>
        <v>-14.97900923593618</v>
      </c>
      <c r="O837" s="9" t="str">
        <f t="shared" si="65"/>
        <v>2024-03</v>
      </c>
    </row>
    <row r="838" spans="1:15" x14ac:dyDescent="0.25">
      <c r="A838" s="9" t="s">
        <v>312</v>
      </c>
      <c r="B838" s="9" t="s">
        <v>313</v>
      </c>
      <c r="C838" s="25" t="s">
        <v>96</v>
      </c>
      <c r="D838" s="19">
        <v>50.63</v>
      </c>
      <c r="E838" s="19">
        <v>50.99</v>
      </c>
      <c r="F838" s="19">
        <v>50.43</v>
      </c>
      <c r="G838" s="19">
        <v>50.94</v>
      </c>
      <c r="H838" s="19">
        <v>50.94</v>
      </c>
      <c r="I838" s="15">
        <v>6632323</v>
      </c>
      <c r="J838" s="19">
        <f t="shared" si="62"/>
        <v>0.61228520639935835</v>
      </c>
      <c r="K838" s="19">
        <f t="shared" si="63"/>
        <v>52.181500000000014</v>
      </c>
      <c r="L838" s="19">
        <f t="shared" si="66"/>
        <v>55.262000000000015</v>
      </c>
      <c r="M838" s="19">
        <f>MAX(G788:G838)</f>
        <v>59.55</v>
      </c>
      <c r="N838" s="19">
        <f t="shared" si="64"/>
        <v>-14.458438287153651</v>
      </c>
      <c r="O838" s="9" t="str">
        <f t="shared" si="65"/>
        <v>2024-03</v>
      </c>
    </row>
    <row r="839" spans="1:15" x14ac:dyDescent="0.25">
      <c r="A839" s="9" t="s">
        <v>312</v>
      </c>
      <c r="B839" s="9" t="s">
        <v>313</v>
      </c>
      <c r="C839" s="25" t="s">
        <v>97</v>
      </c>
      <c r="D839" s="19">
        <v>50.94</v>
      </c>
      <c r="E839" s="19">
        <v>51.04</v>
      </c>
      <c r="F839" s="19">
        <v>49.86</v>
      </c>
      <c r="G839" s="19">
        <v>50.18</v>
      </c>
      <c r="H839" s="19">
        <v>50.18</v>
      </c>
      <c r="I839" s="15">
        <v>5758252</v>
      </c>
      <c r="J839" s="19">
        <f t="shared" si="62"/>
        <v>-1.4919513152728663</v>
      </c>
      <c r="K839" s="19">
        <f t="shared" si="63"/>
        <v>52.023500000000013</v>
      </c>
      <c r="L839" s="19">
        <f t="shared" si="66"/>
        <v>55.112000000000009</v>
      </c>
      <c r="M839" s="19">
        <f>MAX(G788:G839)</f>
        <v>59.55</v>
      </c>
      <c r="N839" s="19">
        <f t="shared" si="64"/>
        <v>-15.734676742233415</v>
      </c>
      <c r="O839" s="9" t="str">
        <f t="shared" si="65"/>
        <v>2024-03</v>
      </c>
    </row>
    <row r="840" spans="1:15" x14ac:dyDescent="0.25">
      <c r="A840" s="9" t="s">
        <v>312</v>
      </c>
      <c r="B840" s="9" t="s">
        <v>313</v>
      </c>
      <c r="C840" s="25" t="s">
        <v>98</v>
      </c>
      <c r="D840" s="19">
        <v>50.18</v>
      </c>
      <c r="E840" s="19">
        <v>50.19</v>
      </c>
      <c r="F840" s="19">
        <v>49.74</v>
      </c>
      <c r="G840" s="19">
        <v>49.78</v>
      </c>
      <c r="H840" s="19">
        <v>49.78</v>
      </c>
      <c r="I840" s="15">
        <v>3616028</v>
      </c>
      <c r="J840" s="19">
        <f t="shared" si="62"/>
        <v>-0.79713033080908458</v>
      </c>
      <c r="K840" s="19">
        <f t="shared" si="63"/>
        <v>51.860000000000014</v>
      </c>
      <c r="L840" s="19">
        <f t="shared" si="66"/>
        <v>54.956200000000017</v>
      </c>
      <c r="M840" s="19">
        <f>MAX(G788:G840)</f>
        <v>59.55</v>
      </c>
      <c r="N840" s="19">
        <f t="shared" si="64"/>
        <v>-16.406381192275393</v>
      </c>
      <c r="O840" s="9" t="str">
        <f t="shared" si="65"/>
        <v>2024-03</v>
      </c>
    </row>
    <row r="841" spans="1:15" x14ac:dyDescent="0.25">
      <c r="A841" s="9" t="s">
        <v>312</v>
      </c>
      <c r="B841" s="9" t="s">
        <v>313</v>
      </c>
      <c r="C841" s="25" t="s">
        <v>99</v>
      </c>
      <c r="D841" s="19">
        <v>49.78</v>
      </c>
      <c r="E841" s="19">
        <v>49.98</v>
      </c>
      <c r="F841" s="19">
        <v>49.69</v>
      </c>
      <c r="G841" s="19">
        <v>49.76</v>
      </c>
      <c r="H841" s="19">
        <v>49.76</v>
      </c>
      <c r="I841" s="15">
        <v>4649585</v>
      </c>
      <c r="J841" s="19">
        <f t="shared" si="62"/>
        <v>-4.0176777822424924E-2</v>
      </c>
      <c r="K841" s="19">
        <f t="shared" si="63"/>
        <v>51.678500000000007</v>
      </c>
      <c r="L841" s="19">
        <f t="shared" si="66"/>
        <v>54.793800000000019</v>
      </c>
      <c r="M841" s="19">
        <f>MAX(G788:G841)</f>
        <v>59.55</v>
      </c>
      <c r="N841" s="19">
        <f t="shared" si="64"/>
        <v>-16.439966414777494</v>
      </c>
      <c r="O841" s="9" t="str">
        <f t="shared" si="65"/>
        <v>2024-03</v>
      </c>
    </row>
    <row r="842" spans="1:15" x14ac:dyDescent="0.25">
      <c r="A842" s="9" t="s">
        <v>312</v>
      </c>
      <c r="B842" s="9" t="s">
        <v>313</v>
      </c>
      <c r="C842" s="25" t="s">
        <v>100</v>
      </c>
      <c r="D842" s="19">
        <v>49.76</v>
      </c>
      <c r="E842" s="19">
        <v>49.93</v>
      </c>
      <c r="F842" s="19">
        <v>49.31</v>
      </c>
      <c r="G842" s="19">
        <v>49.32</v>
      </c>
      <c r="H842" s="19">
        <v>49.32</v>
      </c>
      <c r="I842" s="15">
        <v>1890587</v>
      </c>
      <c r="J842" s="19">
        <f t="shared" si="62"/>
        <v>-0.88424437299034919</v>
      </c>
      <c r="K842" s="19">
        <f t="shared" si="63"/>
        <v>51.455000000000005</v>
      </c>
      <c r="L842" s="19">
        <f t="shared" si="66"/>
        <v>54.635400000000025</v>
      </c>
      <c r="M842" s="19">
        <f>MAX(G788:G842)</f>
        <v>59.55</v>
      </c>
      <c r="N842" s="19">
        <f t="shared" si="64"/>
        <v>-17.178841309823671</v>
      </c>
      <c r="O842" s="9" t="str">
        <f t="shared" si="65"/>
        <v>2024-03</v>
      </c>
    </row>
    <row r="843" spans="1:15" x14ac:dyDescent="0.25">
      <c r="A843" s="9" t="s">
        <v>312</v>
      </c>
      <c r="B843" s="9" t="s">
        <v>313</v>
      </c>
      <c r="C843" s="25" t="s">
        <v>101</v>
      </c>
      <c r="D843" s="19">
        <v>49.32</v>
      </c>
      <c r="E843" s="19">
        <v>50.16</v>
      </c>
      <c r="F843" s="19">
        <v>49.04</v>
      </c>
      <c r="G843" s="19">
        <v>49.6</v>
      </c>
      <c r="H843" s="19">
        <v>49.6</v>
      </c>
      <c r="I843" s="15">
        <v>3228668</v>
      </c>
      <c r="J843" s="19">
        <f t="shared" si="62"/>
        <v>0.5677210056772124</v>
      </c>
      <c r="K843" s="19">
        <f t="shared" si="63"/>
        <v>51.297499999999992</v>
      </c>
      <c r="L843" s="19">
        <f t="shared" si="66"/>
        <v>54.476000000000013</v>
      </c>
      <c r="M843" s="19">
        <f>MAX(G788:G843)</f>
        <v>59.55</v>
      </c>
      <c r="N843" s="19">
        <f t="shared" si="64"/>
        <v>-16.708648194794286</v>
      </c>
      <c r="O843" s="9" t="str">
        <f t="shared" si="65"/>
        <v>2024-03</v>
      </c>
    </row>
    <row r="844" spans="1:15" x14ac:dyDescent="0.25">
      <c r="A844" s="9" t="s">
        <v>312</v>
      </c>
      <c r="B844" s="9" t="s">
        <v>313</v>
      </c>
      <c r="C844" s="25" t="s">
        <v>102</v>
      </c>
      <c r="D844" s="19">
        <v>49.6</v>
      </c>
      <c r="E844" s="19">
        <v>49.8</v>
      </c>
      <c r="F844" s="19">
        <v>49.25</v>
      </c>
      <c r="G844" s="19">
        <v>49.4</v>
      </c>
      <c r="H844" s="19">
        <v>49.4</v>
      </c>
      <c r="I844" s="15">
        <v>5409025</v>
      </c>
      <c r="J844" s="19">
        <f t="shared" si="62"/>
        <v>-0.4032258064516186</v>
      </c>
      <c r="K844" s="19">
        <f t="shared" si="63"/>
        <v>51.153500000000008</v>
      </c>
      <c r="L844" s="19">
        <f t="shared" si="66"/>
        <v>54.304200000000016</v>
      </c>
      <c r="M844" s="19">
        <f>MAX(G788:G844)</f>
        <v>59.55</v>
      </c>
      <c r="N844" s="19">
        <f t="shared" si="64"/>
        <v>-17.044500419815282</v>
      </c>
      <c r="O844" s="9" t="str">
        <f t="shared" si="65"/>
        <v>2024-03</v>
      </c>
    </row>
    <row r="845" spans="1:15" x14ac:dyDescent="0.25">
      <c r="A845" s="9" t="s">
        <v>312</v>
      </c>
      <c r="B845" s="9" t="s">
        <v>313</v>
      </c>
      <c r="C845" s="25" t="s">
        <v>103</v>
      </c>
      <c r="D845" s="19">
        <v>49.4</v>
      </c>
      <c r="E845" s="19">
        <v>49.91</v>
      </c>
      <c r="F845" s="19">
        <v>48.83</v>
      </c>
      <c r="G845" s="19">
        <v>49.62</v>
      </c>
      <c r="H845" s="19">
        <v>49.62</v>
      </c>
      <c r="I845" s="15">
        <v>2917608</v>
      </c>
      <c r="J845" s="19">
        <f t="shared" si="62"/>
        <v>0.44534412955465358</v>
      </c>
      <c r="K845" s="19">
        <f t="shared" si="63"/>
        <v>50.983999999999995</v>
      </c>
      <c r="L845" s="19">
        <f t="shared" si="66"/>
        <v>54.126200000000011</v>
      </c>
      <c r="M845" s="19">
        <f>MAX(G788:G845)</f>
        <v>59.55</v>
      </c>
      <c r="N845" s="19">
        <f t="shared" si="64"/>
        <v>-16.675062972292192</v>
      </c>
      <c r="O845" s="9" t="str">
        <f t="shared" si="65"/>
        <v>2024-03</v>
      </c>
    </row>
    <row r="846" spans="1:15" x14ac:dyDescent="0.25">
      <c r="A846" s="9" t="s">
        <v>312</v>
      </c>
      <c r="B846" s="9" t="s">
        <v>313</v>
      </c>
      <c r="C846" s="25" t="s">
        <v>104</v>
      </c>
      <c r="D846" s="19">
        <v>49.62</v>
      </c>
      <c r="E846" s="19">
        <v>50.97</v>
      </c>
      <c r="F846" s="19">
        <v>49.56</v>
      </c>
      <c r="G846" s="19">
        <v>50.89</v>
      </c>
      <c r="H846" s="19">
        <v>50.89</v>
      </c>
      <c r="I846" s="15">
        <v>3442211</v>
      </c>
      <c r="J846" s="19">
        <f t="shared" si="62"/>
        <v>2.5594518339379349</v>
      </c>
      <c r="K846" s="19">
        <f t="shared" si="63"/>
        <v>50.884500000000003</v>
      </c>
      <c r="L846" s="19">
        <f t="shared" si="66"/>
        <v>53.974600000000009</v>
      </c>
      <c r="M846" s="19">
        <f>MAX(G788:G846)</f>
        <v>59.55</v>
      </c>
      <c r="N846" s="19">
        <f t="shared" si="64"/>
        <v>-14.542401343408894</v>
      </c>
      <c r="O846" s="9" t="str">
        <f t="shared" si="65"/>
        <v>2024-03</v>
      </c>
    </row>
    <row r="847" spans="1:15" x14ac:dyDescent="0.25">
      <c r="A847" s="9" t="s">
        <v>312</v>
      </c>
      <c r="B847" s="9" t="s">
        <v>313</v>
      </c>
      <c r="C847" s="25" t="s">
        <v>105</v>
      </c>
      <c r="D847" s="19">
        <v>50.89</v>
      </c>
      <c r="E847" s="19">
        <v>51.03</v>
      </c>
      <c r="F847" s="19">
        <v>50.6</v>
      </c>
      <c r="G847" s="19">
        <v>50.86</v>
      </c>
      <c r="H847" s="19">
        <v>50.86</v>
      </c>
      <c r="I847" s="15">
        <v>3931526</v>
      </c>
      <c r="J847" s="19">
        <f t="shared" si="62"/>
        <v>-5.8950677932798456E-2</v>
      </c>
      <c r="K847" s="19">
        <f t="shared" si="63"/>
        <v>50.797999999999995</v>
      </c>
      <c r="L847" s="19">
        <f t="shared" si="66"/>
        <v>53.801400000000015</v>
      </c>
      <c r="M847" s="19">
        <f>MAX(G788:G847)</f>
        <v>59.55</v>
      </c>
      <c r="N847" s="19">
        <f t="shared" si="64"/>
        <v>-14.592779177162047</v>
      </c>
      <c r="O847" s="9" t="str">
        <f t="shared" si="65"/>
        <v>2024-03</v>
      </c>
    </row>
    <row r="848" spans="1:15" x14ac:dyDescent="0.25">
      <c r="A848" s="9" t="s">
        <v>312</v>
      </c>
      <c r="B848" s="9" t="s">
        <v>313</v>
      </c>
      <c r="C848" s="25" t="s">
        <v>106</v>
      </c>
      <c r="D848" s="19">
        <v>50.86</v>
      </c>
      <c r="E848" s="19">
        <v>51.04</v>
      </c>
      <c r="F848" s="19">
        <v>50.54</v>
      </c>
      <c r="G848" s="19">
        <v>50.94</v>
      </c>
      <c r="H848" s="19">
        <v>50.94</v>
      </c>
      <c r="I848" s="15">
        <v>5063365</v>
      </c>
      <c r="J848" s="19">
        <f t="shared" si="62"/>
        <v>0.15729453401493965</v>
      </c>
      <c r="K848" s="19">
        <f t="shared" si="63"/>
        <v>50.712499999999999</v>
      </c>
      <c r="L848" s="19">
        <f t="shared" si="66"/>
        <v>53.629200000000012</v>
      </c>
      <c r="M848" s="19">
        <f>MAX(G788:G848)</f>
        <v>59.55</v>
      </c>
      <c r="N848" s="19">
        <f t="shared" si="64"/>
        <v>-14.458438287153651</v>
      </c>
      <c r="O848" s="9" t="str">
        <f t="shared" si="65"/>
        <v>2024-03</v>
      </c>
    </row>
    <row r="849" spans="1:15" x14ac:dyDescent="0.25">
      <c r="A849" s="9" t="s">
        <v>312</v>
      </c>
      <c r="B849" s="9" t="s">
        <v>313</v>
      </c>
      <c r="C849" s="25" t="s">
        <v>107</v>
      </c>
      <c r="D849" s="19">
        <v>50.94</v>
      </c>
      <c r="E849" s="19">
        <v>51.07</v>
      </c>
      <c r="F849" s="19">
        <v>49.69</v>
      </c>
      <c r="G849" s="19">
        <v>50.08</v>
      </c>
      <c r="H849" s="19">
        <v>50.08</v>
      </c>
      <c r="I849" s="15">
        <v>3341009</v>
      </c>
      <c r="J849" s="19">
        <f t="shared" si="62"/>
        <v>-1.6882606988614046</v>
      </c>
      <c r="K849" s="19">
        <f t="shared" si="63"/>
        <v>50.603000000000002</v>
      </c>
      <c r="L849" s="19">
        <f t="shared" si="66"/>
        <v>53.443400000000004</v>
      </c>
      <c r="M849" s="19">
        <f>MAX(G788:G849)</f>
        <v>59.55</v>
      </c>
      <c r="N849" s="19">
        <f t="shared" si="64"/>
        <v>-15.902602854743911</v>
      </c>
      <c r="O849" s="9" t="str">
        <f t="shared" si="65"/>
        <v>2024-03</v>
      </c>
    </row>
    <row r="850" spans="1:15" x14ac:dyDescent="0.25">
      <c r="A850" s="9" t="s">
        <v>312</v>
      </c>
      <c r="B850" s="9" t="s">
        <v>313</v>
      </c>
      <c r="C850" s="25" t="s">
        <v>108</v>
      </c>
      <c r="D850" s="19">
        <v>50.08</v>
      </c>
      <c r="E850" s="19">
        <v>50.71</v>
      </c>
      <c r="F850" s="19">
        <v>50.05</v>
      </c>
      <c r="G850" s="19">
        <v>50.69</v>
      </c>
      <c r="H850" s="19">
        <v>50.69</v>
      </c>
      <c r="I850" s="15">
        <v>4690129</v>
      </c>
      <c r="J850" s="19">
        <f t="shared" si="62"/>
        <v>1.2180511182108615</v>
      </c>
      <c r="K850" s="19">
        <f t="shared" si="63"/>
        <v>50.521500000000003</v>
      </c>
      <c r="L850" s="19">
        <f t="shared" si="66"/>
        <v>53.275399999999998</v>
      </c>
      <c r="M850" s="19">
        <f>MAX(G788:G850)</f>
        <v>59.55</v>
      </c>
      <c r="N850" s="19">
        <f t="shared" si="64"/>
        <v>-14.878253568429892</v>
      </c>
      <c r="O850" s="9" t="str">
        <f t="shared" si="65"/>
        <v>2024-03</v>
      </c>
    </row>
    <row r="851" spans="1:15" x14ac:dyDescent="0.25">
      <c r="A851" s="9" t="s">
        <v>312</v>
      </c>
      <c r="B851" s="9" t="s">
        <v>313</v>
      </c>
      <c r="C851" s="25" t="s">
        <v>109</v>
      </c>
      <c r="D851" s="19">
        <v>50.69</v>
      </c>
      <c r="E851" s="19">
        <v>50.95</v>
      </c>
      <c r="F851" s="19">
        <v>50.36</v>
      </c>
      <c r="G851" s="19">
        <v>50.44</v>
      </c>
      <c r="H851" s="19">
        <v>50.44</v>
      </c>
      <c r="I851" s="15">
        <v>2591352</v>
      </c>
      <c r="J851" s="19">
        <f t="shared" si="62"/>
        <v>-0.49319392385085814</v>
      </c>
      <c r="K851" s="19">
        <f t="shared" si="63"/>
        <v>50.440000000000012</v>
      </c>
      <c r="L851" s="19">
        <f t="shared" si="66"/>
        <v>53.100800000000021</v>
      </c>
      <c r="M851" s="19">
        <f>MAX(G788:G851)</f>
        <v>59.55</v>
      </c>
      <c r="N851" s="19">
        <f t="shared" si="64"/>
        <v>-15.298068849706128</v>
      </c>
      <c r="O851" s="9" t="str">
        <f t="shared" si="65"/>
        <v>2024-03</v>
      </c>
    </row>
    <row r="852" spans="1:15" x14ac:dyDescent="0.25">
      <c r="A852" s="9" t="s">
        <v>312</v>
      </c>
      <c r="B852" s="9" t="s">
        <v>313</v>
      </c>
      <c r="C852" s="25" t="s">
        <v>110</v>
      </c>
      <c r="D852" s="19">
        <v>50.44</v>
      </c>
      <c r="E852" s="19">
        <v>50.97</v>
      </c>
      <c r="F852" s="19">
        <v>50.19</v>
      </c>
      <c r="G852" s="19">
        <v>50.96</v>
      </c>
      <c r="H852" s="19">
        <v>50.96</v>
      </c>
      <c r="I852" s="15">
        <v>4824051</v>
      </c>
      <c r="J852" s="19">
        <f t="shared" si="62"/>
        <v>1.0309278350515527</v>
      </c>
      <c r="K852" s="19">
        <f t="shared" si="63"/>
        <v>50.402499999999996</v>
      </c>
      <c r="L852" s="19">
        <f t="shared" si="66"/>
        <v>52.942599999999999</v>
      </c>
      <c r="M852" s="19">
        <f>MAX(G788:G852)</f>
        <v>59.55</v>
      </c>
      <c r="N852" s="19">
        <f t="shared" si="64"/>
        <v>-14.424853064651547</v>
      </c>
      <c r="O852" s="9" t="str">
        <f t="shared" si="65"/>
        <v>2024-03</v>
      </c>
    </row>
    <row r="853" spans="1:15" x14ac:dyDescent="0.25">
      <c r="A853" s="9" t="s">
        <v>312</v>
      </c>
      <c r="B853" s="9" t="s">
        <v>313</v>
      </c>
      <c r="C853" s="25" t="s">
        <v>111</v>
      </c>
      <c r="D853" s="19">
        <v>50.96</v>
      </c>
      <c r="E853" s="19">
        <v>51.23</v>
      </c>
      <c r="F853" s="19">
        <v>50.92</v>
      </c>
      <c r="G853" s="19">
        <v>51.17</v>
      </c>
      <c r="H853" s="19">
        <v>51.17</v>
      </c>
      <c r="I853" s="15">
        <v>4650643</v>
      </c>
      <c r="J853" s="19">
        <f t="shared" ref="J853:J916" si="67">IFERROR((G853-G852)/G852*100,"")</f>
        <v>0.41208791208791373</v>
      </c>
      <c r="K853" s="19">
        <f t="shared" si="63"/>
        <v>50.424000000000007</v>
      </c>
      <c r="L853" s="19">
        <f t="shared" si="66"/>
        <v>52.782799999999995</v>
      </c>
      <c r="M853" s="19">
        <f>MAX(G788:G853)</f>
        <v>59.55</v>
      </c>
      <c r="N853" s="19">
        <f t="shared" si="64"/>
        <v>-14.072208228379507</v>
      </c>
      <c r="O853" s="9" t="str">
        <f t="shared" si="65"/>
        <v>2024-04</v>
      </c>
    </row>
    <row r="854" spans="1:15" x14ac:dyDescent="0.25">
      <c r="A854" s="9" t="s">
        <v>312</v>
      </c>
      <c r="B854" s="9" t="s">
        <v>313</v>
      </c>
      <c r="C854" s="25" t="s">
        <v>112</v>
      </c>
      <c r="D854" s="19">
        <v>51.17</v>
      </c>
      <c r="E854" s="19">
        <v>54.47</v>
      </c>
      <c r="F854" s="19">
        <v>51.15</v>
      </c>
      <c r="G854" s="19">
        <v>54.47</v>
      </c>
      <c r="H854" s="19">
        <v>54.47</v>
      </c>
      <c r="I854" s="15">
        <v>15750519</v>
      </c>
      <c r="J854" s="19">
        <f t="shared" si="67"/>
        <v>6.4490912644127363</v>
      </c>
      <c r="K854" s="19">
        <f t="shared" si="63"/>
        <v>50.606499999999997</v>
      </c>
      <c r="L854" s="19">
        <f t="shared" si="66"/>
        <v>52.692799999999998</v>
      </c>
      <c r="M854" s="19">
        <f>MAX(G788:G854)</f>
        <v>59.55</v>
      </c>
      <c r="N854" s="19">
        <f t="shared" si="64"/>
        <v>-8.5306465155331637</v>
      </c>
      <c r="O854" s="9" t="str">
        <f t="shared" si="65"/>
        <v>2024-04</v>
      </c>
    </row>
    <row r="855" spans="1:15" x14ac:dyDescent="0.25">
      <c r="A855" s="9" t="s">
        <v>312</v>
      </c>
      <c r="B855" s="9" t="s">
        <v>313</v>
      </c>
      <c r="C855" s="25" t="s">
        <v>113</v>
      </c>
      <c r="D855" s="19">
        <v>54.47</v>
      </c>
      <c r="E855" s="19">
        <v>54.69</v>
      </c>
      <c r="F855" s="19">
        <v>54.34</v>
      </c>
      <c r="G855" s="19">
        <v>54.54</v>
      </c>
      <c r="H855" s="19">
        <v>54.54</v>
      </c>
      <c r="I855" s="15">
        <v>2036023</v>
      </c>
      <c r="J855" s="19">
        <f t="shared" si="67"/>
        <v>0.12851110703139396</v>
      </c>
      <c r="K855" s="19">
        <f t="shared" si="63"/>
        <v>50.768000000000001</v>
      </c>
      <c r="L855" s="19">
        <f t="shared" si="66"/>
        <v>52.607799999999997</v>
      </c>
      <c r="M855" s="19">
        <f>MAX(G788:G855)</f>
        <v>59.55</v>
      </c>
      <c r="N855" s="19">
        <f t="shared" si="64"/>
        <v>-8.4130982367758147</v>
      </c>
      <c r="O855" s="9" t="str">
        <f t="shared" si="65"/>
        <v>2024-04</v>
      </c>
    </row>
    <row r="856" spans="1:15" x14ac:dyDescent="0.25">
      <c r="A856" s="9" t="s">
        <v>312</v>
      </c>
      <c r="B856" s="9" t="s">
        <v>313</v>
      </c>
      <c r="C856" s="25" t="s">
        <v>114</v>
      </c>
      <c r="D856" s="19">
        <v>54.54</v>
      </c>
      <c r="E856" s="19">
        <v>54.73</v>
      </c>
      <c r="F856" s="19">
        <v>54.22</v>
      </c>
      <c r="G856" s="19">
        <v>54.24</v>
      </c>
      <c r="H856" s="19">
        <v>54.24</v>
      </c>
      <c r="I856" s="15">
        <v>4338384</v>
      </c>
      <c r="J856" s="19">
        <f t="shared" si="67"/>
        <v>-0.55005500550054487</v>
      </c>
      <c r="K856" s="19">
        <f t="shared" si="63"/>
        <v>50.925500000000007</v>
      </c>
      <c r="L856" s="19">
        <f t="shared" si="66"/>
        <v>52.520799999999987</v>
      </c>
      <c r="M856" s="19">
        <f>MAX(G788:G856)</f>
        <v>59.55</v>
      </c>
      <c r="N856" s="19">
        <f t="shared" si="64"/>
        <v>-8.9168765743072971</v>
      </c>
      <c r="O856" s="9" t="str">
        <f t="shared" si="65"/>
        <v>2024-04</v>
      </c>
    </row>
    <row r="857" spans="1:15" x14ac:dyDescent="0.25">
      <c r="A857" s="9" t="s">
        <v>312</v>
      </c>
      <c r="B857" s="9" t="s">
        <v>313</v>
      </c>
      <c r="C857" s="25" t="s">
        <v>115</v>
      </c>
      <c r="D857" s="19">
        <v>54.24</v>
      </c>
      <c r="E857" s="19">
        <v>54.45</v>
      </c>
      <c r="F857" s="19">
        <v>53.91</v>
      </c>
      <c r="G857" s="19">
        <v>53.93</v>
      </c>
      <c r="H857" s="19">
        <v>53.93</v>
      </c>
      <c r="I857" s="15">
        <v>5331236</v>
      </c>
      <c r="J857" s="19">
        <f t="shared" si="67"/>
        <v>-0.57153392330383901</v>
      </c>
      <c r="K857" s="19">
        <f t="shared" si="63"/>
        <v>51.090499999999999</v>
      </c>
      <c r="L857" s="19">
        <f t="shared" si="66"/>
        <v>52.432199999999987</v>
      </c>
      <c r="M857" s="19">
        <f>MAX(G788:G857)</f>
        <v>59.55</v>
      </c>
      <c r="N857" s="19">
        <f t="shared" si="64"/>
        <v>-9.4374475230898369</v>
      </c>
      <c r="O857" s="9" t="str">
        <f t="shared" si="65"/>
        <v>2024-04</v>
      </c>
    </row>
    <row r="858" spans="1:15" x14ac:dyDescent="0.25">
      <c r="A858" s="9" t="s">
        <v>312</v>
      </c>
      <c r="B858" s="9" t="s">
        <v>313</v>
      </c>
      <c r="C858" s="25" t="s">
        <v>116</v>
      </c>
      <c r="D858" s="19">
        <v>53.93</v>
      </c>
      <c r="E858" s="19">
        <v>54.7</v>
      </c>
      <c r="F858" s="19">
        <v>53.86</v>
      </c>
      <c r="G858" s="19">
        <v>54.38</v>
      </c>
      <c r="H858" s="19">
        <v>54.38</v>
      </c>
      <c r="I858" s="15">
        <v>2961863</v>
      </c>
      <c r="J858" s="19">
        <f t="shared" si="67"/>
        <v>0.8344149823845779</v>
      </c>
      <c r="K858" s="19">
        <f t="shared" si="63"/>
        <v>51.262500000000003</v>
      </c>
      <c r="L858" s="19">
        <f t="shared" si="66"/>
        <v>52.370399999999982</v>
      </c>
      <c r="M858" s="19">
        <f>MAX(G788:G858)</f>
        <v>59.55</v>
      </c>
      <c r="N858" s="19">
        <f t="shared" si="64"/>
        <v>-8.6817800167926027</v>
      </c>
      <c r="O858" s="9" t="str">
        <f t="shared" si="65"/>
        <v>2024-04</v>
      </c>
    </row>
    <row r="859" spans="1:15" x14ac:dyDescent="0.25">
      <c r="A859" s="9" t="s">
        <v>312</v>
      </c>
      <c r="B859" s="9" t="s">
        <v>313</v>
      </c>
      <c r="C859" s="25" t="s">
        <v>117</v>
      </c>
      <c r="D859" s="19">
        <v>54.38</v>
      </c>
      <c r="E859" s="19">
        <v>54.46</v>
      </c>
      <c r="F859" s="19">
        <v>54.3</v>
      </c>
      <c r="G859" s="19">
        <v>54.42</v>
      </c>
      <c r="H859" s="19">
        <v>54.42</v>
      </c>
      <c r="I859" s="15">
        <v>4804736</v>
      </c>
      <c r="J859" s="19">
        <f t="shared" si="67"/>
        <v>7.3556454578887723E-2</v>
      </c>
      <c r="K859" s="19">
        <f t="shared" si="63"/>
        <v>51.474499999999992</v>
      </c>
      <c r="L859" s="19">
        <f t="shared" si="66"/>
        <v>52.291999999999987</v>
      </c>
      <c r="M859" s="19">
        <f>MAX(G788:G859)</f>
        <v>59.55</v>
      </c>
      <c r="N859" s="19">
        <f t="shared" si="64"/>
        <v>-8.6146095717884066</v>
      </c>
      <c r="O859" s="9" t="str">
        <f t="shared" si="65"/>
        <v>2024-04</v>
      </c>
    </row>
    <row r="860" spans="1:15" x14ac:dyDescent="0.25">
      <c r="A860" s="9" t="s">
        <v>312</v>
      </c>
      <c r="B860" s="9" t="s">
        <v>313</v>
      </c>
      <c r="C860" s="25" t="s">
        <v>118</v>
      </c>
      <c r="D860" s="19">
        <v>54.42</v>
      </c>
      <c r="E860" s="19">
        <v>55.62</v>
      </c>
      <c r="F860" s="19">
        <v>54.18</v>
      </c>
      <c r="G860" s="19">
        <v>54.95</v>
      </c>
      <c r="H860" s="19">
        <v>54.95</v>
      </c>
      <c r="I860" s="15">
        <v>3350770</v>
      </c>
      <c r="J860" s="19">
        <f t="shared" si="67"/>
        <v>0.97390665196619097</v>
      </c>
      <c r="K860" s="19">
        <f t="shared" si="63"/>
        <v>51.73299999999999</v>
      </c>
      <c r="L860" s="19">
        <f t="shared" si="66"/>
        <v>52.228399999999986</v>
      </c>
      <c r="M860" s="19">
        <f>MAX(G788:G860)</f>
        <v>59.55</v>
      </c>
      <c r="N860" s="19">
        <f t="shared" si="64"/>
        <v>-7.7246011754827784</v>
      </c>
      <c r="O860" s="9" t="str">
        <f t="shared" si="65"/>
        <v>2024-04</v>
      </c>
    </row>
    <row r="861" spans="1:15" x14ac:dyDescent="0.25">
      <c r="A861" s="9" t="s">
        <v>312</v>
      </c>
      <c r="B861" s="9" t="s">
        <v>313</v>
      </c>
      <c r="C861" s="25" t="s">
        <v>119</v>
      </c>
      <c r="D861" s="19">
        <v>54.95</v>
      </c>
      <c r="E861" s="19">
        <v>55.89</v>
      </c>
      <c r="F861" s="19">
        <v>54.61</v>
      </c>
      <c r="G861" s="19">
        <v>55.82</v>
      </c>
      <c r="H861" s="19">
        <v>55.82</v>
      </c>
      <c r="I861" s="15">
        <v>4997938</v>
      </c>
      <c r="J861" s="19">
        <f t="shared" si="67"/>
        <v>1.583257506824381</v>
      </c>
      <c r="K861" s="19">
        <f t="shared" si="63"/>
        <v>52.035999999999987</v>
      </c>
      <c r="L861" s="19">
        <f t="shared" si="66"/>
        <v>52.194999999999993</v>
      </c>
      <c r="M861" s="19">
        <f>MAX(G788:G861)</f>
        <v>59.55</v>
      </c>
      <c r="N861" s="19">
        <f t="shared" si="64"/>
        <v>-6.2636439966414725</v>
      </c>
      <c r="O861" s="9" t="str">
        <f t="shared" si="65"/>
        <v>2024-04</v>
      </c>
    </row>
    <row r="862" spans="1:15" x14ac:dyDescent="0.25">
      <c r="A862" s="9" t="s">
        <v>312</v>
      </c>
      <c r="B862" s="9" t="s">
        <v>313</v>
      </c>
      <c r="C862" s="25" t="s">
        <v>120</v>
      </c>
      <c r="D862" s="19">
        <v>55.82</v>
      </c>
      <c r="E862" s="19">
        <v>55.89</v>
      </c>
      <c r="F862" s="19">
        <v>54.94</v>
      </c>
      <c r="G862" s="19">
        <v>55.04</v>
      </c>
      <c r="H862" s="19">
        <v>55.04</v>
      </c>
      <c r="I862" s="15">
        <v>4321196</v>
      </c>
      <c r="J862" s="19">
        <f t="shared" si="67"/>
        <v>-1.3973486205661074</v>
      </c>
      <c r="K862" s="19">
        <f t="shared" si="63"/>
        <v>52.322000000000003</v>
      </c>
      <c r="L862" s="19">
        <f t="shared" si="66"/>
        <v>52.141199999999991</v>
      </c>
      <c r="M862" s="19">
        <f>MAX(G788:G862)</f>
        <v>59.55</v>
      </c>
      <c r="N862" s="19">
        <f t="shared" si="64"/>
        <v>-7.5734676742233384</v>
      </c>
      <c r="O862" s="9" t="str">
        <f t="shared" si="65"/>
        <v>2024-04</v>
      </c>
    </row>
    <row r="863" spans="1:15" x14ac:dyDescent="0.25">
      <c r="A863" s="9" t="s">
        <v>312</v>
      </c>
      <c r="B863" s="9" t="s">
        <v>313</v>
      </c>
      <c r="C863" s="25" t="s">
        <v>121</v>
      </c>
      <c r="D863" s="19">
        <v>55.04</v>
      </c>
      <c r="E863" s="19">
        <v>55.12</v>
      </c>
      <c r="F863" s="19">
        <v>54.39</v>
      </c>
      <c r="G863" s="19">
        <v>54.63</v>
      </c>
      <c r="H863" s="19">
        <v>54.63</v>
      </c>
      <c r="I863" s="15">
        <v>6242417</v>
      </c>
      <c r="J863" s="19">
        <f t="shared" si="67"/>
        <v>-0.74491279069766825</v>
      </c>
      <c r="K863" s="19">
        <f t="shared" si="63"/>
        <v>52.573500000000003</v>
      </c>
      <c r="L863" s="19">
        <f t="shared" si="66"/>
        <v>52.175999999999995</v>
      </c>
      <c r="M863" s="19">
        <f>MAX(G788:G863)</f>
        <v>59.55</v>
      </c>
      <c r="N863" s="19">
        <f t="shared" si="64"/>
        <v>-8.2619647355163632</v>
      </c>
      <c r="O863" s="9" t="str">
        <f t="shared" si="65"/>
        <v>2024-04</v>
      </c>
    </row>
    <row r="864" spans="1:15" x14ac:dyDescent="0.25">
      <c r="A864" s="9" t="s">
        <v>312</v>
      </c>
      <c r="B864" s="9" t="s">
        <v>313</v>
      </c>
      <c r="C864" s="25" t="s">
        <v>122</v>
      </c>
      <c r="D864" s="19">
        <v>54.63</v>
      </c>
      <c r="E864" s="19">
        <v>54.89</v>
      </c>
      <c r="F864" s="19">
        <v>54.35</v>
      </c>
      <c r="G864" s="19">
        <v>54.84</v>
      </c>
      <c r="H864" s="19">
        <v>54.84</v>
      </c>
      <c r="I864" s="15">
        <v>2914746</v>
      </c>
      <c r="J864" s="19">
        <f t="shared" si="67"/>
        <v>0.3844041735310284</v>
      </c>
      <c r="K864" s="19">
        <f t="shared" si="63"/>
        <v>52.845499999999994</v>
      </c>
      <c r="L864" s="19">
        <f t="shared" si="66"/>
        <v>52.221599999999995</v>
      </c>
      <c r="M864" s="19">
        <f>MAX(G788:G864)</f>
        <v>59.55</v>
      </c>
      <c r="N864" s="19">
        <f t="shared" si="64"/>
        <v>-7.9093198992443225</v>
      </c>
      <c r="O864" s="9" t="str">
        <f t="shared" si="65"/>
        <v>2024-04</v>
      </c>
    </row>
    <row r="865" spans="1:15" x14ac:dyDescent="0.25">
      <c r="A865" s="9" t="s">
        <v>312</v>
      </c>
      <c r="B865" s="9" t="s">
        <v>313</v>
      </c>
      <c r="C865" s="25" t="s">
        <v>123</v>
      </c>
      <c r="D865" s="19">
        <v>54.84</v>
      </c>
      <c r="E865" s="19">
        <v>55.16</v>
      </c>
      <c r="F865" s="19">
        <v>54.49</v>
      </c>
      <c r="G865" s="19">
        <v>54.62</v>
      </c>
      <c r="H865" s="19">
        <v>54.62</v>
      </c>
      <c r="I865" s="15">
        <v>4197621</v>
      </c>
      <c r="J865" s="19">
        <f t="shared" si="67"/>
        <v>-0.4011670313639788</v>
      </c>
      <c r="K865" s="19">
        <f t="shared" si="63"/>
        <v>53.095499999999994</v>
      </c>
      <c r="L865" s="19">
        <f t="shared" si="66"/>
        <v>52.241800000000005</v>
      </c>
      <c r="M865" s="19">
        <f>MAX(G788:G865)</f>
        <v>59.55</v>
      </c>
      <c r="N865" s="19">
        <f t="shared" si="64"/>
        <v>-8.2787573467674225</v>
      </c>
      <c r="O865" s="9" t="str">
        <f t="shared" si="65"/>
        <v>2024-04</v>
      </c>
    </row>
    <row r="866" spans="1:15" x14ac:dyDescent="0.25">
      <c r="A866" s="9" t="s">
        <v>312</v>
      </c>
      <c r="B866" s="9" t="s">
        <v>313</v>
      </c>
      <c r="C866" s="25" t="s">
        <v>124</v>
      </c>
      <c r="D866" s="19">
        <v>54.62</v>
      </c>
      <c r="E866" s="19">
        <v>54.95</v>
      </c>
      <c r="F866" s="19">
        <v>54.58</v>
      </c>
      <c r="G866" s="19">
        <v>54.78</v>
      </c>
      <c r="H866" s="19">
        <v>54.78</v>
      </c>
      <c r="I866" s="15">
        <v>1394820</v>
      </c>
      <c r="J866" s="19">
        <f t="shared" si="67"/>
        <v>0.29293299157818325</v>
      </c>
      <c r="K866" s="19">
        <f t="shared" si="63"/>
        <v>53.29</v>
      </c>
      <c r="L866" s="19">
        <f t="shared" si="66"/>
        <v>52.277200000000015</v>
      </c>
      <c r="M866" s="19">
        <f>MAX(G788:G866)</f>
        <v>59.55</v>
      </c>
      <c r="N866" s="19">
        <f t="shared" si="64"/>
        <v>-8.0100755667506238</v>
      </c>
      <c r="O866" s="9" t="str">
        <f t="shared" si="65"/>
        <v>2024-04</v>
      </c>
    </row>
    <row r="867" spans="1:15" x14ac:dyDescent="0.25">
      <c r="A867" s="9" t="s">
        <v>312</v>
      </c>
      <c r="B867" s="9" t="s">
        <v>313</v>
      </c>
      <c r="C867" s="25" t="s">
        <v>125</v>
      </c>
      <c r="D867" s="19">
        <v>54.78</v>
      </c>
      <c r="E867" s="19">
        <v>54.9</v>
      </c>
      <c r="F867" s="19">
        <v>53.96</v>
      </c>
      <c r="G867" s="19">
        <v>54.02</v>
      </c>
      <c r="H867" s="19">
        <v>54.02</v>
      </c>
      <c r="I867" s="15">
        <v>1925585</v>
      </c>
      <c r="J867" s="19">
        <f t="shared" si="67"/>
        <v>-1.3873676524278897</v>
      </c>
      <c r="K867" s="19">
        <f t="shared" si="63"/>
        <v>53.448</v>
      </c>
      <c r="L867" s="19">
        <f t="shared" si="66"/>
        <v>52.299400000000013</v>
      </c>
      <c r="M867" s="19">
        <f>MAX(G788:G867)</f>
        <v>59.55</v>
      </c>
      <c r="N867" s="19">
        <f t="shared" si="64"/>
        <v>-9.2863140218303837</v>
      </c>
      <c r="O867" s="9" t="str">
        <f t="shared" si="65"/>
        <v>2024-04</v>
      </c>
    </row>
    <row r="868" spans="1:15" x14ac:dyDescent="0.25">
      <c r="A868" s="9" t="s">
        <v>312</v>
      </c>
      <c r="B868" s="9" t="s">
        <v>313</v>
      </c>
      <c r="C868" s="25" t="s">
        <v>126</v>
      </c>
      <c r="D868" s="19">
        <v>54.02</v>
      </c>
      <c r="E868" s="19">
        <v>54.55</v>
      </c>
      <c r="F868" s="19">
        <v>53.88</v>
      </c>
      <c r="G868" s="19">
        <v>53.9</v>
      </c>
      <c r="H868" s="19">
        <v>53.9</v>
      </c>
      <c r="I868" s="15">
        <v>2227679</v>
      </c>
      <c r="J868" s="19">
        <f t="shared" si="67"/>
        <v>-0.22213994816735386</v>
      </c>
      <c r="K868" s="19">
        <f t="shared" si="63"/>
        <v>53.596000000000004</v>
      </c>
      <c r="L868" s="19">
        <f t="shared" si="66"/>
        <v>52.318000000000019</v>
      </c>
      <c r="M868" s="19">
        <f>MAX(G788:G868)</f>
        <v>59.55</v>
      </c>
      <c r="N868" s="19">
        <f t="shared" si="64"/>
        <v>-9.4878253568429862</v>
      </c>
      <c r="O868" s="9" t="str">
        <f t="shared" si="65"/>
        <v>2024-04</v>
      </c>
    </row>
    <row r="869" spans="1:15" x14ac:dyDescent="0.25">
      <c r="A869" s="9" t="s">
        <v>312</v>
      </c>
      <c r="B869" s="9" t="s">
        <v>313</v>
      </c>
      <c r="C869" s="25" t="s">
        <v>127</v>
      </c>
      <c r="D869" s="19">
        <v>53.9</v>
      </c>
      <c r="E869" s="19">
        <v>54.61</v>
      </c>
      <c r="F869" s="19">
        <v>53.77</v>
      </c>
      <c r="G869" s="19">
        <v>54.17</v>
      </c>
      <c r="H869" s="19">
        <v>54.17</v>
      </c>
      <c r="I869" s="15">
        <v>6617692</v>
      </c>
      <c r="J869" s="19">
        <f t="shared" si="67"/>
        <v>0.50092764378479249</v>
      </c>
      <c r="K869" s="19">
        <f t="shared" si="63"/>
        <v>53.8005</v>
      </c>
      <c r="L869" s="19">
        <f t="shared" si="66"/>
        <v>52.334600000000016</v>
      </c>
      <c r="M869" s="19">
        <f>MAX(G788:G869)</f>
        <v>59.55</v>
      </c>
      <c r="N869" s="19">
        <f t="shared" si="64"/>
        <v>-9.0344248530646443</v>
      </c>
      <c r="O869" s="9" t="str">
        <f t="shared" si="65"/>
        <v>2024-04</v>
      </c>
    </row>
    <row r="870" spans="1:15" x14ac:dyDescent="0.25">
      <c r="A870" s="9" t="s">
        <v>312</v>
      </c>
      <c r="B870" s="9" t="s">
        <v>313</v>
      </c>
      <c r="C870" s="25" t="s">
        <v>128</v>
      </c>
      <c r="D870" s="19">
        <v>54.17</v>
      </c>
      <c r="E870" s="19">
        <v>54.27</v>
      </c>
      <c r="F870" s="19">
        <v>53.04</v>
      </c>
      <c r="G870" s="19">
        <v>53.33</v>
      </c>
      <c r="H870" s="19">
        <v>53.33</v>
      </c>
      <c r="I870" s="15">
        <v>4831206</v>
      </c>
      <c r="J870" s="19">
        <f t="shared" si="67"/>
        <v>-1.5506738046889486</v>
      </c>
      <c r="K870" s="19">
        <f t="shared" si="63"/>
        <v>53.93249999999999</v>
      </c>
      <c r="L870" s="19">
        <f t="shared" si="66"/>
        <v>52.340200000000024</v>
      </c>
      <c r="M870" s="19">
        <f>MAX(G788:G870)</f>
        <v>59.55</v>
      </c>
      <c r="N870" s="19">
        <f t="shared" si="64"/>
        <v>-10.445004198152812</v>
      </c>
      <c r="O870" s="9" t="str">
        <f t="shared" si="65"/>
        <v>2024-04</v>
      </c>
    </row>
    <row r="871" spans="1:15" x14ac:dyDescent="0.25">
      <c r="A871" s="9" t="s">
        <v>312</v>
      </c>
      <c r="B871" s="9" t="s">
        <v>313</v>
      </c>
      <c r="C871" s="25" t="s">
        <v>129</v>
      </c>
      <c r="D871" s="19">
        <v>53.33</v>
      </c>
      <c r="E871" s="19">
        <v>54.09</v>
      </c>
      <c r="F871" s="19">
        <v>53.15</v>
      </c>
      <c r="G871" s="19">
        <v>53.91</v>
      </c>
      <c r="H871" s="19">
        <v>53.91</v>
      </c>
      <c r="I871" s="15">
        <v>6339994</v>
      </c>
      <c r="J871" s="19">
        <f t="shared" si="67"/>
        <v>1.0875679729983092</v>
      </c>
      <c r="K871" s="19">
        <f t="shared" ref="K871:K934" si="68">AVERAGE(G852:G871)</f>
        <v>54.105999999999995</v>
      </c>
      <c r="L871" s="19">
        <f t="shared" si="66"/>
        <v>52.350600000000014</v>
      </c>
      <c r="M871" s="19">
        <f>MAX(G788:G871)</f>
        <v>59.55</v>
      </c>
      <c r="N871" s="19">
        <f t="shared" si="64"/>
        <v>-9.4710327455919412</v>
      </c>
      <c r="O871" s="9" t="str">
        <f t="shared" si="65"/>
        <v>2024-04</v>
      </c>
    </row>
    <row r="872" spans="1:15" x14ac:dyDescent="0.25">
      <c r="A872" s="9" t="s">
        <v>312</v>
      </c>
      <c r="B872" s="9" t="s">
        <v>313</v>
      </c>
      <c r="C872" s="25" t="s">
        <v>130</v>
      </c>
      <c r="D872" s="19">
        <v>53.91</v>
      </c>
      <c r="E872" s="19">
        <v>53.94</v>
      </c>
      <c r="F872" s="19">
        <v>53.83</v>
      </c>
      <c r="G872" s="19">
        <v>53.83</v>
      </c>
      <c r="H872" s="19">
        <v>53.83</v>
      </c>
      <c r="I872" s="15">
        <v>2725145</v>
      </c>
      <c r="J872" s="19">
        <f t="shared" si="67"/>
        <v>-0.14839547393804173</v>
      </c>
      <c r="K872" s="19">
        <f t="shared" si="68"/>
        <v>54.249499999999998</v>
      </c>
      <c r="L872" s="19">
        <f t="shared" si="66"/>
        <v>52.351400000000012</v>
      </c>
      <c r="M872" s="19">
        <f>MAX(G788:G872)</f>
        <v>59.55</v>
      </c>
      <c r="N872" s="19">
        <f t="shared" si="64"/>
        <v>-9.6053736356003334</v>
      </c>
      <c r="O872" s="9" t="str">
        <f t="shared" si="65"/>
        <v>2024-04</v>
      </c>
    </row>
    <row r="873" spans="1:15" x14ac:dyDescent="0.25">
      <c r="A873" s="9" t="s">
        <v>312</v>
      </c>
      <c r="B873" s="9" t="s">
        <v>313</v>
      </c>
      <c r="C873" s="25" t="s">
        <v>131</v>
      </c>
      <c r="D873" s="19">
        <v>53.83</v>
      </c>
      <c r="E873" s="19">
        <v>54.48</v>
      </c>
      <c r="F873" s="19">
        <v>53.79</v>
      </c>
      <c r="G873" s="19">
        <v>54.38</v>
      </c>
      <c r="H873" s="19">
        <v>54.38</v>
      </c>
      <c r="I873" s="15">
        <v>3508491</v>
      </c>
      <c r="J873" s="19">
        <f t="shared" si="67"/>
        <v>1.0217350919561663</v>
      </c>
      <c r="K873" s="19">
        <f t="shared" si="68"/>
        <v>54.410000000000004</v>
      </c>
      <c r="L873" s="19">
        <f t="shared" si="66"/>
        <v>52.384000000000007</v>
      </c>
      <c r="M873" s="19">
        <f>MAX(G788:G873)</f>
        <v>59.55</v>
      </c>
      <c r="N873" s="19">
        <f t="shared" si="64"/>
        <v>-8.6817800167926027</v>
      </c>
      <c r="O873" s="9" t="str">
        <f t="shared" si="65"/>
        <v>2024-04</v>
      </c>
    </row>
    <row r="874" spans="1:15" x14ac:dyDescent="0.25">
      <c r="A874" s="9" t="s">
        <v>312</v>
      </c>
      <c r="B874" s="9" t="s">
        <v>313</v>
      </c>
      <c r="C874" s="25" t="s">
        <v>132</v>
      </c>
      <c r="D874" s="19">
        <v>54.38</v>
      </c>
      <c r="E874" s="19">
        <v>54.68</v>
      </c>
      <c r="F874" s="19">
        <v>54.25</v>
      </c>
      <c r="G874" s="19">
        <v>54.63</v>
      </c>
      <c r="H874" s="19">
        <v>54.63</v>
      </c>
      <c r="I874" s="15">
        <v>3769686</v>
      </c>
      <c r="J874" s="19">
        <f t="shared" si="67"/>
        <v>0.45972784111805809</v>
      </c>
      <c r="K874" s="19">
        <f t="shared" si="68"/>
        <v>54.418000000000006</v>
      </c>
      <c r="L874" s="19">
        <f t="shared" si="66"/>
        <v>52.431000000000012</v>
      </c>
      <c r="M874" s="19">
        <f>MAX(G788:G874)</f>
        <v>59.55</v>
      </c>
      <c r="N874" s="19">
        <f t="shared" si="64"/>
        <v>-8.2619647355163632</v>
      </c>
      <c r="O874" s="9" t="str">
        <f t="shared" si="65"/>
        <v>2024-04</v>
      </c>
    </row>
    <row r="875" spans="1:15" x14ac:dyDescent="0.25">
      <c r="A875" s="9" t="s">
        <v>312</v>
      </c>
      <c r="B875" s="9" t="s">
        <v>313</v>
      </c>
      <c r="C875" s="25" t="s">
        <v>133</v>
      </c>
      <c r="D875" s="19">
        <v>54.63</v>
      </c>
      <c r="E875" s="19">
        <v>54.74</v>
      </c>
      <c r="F875" s="19">
        <v>54.61</v>
      </c>
      <c r="G875" s="19">
        <v>54.71</v>
      </c>
      <c r="H875" s="19">
        <v>54.71</v>
      </c>
      <c r="I875" s="15">
        <v>2419365</v>
      </c>
      <c r="J875" s="19">
        <f t="shared" si="67"/>
        <v>0.14643968515467379</v>
      </c>
      <c r="K875" s="19">
        <f t="shared" si="68"/>
        <v>54.426499999999997</v>
      </c>
      <c r="L875" s="19">
        <f t="shared" si="66"/>
        <v>52.465000000000011</v>
      </c>
      <c r="M875" s="19">
        <f>MAX(G788:G875)</f>
        <v>59.55</v>
      </c>
      <c r="N875" s="19">
        <f t="shared" si="64"/>
        <v>-8.127623845507971</v>
      </c>
      <c r="O875" s="9" t="str">
        <f t="shared" si="65"/>
        <v>2024-05</v>
      </c>
    </row>
    <row r="876" spans="1:15" x14ac:dyDescent="0.25">
      <c r="A876" s="9" t="s">
        <v>312</v>
      </c>
      <c r="B876" s="9" t="s">
        <v>313</v>
      </c>
      <c r="C876" s="25" t="s">
        <v>134</v>
      </c>
      <c r="D876" s="19">
        <v>54.71</v>
      </c>
      <c r="E876" s="19">
        <v>55.11</v>
      </c>
      <c r="F876" s="19">
        <v>52.87</v>
      </c>
      <c r="G876" s="19">
        <v>53.03</v>
      </c>
      <c r="H876" s="19">
        <v>53.03</v>
      </c>
      <c r="I876" s="15">
        <v>2384276</v>
      </c>
      <c r="J876" s="19">
        <f t="shared" si="67"/>
        <v>-3.0707366112228107</v>
      </c>
      <c r="K876" s="19">
        <f t="shared" si="68"/>
        <v>54.366</v>
      </c>
      <c r="L876" s="19">
        <f t="shared" si="66"/>
        <v>52.468000000000011</v>
      </c>
      <c r="M876" s="19">
        <f>MAX(G788:G876)</f>
        <v>59.55</v>
      </c>
      <c r="N876" s="19">
        <f t="shared" si="64"/>
        <v>-10.948782535684293</v>
      </c>
      <c r="O876" s="9" t="str">
        <f t="shared" si="65"/>
        <v>2024-05</v>
      </c>
    </row>
    <row r="877" spans="1:15" x14ac:dyDescent="0.25">
      <c r="A877" s="9" t="s">
        <v>312</v>
      </c>
      <c r="B877" s="9" t="s">
        <v>313</v>
      </c>
      <c r="C877" s="25" t="s">
        <v>135</v>
      </c>
      <c r="D877" s="19">
        <v>53.03</v>
      </c>
      <c r="E877" s="19">
        <v>53.07</v>
      </c>
      <c r="F877" s="19">
        <v>52.44</v>
      </c>
      <c r="G877" s="19">
        <v>52.54</v>
      </c>
      <c r="H877" s="19">
        <v>52.54</v>
      </c>
      <c r="I877" s="15">
        <v>4525922</v>
      </c>
      <c r="J877" s="19">
        <f t="shared" si="67"/>
        <v>-0.92400528003017546</v>
      </c>
      <c r="K877" s="19">
        <f t="shared" si="68"/>
        <v>54.296500000000002</v>
      </c>
      <c r="L877" s="19">
        <f t="shared" si="66"/>
        <v>52.467000000000006</v>
      </c>
      <c r="M877" s="19">
        <f>MAX(G788:G877)</f>
        <v>59.55</v>
      </c>
      <c r="N877" s="19">
        <f t="shared" si="64"/>
        <v>-11.771620486985723</v>
      </c>
      <c r="O877" s="9" t="str">
        <f t="shared" si="65"/>
        <v>2024-05</v>
      </c>
    </row>
    <row r="878" spans="1:15" x14ac:dyDescent="0.25">
      <c r="A878" s="9" t="s">
        <v>312</v>
      </c>
      <c r="B878" s="9" t="s">
        <v>313</v>
      </c>
      <c r="C878" s="25" t="s">
        <v>136</v>
      </c>
      <c r="D878" s="19">
        <v>52.54</v>
      </c>
      <c r="E878" s="19">
        <v>53.34</v>
      </c>
      <c r="F878" s="19">
        <v>52.34</v>
      </c>
      <c r="G878" s="19">
        <v>52.8</v>
      </c>
      <c r="H878" s="19">
        <v>52.8</v>
      </c>
      <c r="I878" s="15">
        <v>6022160</v>
      </c>
      <c r="J878" s="19">
        <f t="shared" si="67"/>
        <v>0.49486105824133614</v>
      </c>
      <c r="K878" s="19">
        <f t="shared" si="68"/>
        <v>54.217499999999994</v>
      </c>
      <c r="L878" s="19">
        <f t="shared" si="66"/>
        <v>52.470000000000006</v>
      </c>
      <c r="M878" s="19">
        <f>MAX(G788:G878)</f>
        <v>59.55</v>
      </c>
      <c r="N878" s="19">
        <f t="shared" si="64"/>
        <v>-11.335012594458439</v>
      </c>
      <c r="O878" s="9" t="str">
        <f t="shared" si="65"/>
        <v>2024-05</v>
      </c>
    </row>
    <row r="879" spans="1:15" x14ac:dyDescent="0.25">
      <c r="A879" s="9" t="s">
        <v>312</v>
      </c>
      <c r="B879" s="9" t="s">
        <v>313</v>
      </c>
      <c r="C879" s="25" t="s">
        <v>137</v>
      </c>
      <c r="D879" s="19">
        <v>52.8</v>
      </c>
      <c r="E879" s="19">
        <v>53.35</v>
      </c>
      <c r="F879" s="19">
        <v>52.26</v>
      </c>
      <c r="G879" s="19">
        <v>53.31</v>
      </c>
      <c r="H879" s="19">
        <v>53.31</v>
      </c>
      <c r="I879" s="15">
        <v>3000974</v>
      </c>
      <c r="J879" s="19">
        <f t="shared" si="67"/>
        <v>0.9659090909091006</v>
      </c>
      <c r="K879" s="19">
        <f t="shared" si="68"/>
        <v>54.161999999999992</v>
      </c>
      <c r="L879" s="19">
        <f t="shared" si="66"/>
        <v>52.490800000000007</v>
      </c>
      <c r="M879" s="19">
        <f>MAX(G788:G879)</f>
        <v>59.55</v>
      </c>
      <c r="N879" s="19">
        <f t="shared" si="64"/>
        <v>-10.478589420654902</v>
      </c>
      <c r="O879" s="9" t="str">
        <f t="shared" si="65"/>
        <v>2024-05</v>
      </c>
    </row>
    <row r="880" spans="1:15" x14ac:dyDescent="0.25">
      <c r="A880" s="9" t="s">
        <v>312</v>
      </c>
      <c r="B880" s="9" t="s">
        <v>313</v>
      </c>
      <c r="C880" s="25" t="s">
        <v>138</v>
      </c>
      <c r="D880" s="19">
        <v>53.31</v>
      </c>
      <c r="E880" s="19">
        <v>53.63</v>
      </c>
      <c r="F880" s="19">
        <v>52.77</v>
      </c>
      <c r="G880" s="19">
        <v>53.39</v>
      </c>
      <c r="H880" s="19">
        <v>53.39</v>
      </c>
      <c r="I880" s="15">
        <v>2462051</v>
      </c>
      <c r="J880" s="19">
        <f t="shared" si="67"/>
        <v>0.15006565372350084</v>
      </c>
      <c r="K880" s="19">
        <f t="shared" si="68"/>
        <v>54.084000000000003</v>
      </c>
      <c r="L880" s="19">
        <f t="shared" si="66"/>
        <v>52.512200000000014</v>
      </c>
      <c r="M880" s="19">
        <f>MAX(G788:G880)</f>
        <v>59.55</v>
      </c>
      <c r="N880" s="19">
        <f t="shared" si="64"/>
        <v>-10.34424853064651</v>
      </c>
      <c r="O880" s="9" t="str">
        <f t="shared" si="65"/>
        <v>2024-05</v>
      </c>
    </row>
    <row r="881" spans="1:15" x14ac:dyDescent="0.25">
      <c r="A881" s="9" t="s">
        <v>312</v>
      </c>
      <c r="B881" s="9" t="s">
        <v>313</v>
      </c>
      <c r="C881" s="25" t="s">
        <v>139</v>
      </c>
      <c r="D881" s="19">
        <v>53.39</v>
      </c>
      <c r="E881" s="19">
        <v>53.66</v>
      </c>
      <c r="F881" s="19">
        <v>52.27</v>
      </c>
      <c r="G881" s="19">
        <v>52.37</v>
      </c>
      <c r="H881" s="19">
        <v>52.37</v>
      </c>
      <c r="I881" s="15">
        <v>3646561</v>
      </c>
      <c r="J881" s="19">
        <f t="shared" si="67"/>
        <v>-1.9104701254916712</v>
      </c>
      <c r="K881" s="19">
        <f t="shared" si="68"/>
        <v>53.91149999999999</v>
      </c>
      <c r="L881" s="19">
        <f t="shared" si="66"/>
        <v>52.518200000000014</v>
      </c>
      <c r="M881" s="19">
        <f>MAX(G788:G881)</f>
        <v>59.55</v>
      </c>
      <c r="N881" s="19">
        <f t="shared" si="64"/>
        <v>-12.057094878253569</v>
      </c>
      <c r="O881" s="9" t="str">
        <f t="shared" si="65"/>
        <v>2024-05</v>
      </c>
    </row>
    <row r="882" spans="1:15" x14ac:dyDescent="0.25">
      <c r="A882" s="9" t="s">
        <v>312</v>
      </c>
      <c r="B882" s="9" t="s">
        <v>313</v>
      </c>
      <c r="C882" s="25" t="s">
        <v>140</v>
      </c>
      <c r="D882" s="19">
        <v>52.37</v>
      </c>
      <c r="E882" s="19">
        <v>52.46</v>
      </c>
      <c r="F882" s="19">
        <v>51.94</v>
      </c>
      <c r="G882" s="19">
        <v>51.95</v>
      </c>
      <c r="H882" s="19">
        <v>51.95</v>
      </c>
      <c r="I882" s="15">
        <v>3711629</v>
      </c>
      <c r="J882" s="19">
        <f t="shared" si="67"/>
        <v>-0.80198586977276043</v>
      </c>
      <c r="K882" s="19">
        <f t="shared" si="68"/>
        <v>53.756999999999991</v>
      </c>
      <c r="L882" s="19">
        <f t="shared" si="66"/>
        <v>52.52300000000001</v>
      </c>
      <c r="M882" s="19">
        <f>MAX(G788:G882)</f>
        <v>59.55</v>
      </c>
      <c r="N882" s="19">
        <f t="shared" si="64"/>
        <v>-12.762384550797639</v>
      </c>
      <c r="O882" s="9" t="str">
        <f t="shared" si="65"/>
        <v>2024-05</v>
      </c>
    </row>
    <row r="883" spans="1:15" x14ac:dyDescent="0.25">
      <c r="A883" s="9" t="s">
        <v>312</v>
      </c>
      <c r="B883" s="9" t="s">
        <v>313</v>
      </c>
      <c r="C883" s="25" t="s">
        <v>141</v>
      </c>
      <c r="D883" s="19">
        <v>51.95</v>
      </c>
      <c r="E883" s="19">
        <v>52.95</v>
      </c>
      <c r="F883" s="19">
        <v>51.61</v>
      </c>
      <c r="G883" s="19">
        <v>52.9</v>
      </c>
      <c r="H883" s="19">
        <v>52.9</v>
      </c>
      <c r="I883" s="15">
        <v>3680555</v>
      </c>
      <c r="J883" s="19">
        <f t="shared" si="67"/>
        <v>1.8286814244465748</v>
      </c>
      <c r="K883" s="19">
        <f t="shared" si="68"/>
        <v>53.670500000000004</v>
      </c>
      <c r="L883" s="19">
        <f t="shared" si="66"/>
        <v>52.566200000000009</v>
      </c>
      <c r="M883" s="19">
        <f>MAX(G788:G883)</f>
        <v>59.55</v>
      </c>
      <c r="N883" s="19">
        <f t="shared" si="64"/>
        <v>-11.167086481947941</v>
      </c>
      <c r="O883" s="9" t="str">
        <f t="shared" si="65"/>
        <v>2024-05</v>
      </c>
    </row>
    <row r="884" spans="1:15" x14ac:dyDescent="0.25">
      <c r="A884" s="9" t="s">
        <v>312</v>
      </c>
      <c r="B884" s="9" t="s">
        <v>313</v>
      </c>
      <c r="C884" s="25" t="s">
        <v>142</v>
      </c>
      <c r="D884" s="19">
        <v>52.9</v>
      </c>
      <c r="E884" s="19">
        <v>53.51</v>
      </c>
      <c r="F884" s="19">
        <v>52.8</v>
      </c>
      <c r="G884" s="19">
        <v>53.3</v>
      </c>
      <c r="H884" s="19">
        <v>53.3</v>
      </c>
      <c r="I884" s="15">
        <v>3528276</v>
      </c>
      <c r="J884" s="19">
        <f t="shared" si="67"/>
        <v>0.75614366729678373</v>
      </c>
      <c r="K884" s="19">
        <f t="shared" si="68"/>
        <v>53.593500000000006</v>
      </c>
      <c r="L884" s="19">
        <f t="shared" si="66"/>
        <v>52.615800000000007</v>
      </c>
      <c r="M884" s="19">
        <f>MAX(G788:G884)</f>
        <v>59.55</v>
      </c>
      <c r="N884" s="19">
        <f t="shared" si="64"/>
        <v>-10.495382031905962</v>
      </c>
      <c r="O884" s="9" t="str">
        <f t="shared" si="65"/>
        <v>2024-05</v>
      </c>
    </row>
    <row r="885" spans="1:15" x14ac:dyDescent="0.25">
      <c r="A885" s="9" t="s">
        <v>312</v>
      </c>
      <c r="B885" s="9" t="s">
        <v>313</v>
      </c>
      <c r="C885" s="25" t="s">
        <v>143</v>
      </c>
      <c r="D885" s="19">
        <v>53.3</v>
      </c>
      <c r="E885" s="19">
        <v>53.57</v>
      </c>
      <c r="F885" s="19">
        <v>53.02</v>
      </c>
      <c r="G885" s="19">
        <v>53.56</v>
      </c>
      <c r="H885" s="19">
        <v>53.56</v>
      </c>
      <c r="I885" s="15">
        <v>5006901</v>
      </c>
      <c r="J885" s="19">
        <f t="shared" si="67"/>
        <v>0.48780487804879014</v>
      </c>
      <c r="K885" s="19">
        <f t="shared" si="68"/>
        <v>53.540499999999994</v>
      </c>
      <c r="L885" s="19">
        <f t="shared" si="66"/>
        <v>52.660800000000009</v>
      </c>
      <c r="M885" s="19">
        <f>MAX(G788:G885)</f>
        <v>59.55</v>
      </c>
      <c r="N885" s="19">
        <f t="shared" si="64"/>
        <v>-10.058774139378665</v>
      </c>
      <c r="O885" s="9" t="str">
        <f t="shared" si="65"/>
        <v>2024-05</v>
      </c>
    </row>
    <row r="886" spans="1:15" x14ac:dyDescent="0.25">
      <c r="A886" s="9" t="s">
        <v>312</v>
      </c>
      <c r="B886" s="9" t="s">
        <v>313</v>
      </c>
      <c r="C886" s="25" t="s">
        <v>144</v>
      </c>
      <c r="D886" s="19">
        <v>53.56</v>
      </c>
      <c r="E886" s="19">
        <v>54.7</v>
      </c>
      <c r="F886" s="19">
        <v>53.41</v>
      </c>
      <c r="G886" s="19">
        <v>53.96</v>
      </c>
      <c r="H886" s="19">
        <v>53.96</v>
      </c>
      <c r="I886" s="15">
        <v>4366596</v>
      </c>
      <c r="J886" s="19">
        <f t="shared" si="67"/>
        <v>0.74682598954443347</v>
      </c>
      <c r="K886" s="19">
        <f t="shared" si="68"/>
        <v>53.499499999999998</v>
      </c>
      <c r="L886" s="19">
        <f t="shared" si="66"/>
        <v>52.718200000000003</v>
      </c>
      <c r="M886" s="19">
        <f>MAX(G788:G886)</f>
        <v>59.55</v>
      </c>
      <c r="N886" s="19">
        <f t="shared" si="64"/>
        <v>-9.3870696893366858</v>
      </c>
      <c r="O886" s="9" t="str">
        <f t="shared" si="65"/>
        <v>2024-05</v>
      </c>
    </row>
    <row r="887" spans="1:15" x14ac:dyDescent="0.25">
      <c r="A887" s="9" t="s">
        <v>312</v>
      </c>
      <c r="B887" s="9" t="s">
        <v>313</v>
      </c>
      <c r="C887" s="25" t="s">
        <v>145</v>
      </c>
      <c r="D887" s="19">
        <v>53.96</v>
      </c>
      <c r="E887" s="19">
        <v>54.39</v>
      </c>
      <c r="F887" s="19">
        <v>53.74</v>
      </c>
      <c r="G887" s="19">
        <v>53.98</v>
      </c>
      <c r="H887" s="19">
        <v>53.98</v>
      </c>
      <c r="I887" s="15">
        <v>5233012</v>
      </c>
      <c r="J887" s="19">
        <f t="shared" si="67"/>
        <v>3.7064492216449259E-2</v>
      </c>
      <c r="K887" s="19">
        <f t="shared" si="68"/>
        <v>53.497500000000002</v>
      </c>
      <c r="L887" s="19">
        <f t="shared" si="66"/>
        <v>52.785200000000003</v>
      </c>
      <c r="M887" s="19">
        <f>MAX(G788:G887)</f>
        <v>59.55</v>
      </c>
      <c r="N887" s="19">
        <f t="shared" si="64"/>
        <v>-9.353484466834594</v>
      </c>
      <c r="O887" s="9" t="str">
        <f t="shared" si="65"/>
        <v>2024-05</v>
      </c>
    </row>
    <row r="888" spans="1:15" x14ac:dyDescent="0.25">
      <c r="A888" s="9" t="s">
        <v>312</v>
      </c>
      <c r="B888" s="9" t="s">
        <v>313</v>
      </c>
      <c r="C888" s="25" t="s">
        <v>146</v>
      </c>
      <c r="D888" s="19">
        <v>53.98</v>
      </c>
      <c r="E888" s="19">
        <v>54.15</v>
      </c>
      <c r="F888" s="19">
        <v>53.46</v>
      </c>
      <c r="G888" s="19">
        <v>53.53</v>
      </c>
      <c r="H888" s="19">
        <v>53.53</v>
      </c>
      <c r="I888" s="15">
        <v>5123675</v>
      </c>
      <c r="J888" s="19">
        <f t="shared" si="67"/>
        <v>-0.83364208966283015</v>
      </c>
      <c r="K888" s="19">
        <f t="shared" si="68"/>
        <v>53.479000000000006</v>
      </c>
      <c r="L888" s="19">
        <f t="shared" si="66"/>
        <v>52.83700000000001</v>
      </c>
      <c r="M888" s="19">
        <f>MAX(G788:G888)</f>
        <v>59.55</v>
      </c>
      <c r="N888" s="19">
        <f t="shared" si="64"/>
        <v>-10.109151973131816</v>
      </c>
      <c r="O888" s="9" t="str">
        <f t="shared" si="65"/>
        <v>2024-05</v>
      </c>
    </row>
    <row r="889" spans="1:15" x14ac:dyDescent="0.25">
      <c r="A889" s="9" t="s">
        <v>312</v>
      </c>
      <c r="B889" s="9" t="s">
        <v>313</v>
      </c>
      <c r="C889" s="25" t="s">
        <v>147</v>
      </c>
      <c r="D889" s="19">
        <v>53.53</v>
      </c>
      <c r="E889" s="19">
        <v>54.59</v>
      </c>
      <c r="F889" s="19">
        <v>53.14</v>
      </c>
      <c r="G889" s="19">
        <v>54.52</v>
      </c>
      <c r="H889" s="19">
        <v>54.52</v>
      </c>
      <c r="I889" s="15">
        <v>2476846</v>
      </c>
      <c r="J889" s="19">
        <f t="shared" si="67"/>
        <v>1.8494302260414757</v>
      </c>
      <c r="K889" s="19">
        <f t="shared" si="68"/>
        <v>53.496500000000005</v>
      </c>
      <c r="L889" s="19">
        <f t="shared" si="66"/>
        <v>52.9238</v>
      </c>
      <c r="M889" s="19">
        <f>MAX(G788:G889)</f>
        <v>59.55</v>
      </c>
      <c r="N889" s="19">
        <f t="shared" si="64"/>
        <v>-8.4466834592779083</v>
      </c>
      <c r="O889" s="9" t="str">
        <f t="shared" si="65"/>
        <v>2024-05</v>
      </c>
    </row>
    <row r="890" spans="1:15" x14ac:dyDescent="0.25">
      <c r="A890" s="9" t="s">
        <v>312</v>
      </c>
      <c r="B890" s="9" t="s">
        <v>313</v>
      </c>
      <c r="C890" s="25" t="s">
        <v>148</v>
      </c>
      <c r="D890" s="19">
        <v>54.52</v>
      </c>
      <c r="E890" s="19">
        <v>55.57</v>
      </c>
      <c r="F890" s="19">
        <v>54.41</v>
      </c>
      <c r="G890" s="19">
        <v>55.18</v>
      </c>
      <c r="H890" s="19">
        <v>55.18</v>
      </c>
      <c r="I890" s="15">
        <v>3940094</v>
      </c>
      <c r="J890" s="19">
        <f t="shared" si="67"/>
        <v>1.2105649303008008</v>
      </c>
      <c r="K890" s="19">
        <f t="shared" si="68"/>
        <v>53.589000000000013</v>
      </c>
      <c r="L890" s="19">
        <f t="shared" si="66"/>
        <v>53.031799999999997</v>
      </c>
      <c r="M890" s="19">
        <f>MAX(G788:G890)</f>
        <v>59.55</v>
      </c>
      <c r="N890" s="19">
        <f t="shared" si="64"/>
        <v>-7.3383711167086449</v>
      </c>
      <c r="O890" s="9" t="str">
        <f t="shared" si="65"/>
        <v>2024-05</v>
      </c>
    </row>
    <row r="891" spans="1:15" x14ac:dyDescent="0.25">
      <c r="A891" s="9" t="s">
        <v>312</v>
      </c>
      <c r="B891" s="9" t="s">
        <v>313</v>
      </c>
      <c r="C891" s="25" t="s">
        <v>149</v>
      </c>
      <c r="D891" s="19">
        <v>55.18</v>
      </c>
      <c r="E891" s="19">
        <v>55.33</v>
      </c>
      <c r="F891" s="19">
        <v>55.07</v>
      </c>
      <c r="G891" s="19">
        <v>55.08</v>
      </c>
      <c r="H891" s="19">
        <v>55.08</v>
      </c>
      <c r="I891" s="15">
        <v>1864308</v>
      </c>
      <c r="J891" s="19">
        <f t="shared" si="67"/>
        <v>-0.18122508155128927</v>
      </c>
      <c r="K891" s="19">
        <f t="shared" si="68"/>
        <v>53.647500000000001</v>
      </c>
      <c r="L891" s="19">
        <f t="shared" si="66"/>
        <v>53.138199999999998</v>
      </c>
      <c r="M891" s="19">
        <f>MAX(G788:G891)</f>
        <v>59.55</v>
      </c>
      <c r="N891" s="19">
        <f t="shared" si="64"/>
        <v>-7.5062972292191414</v>
      </c>
      <c r="O891" s="9" t="str">
        <f t="shared" si="65"/>
        <v>2024-05</v>
      </c>
    </row>
    <row r="892" spans="1:15" x14ac:dyDescent="0.25">
      <c r="A892" s="9" t="s">
        <v>312</v>
      </c>
      <c r="B892" s="9" t="s">
        <v>313</v>
      </c>
      <c r="C892" s="25" t="s">
        <v>150</v>
      </c>
      <c r="D892" s="19">
        <v>55.08</v>
      </c>
      <c r="E892" s="19">
        <v>55.9</v>
      </c>
      <c r="F892" s="19">
        <v>54.99</v>
      </c>
      <c r="G892" s="19">
        <v>55.7</v>
      </c>
      <c r="H892" s="19">
        <v>55.7</v>
      </c>
      <c r="I892" s="15">
        <v>3332749</v>
      </c>
      <c r="J892" s="19">
        <f t="shared" si="67"/>
        <v>1.125635439360938</v>
      </c>
      <c r="K892" s="19">
        <f t="shared" si="68"/>
        <v>53.741</v>
      </c>
      <c r="L892" s="19">
        <f t="shared" si="66"/>
        <v>53.265799999999999</v>
      </c>
      <c r="M892" s="19">
        <f>MAX(G788:G892)</f>
        <v>59.55</v>
      </c>
      <c r="N892" s="19">
        <f t="shared" si="64"/>
        <v>-6.4651553316540626</v>
      </c>
      <c r="O892" s="9" t="str">
        <f t="shared" si="65"/>
        <v>2024-05</v>
      </c>
    </row>
    <row r="893" spans="1:15" x14ac:dyDescent="0.25">
      <c r="A893" s="9" t="s">
        <v>312</v>
      </c>
      <c r="B893" s="9" t="s">
        <v>313</v>
      </c>
      <c r="C893" s="25" t="s">
        <v>151</v>
      </c>
      <c r="D893" s="19">
        <v>55.7</v>
      </c>
      <c r="E893" s="19">
        <v>55.81</v>
      </c>
      <c r="F893" s="19">
        <v>55.35</v>
      </c>
      <c r="G893" s="19">
        <v>55.61</v>
      </c>
      <c r="H893" s="19">
        <v>55.61</v>
      </c>
      <c r="I893" s="15">
        <v>4876609</v>
      </c>
      <c r="J893" s="19">
        <f t="shared" si="67"/>
        <v>-0.16157989228007794</v>
      </c>
      <c r="K893" s="19">
        <f t="shared" si="68"/>
        <v>53.802499999999995</v>
      </c>
      <c r="L893" s="19">
        <f t="shared" si="66"/>
        <v>53.386000000000003</v>
      </c>
      <c r="M893" s="19">
        <f>MAX(G788:G893)</f>
        <v>59.55</v>
      </c>
      <c r="N893" s="19">
        <f t="shared" si="64"/>
        <v>-6.6162888329135141</v>
      </c>
      <c r="O893" s="9" t="str">
        <f t="shared" si="65"/>
        <v>2024-05</v>
      </c>
    </row>
    <row r="894" spans="1:15" x14ac:dyDescent="0.25">
      <c r="A894" s="9" t="s">
        <v>312</v>
      </c>
      <c r="B894" s="9" t="s">
        <v>313</v>
      </c>
      <c r="C894" s="25" t="s">
        <v>152</v>
      </c>
      <c r="D894" s="19">
        <v>55.61</v>
      </c>
      <c r="E894" s="19">
        <v>55.8</v>
      </c>
      <c r="F894" s="19">
        <v>54.87</v>
      </c>
      <c r="G894" s="19">
        <v>55.27</v>
      </c>
      <c r="H894" s="19">
        <v>55.27</v>
      </c>
      <c r="I894" s="15">
        <v>4149652</v>
      </c>
      <c r="J894" s="19">
        <f t="shared" si="67"/>
        <v>-0.61140082718934785</v>
      </c>
      <c r="K894" s="19">
        <f t="shared" si="68"/>
        <v>53.834500000000006</v>
      </c>
      <c r="L894" s="19">
        <f t="shared" si="66"/>
        <v>53.503399999999999</v>
      </c>
      <c r="M894" s="19">
        <f>MAX(G788:G894)</f>
        <v>59.55</v>
      </c>
      <c r="N894" s="19">
        <f t="shared" si="64"/>
        <v>-7.1872376154491917</v>
      </c>
      <c r="O894" s="9" t="str">
        <f t="shared" si="65"/>
        <v>2024-05</v>
      </c>
    </row>
    <row r="895" spans="1:15" x14ac:dyDescent="0.25">
      <c r="A895" s="9" t="s">
        <v>312</v>
      </c>
      <c r="B895" s="9" t="s">
        <v>313</v>
      </c>
      <c r="C895" s="25" t="s">
        <v>153</v>
      </c>
      <c r="D895" s="19">
        <v>55.27</v>
      </c>
      <c r="E895" s="19">
        <v>55.38</v>
      </c>
      <c r="F895" s="19">
        <v>54.92</v>
      </c>
      <c r="G895" s="19">
        <v>55.21</v>
      </c>
      <c r="H895" s="19">
        <v>55.21</v>
      </c>
      <c r="I895" s="15">
        <v>4635571</v>
      </c>
      <c r="J895" s="19">
        <f t="shared" si="67"/>
        <v>-0.10855798805862542</v>
      </c>
      <c r="K895" s="19">
        <f t="shared" si="68"/>
        <v>53.859500000000004</v>
      </c>
      <c r="L895" s="19">
        <f t="shared" si="66"/>
        <v>53.615200000000002</v>
      </c>
      <c r="M895" s="19">
        <f>MAX(G788:G895)</f>
        <v>59.55</v>
      </c>
      <c r="N895" s="19">
        <f t="shared" si="64"/>
        <v>-7.287993282955493</v>
      </c>
      <c r="O895" s="9" t="str">
        <f t="shared" si="65"/>
        <v>2024-05</v>
      </c>
    </row>
    <row r="896" spans="1:15" x14ac:dyDescent="0.25">
      <c r="A896" s="9" t="s">
        <v>312</v>
      </c>
      <c r="B896" s="9" t="s">
        <v>313</v>
      </c>
      <c r="C896" s="25" t="s">
        <v>154</v>
      </c>
      <c r="D896" s="19">
        <v>55.21</v>
      </c>
      <c r="E896" s="19">
        <v>55.61</v>
      </c>
      <c r="F896" s="19">
        <v>55.08</v>
      </c>
      <c r="G896" s="19">
        <v>55.21</v>
      </c>
      <c r="H896" s="19">
        <v>55.21</v>
      </c>
      <c r="I896" s="15">
        <v>4128437</v>
      </c>
      <c r="J896" s="19">
        <f t="shared" si="67"/>
        <v>0</v>
      </c>
      <c r="K896" s="19">
        <f t="shared" si="68"/>
        <v>53.968500000000006</v>
      </c>
      <c r="L896" s="19">
        <f t="shared" si="66"/>
        <v>53.701600000000006</v>
      </c>
      <c r="M896" s="19">
        <f>MAX(G788:G896)</f>
        <v>59.55</v>
      </c>
      <c r="N896" s="19">
        <f t="shared" si="64"/>
        <v>-7.287993282955493</v>
      </c>
      <c r="O896" s="9" t="str">
        <f t="shared" si="65"/>
        <v>2024-05</v>
      </c>
    </row>
    <row r="897" spans="1:15" x14ac:dyDescent="0.25">
      <c r="A897" s="9" t="s">
        <v>312</v>
      </c>
      <c r="B897" s="9" t="s">
        <v>313</v>
      </c>
      <c r="C897" s="25" t="s">
        <v>155</v>
      </c>
      <c r="D897" s="19">
        <v>55.21</v>
      </c>
      <c r="E897" s="19">
        <v>55.95</v>
      </c>
      <c r="F897" s="19">
        <v>55.2</v>
      </c>
      <c r="G897" s="19">
        <v>55.85</v>
      </c>
      <c r="H897" s="19">
        <v>55.85</v>
      </c>
      <c r="I897" s="15">
        <v>4108167</v>
      </c>
      <c r="J897" s="19">
        <f t="shared" si="67"/>
        <v>1.1592102879913069</v>
      </c>
      <c r="K897" s="19">
        <f t="shared" si="68"/>
        <v>54.133999999999993</v>
      </c>
      <c r="L897" s="19">
        <f t="shared" si="66"/>
        <v>53.801400000000001</v>
      </c>
      <c r="M897" s="19">
        <f>MAX(G788:G897)</f>
        <v>59.55</v>
      </c>
      <c r="N897" s="19">
        <f t="shared" si="64"/>
        <v>-6.2132661628883223</v>
      </c>
      <c r="O897" s="9" t="str">
        <f t="shared" si="65"/>
        <v>2024-05</v>
      </c>
    </row>
    <row r="898" spans="1:15" x14ac:dyDescent="0.25">
      <c r="A898" s="9" t="s">
        <v>312</v>
      </c>
      <c r="B898" s="9" t="s">
        <v>313</v>
      </c>
      <c r="C898" s="25" t="s">
        <v>156</v>
      </c>
      <c r="D898" s="19">
        <v>55.85</v>
      </c>
      <c r="E898" s="19">
        <v>56.53</v>
      </c>
      <c r="F898" s="19">
        <v>55.67</v>
      </c>
      <c r="G898" s="19">
        <v>56.26</v>
      </c>
      <c r="H898" s="19">
        <v>56.26</v>
      </c>
      <c r="I898" s="15">
        <v>4614554</v>
      </c>
      <c r="J898" s="19">
        <f t="shared" si="67"/>
        <v>0.73410922112801535</v>
      </c>
      <c r="K898" s="19">
        <f t="shared" si="68"/>
        <v>54.307000000000002</v>
      </c>
      <c r="L898" s="19">
        <f t="shared" si="66"/>
        <v>53.907800000000009</v>
      </c>
      <c r="M898" s="19">
        <f>MAX(G788:G898)</f>
        <v>59.55</v>
      </c>
      <c r="N898" s="19">
        <f t="shared" ref="N898:N961" si="69">(G898-M898)/M898*100</f>
        <v>-5.5247691015952967</v>
      </c>
      <c r="O898" s="9" t="str">
        <f t="shared" ref="O898:O961" si="70">TEXT(C898,"yyyy-mm")</f>
        <v>2024-06</v>
      </c>
    </row>
    <row r="899" spans="1:15" x14ac:dyDescent="0.25">
      <c r="A899" s="9" t="s">
        <v>312</v>
      </c>
      <c r="B899" s="9" t="s">
        <v>313</v>
      </c>
      <c r="C899" s="25" t="s">
        <v>157</v>
      </c>
      <c r="D899" s="19">
        <v>56.26</v>
      </c>
      <c r="E899" s="19">
        <v>56.41</v>
      </c>
      <c r="F899" s="19">
        <v>56.08</v>
      </c>
      <c r="G899" s="19">
        <v>56.33</v>
      </c>
      <c r="H899" s="19">
        <v>56.33</v>
      </c>
      <c r="I899" s="15">
        <v>4395942</v>
      </c>
      <c r="J899" s="19">
        <f t="shared" si="67"/>
        <v>0.12442232492001473</v>
      </c>
      <c r="K899" s="19">
        <f t="shared" si="68"/>
        <v>54.458000000000006</v>
      </c>
      <c r="L899" s="19">
        <f t="shared" si="66"/>
        <v>54.032799999999995</v>
      </c>
      <c r="M899" s="19">
        <f>MAX(G788:G899)</f>
        <v>59.55</v>
      </c>
      <c r="N899" s="19">
        <f t="shared" si="69"/>
        <v>-5.4072208228379504</v>
      </c>
      <c r="O899" s="9" t="str">
        <f t="shared" si="70"/>
        <v>2024-06</v>
      </c>
    </row>
    <row r="900" spans="1:15" x14ac:dyDescent="0.25">
      <c r="A900" s="9" t="s">
        <v>312</v>
      </c>
      <c r="B900" s="9" t="s">
        <v>313</v>
      </c>
      <c r="C900" s="25" t="s">
        <v>158</v>
      </c>
      <c r="D900" s="19">
        <v>56.33</v>
      </c>
      <c r="E900" s="19">
        <v>56.55</v>
      </c>
      <c r="F900" s="19">
        <v>55.35</v>
      </c>
      <c r="G900" s="19">
        <v>55.4</v>
      </c>
      <c r="H900" s="19">
        <v>55.4</v>
      </c>
      <c r="I900" s="15">
        <v>5772533</v>
      </c>
      <c r="J900" s="19">
        <f t="shared" si="67"/>
        <v>-1.650985265400319</v>
      </c>
      <c r="K900" s="19">
        <f t="shared" si="68"/>
        <v>54.558500000000002</v>
      </c>
      <c r="L900" s="19">
        <f t="shared" si="66"/>
        <v>54.126999999999995</v>
      </c>
      <c r="M900" s="19">
        <f>MAX(G788:G900)</f>
        <v>59.55</v>
      </c>
      <c r="N900" s="19">
        <f t="shared" si="69"/>
        <v>-6.9689336691855566</v>
      </c>
      <c r="O900" s="9" t="str">
        <f t="shared" si="70"/>
        <v>2024-06</v>
      </c>
    </row>
    <row r="901" spans="1:15" x14ac:dyDescent="0.25">
      <c r="A901" s="9" t="s">
        <v>312</v>
      </c>
      <c r="B901" s="9" t="s">
        <v>313</v>
      </c>
      <c r="C901" s="25" t="s">
        <v>159</v>
      </c>
      <c r="D901" s="19">
        <v>55.4</v>
      </c>
      <c r="E901" s="19">
        <v>55.54</v>
      </c>
      <c r="F901" s="19">
        <v>55.04</v>
      </c>
      <c r="G901" s="19">
        <v>55.18</v>
      </c>
      <c r="H901" s="19">
        <v>55.18</v>
      </c>
      <c r="I901" s="15">
        <v>5032574</v>
      </c>
      <c r="J901" s="19">
        <f t="shared" si="67"/>
        <v>-0.39711191335739865</v>
      </c>
      <c r="K901" s="19">
        <f t="shared" si="68"/>
        <v>54.699000000000012</v>
      </c>
      <c r="L901" s="19">
        <f t="shared" ref="L901:L964" si="71">AVERAGE(G852:G901)</f>
        <v>54.221799999999995</v>
      </c>
      <c r="M901" s="19">
        <f>MAX(G788:G901)</f>
        <v>59.55</v>
      </c>
      <c r="N901" s="19">
        <f t="shared" si="69"/>
        <v>-7.3383711167086449</v>
      </c>
      <c r="O901" s="9" t="str">
        <f t="shared" si="70"/>
        <v>2024-06</v>
      </c>
    </row>
    <row r="902" spans="1:15" x14ac:dyDescent="0.25">
      <c r="A902" s="9" t="s">
        <v>312</v>
      </c>
      <c r="B902" s="9" t="s">
        <v>313</v>
      </c>
      <c r="C902" s="25" t="s">
        <v>160</v>
      </c>
      <c r="D902" s="19">
        <v>55.18</v>
      </c>
      <c r="E902" s="19">
        <v>55.22</v>
      </c>
      <c r="F902" s="19">
        <v>54.49</v>
      </c>
      <c r="G902" s="19">
        <v>54.86</v>
      </c>
      <c r="H902" s="19">
        <v>54.86</v>
      </c>
      <c r="I902" s="15">
        <v>3175356</v>
      </c>
      <c r="J902" s="19">
        <f t="shared" si="67"/>
        <v>-0.57992026096411797</v>
      </c>
      <c r="K902" s="19">
        <f t="shared" si="68"/>
        <v>54.844500000000004</v>
      </c>
      <c r="L902" s="19">
        <f t="shared" si="71"/>
        <v>54.299800000000005</v>
      </c>
      <c r="M902" s="19">
        <f>MAX(G788:G902)</f>
        <v>59.55</v>
      </c>
      <c r="N902" s="19">
        <f t="shared" si="69"/>
        <v>-7.8757346767422298</v>
      </c>
      <c r="O902" s="9" t="str">
        <f t="shared" si="70"/>
        <v>2024-06</v>
      </c>
    </row>
    <row r="903" spans="1:15" x14ac:dyDescent="0.25">
      <c r="A903" s="9" t="s">
        <v>312</v>
      </c>
      <c r="B903" s="9" t="s">
        <v>313</v>
      </c>
      <c r="C903" s="25" t="s">
        <v>161</v>
      </c>
      <c r="D903" s="19">
        <v>54.86</v>
      </c>
      <c r="E903" s="19">
        <v>55.2</v>
      </c>
      <c r="F903" s="19">
        <v>54.68</v>
      </c>
      <c r="G903" s="19">
        <v>55.17</v>
      </c>
      <c r="H903" s="19">
        <v>55.17</v>
      </c>
      <c r="I903" s="15">
        <v>4126649</v>
      </c>
      <c r="J903" s="19">
        <f t="shared" si="67"/>
        <v>0.56507473569085365</v>
      </c>
      <c r="K903" s="19">
        <f t="shared" si="68"/>
        <v>54.958000000000006</v>
      </c>
      <c r="L903" s="19">
        <f t="shared" si="71"/>
        <v>54.379800000000003</v>
      </c>
      <c r="M903" s="19">
        <f>MAX(G788:G903)</f>
        <v>59.55</v>
      </c>
      <c r="N903" s="19">
        <f t="shared" si="69"/>
        <v>-7.35516372795969</v>
      </c>
      <c r="O903" s="9" t="str">
        <f t="shared" si="70"/>
        <v>2024-06</v>
      </c>
    </row>
    <row r="904" spans="1:15" x14ac:dyDescent="0.25">
      <c r="A904" s="9" t="s">
        <v>312</v>
      </c>
      <c r="B904" s="9" t="s">
        <v>313</v>
      </c>
      <c r="C904" s="25" t="s">
        <v>162</v>
      </c>
      <c r="D904" s="19">
        <v>55.17</v>
      </c>
      <c r="E904" s="19">
        <v>55.47</v>
      </c>
      <c r="F904" s="19">
        <v>54.89</v>
      </c>
      <c r="G904" s="19">
        <v>55</v>
      </c>
      <c r="H904" s="19">
        <v>55</v>
      </c>
      <c r="I904" s="15">
        <v>2138567</v>
      </c>
      <c r="J904" s="19">
        <f t="shared" si="67"/>
        <v>-0.30813848105854941</v>
      </c>
      <c r="K904" s="19">
        <f t="shared" si="68"/>
        <v>55.043000000000006</v>
      </c>
      <c r="L904" s="19">
        <f t="shared" si="71"/>
        <v>54.390400000000007</v>
      </c>
      <c r="M904" s="19">
        <f>MAX(G788:G904)</f>
        <v>59.55</v>
      </c>
      <c r="N904" s="19">
        <f t="shared" si="69"/>
        <v>-7.6406381192275354</v>
      </c>
      <c r="O904" s="9" t="str">
        <f t="shared" si="70"/>
        <v>2024-06</v>
      </c>
    </row>
    <row r="905" spans="1:15" x14ac:dyDescent="0.25">
      <c r="A905" s="9" t="s">
        <v>312</v>
      </c>
      <c r="B905" s="9" t="s">
        <v>313</v>
      </c>
      <c r="C905" s="25" t="s">
        <v>163</v>
      </c>
      <c r="D905" s="19">
        <v>55</v>
      </c>
      <c r="E905" s="19">
        <v>55.64</v>
      </c>
      <c r="F905" s="19">
        <v>54.65</v>
      </c>
      <c r="G905" s="19">
        <v>55.24</v>
      </c>
      <c r="H905" s="19">
        <v>55.24</v>
      </c>
      <c r="I905" s="15">
        <v>5466893</v>
      </c>
      <c r="J905" s="19">
        <f t="shared" si="67"/>
        <v>0.43636363636364001</v>
      </c>
      <c r="K905" s="19">
        <f t="shared" si="68"/>
        <v>55.126999999999995</v>
      </c>
      <c r="L905" s="19">
        <f t="shared" si="71"/>
        <v>54.404399999999995</v>
      </c>
      <c r="M905" s="19">
        <f>MAX(G788:G905)</f>
        <v>59.55</v>
      </c>
      <c r="N905" s="19">
        <f t="shared" si="69"/>
        <v>-7.2376154492023437</v>
      </c>
      <c r="O905" s="9" t="str">
        <f t="shared" si="70"/>
        <v>2024-06</v>
      </c>
    </row>
    <row r="906" spans="1:15" x14ac:dyDescent="0.25">
      <c r="A906" s="9" t="s">
        <v>312</v>
      </c>
      <c r="B906" s="9" t="s">
        <v>313</v>
      </c>
      <c r="C906" s="25" t="s">
        <v>164</v>
      </c>
      <c r="D906" s="19">
        <v>55.24</v>
      </c>
      <c r="E906" s="19">
        <v>55.26</v>
      </c>
      <c r="F906" s="19">
        <v>54.96</v>
      </c>
      <c r="G906" s="19">
        <v>55.12</v>
      </c>
      <c r="H906" s="19">
        <v>55.12</v>
      </c>
      <c r="I906" s="15">
        <v>5130491</v>
      </c>
      <c r="J906" s="19">
        <f t="shared" si="67"/>
        <v>-0.21723388848661213</v>
      </c>
      <c r="K906" s="19">
        <f t="shared" si="68"/>
        <v>55.184999999999988</v>
      </c>
      <c r="L906" s="19">
        <f t="shared" si="71"/>
        <v>54.421999999999997</v>
      </c>
      <c r="M906" s="19">
        <f>MAX(G788:G906)</f>
        <v>59.55</v>
      </c>
      <c r="N906" s="19">
        <f t="shared" si="69"/>
        <v>-7.4391267842149462</v>
      </c>
      <c r="O906" s="9" t="str">
        <f t="shared" si="70"/>
        <v>2024-06</v>
      </c>
    </row>
    <row r="907" spans="1:15" x14ac:dyDescent="0.25">
      <c r="A907" s="9" t="s">
        <v>312</v>
      </c>
      <c r="B907" s="9" t="s">
        <v>313</v>
      </c>
      <c r="C907" s="25" t="s">
        <v>165</v>
      </c>
      <c r="D907" s="19">
        <v>55.12</v>
      </c>
      <c r="E907" s="19">
        <v>56.02</v>
      </c>
      <c r="F907" s="19">
        <v>54.84</v>
      </c>
      <c r="G907" s="19">
        <v>55.88</v>
      </c>
      <c r="H907" s="19">
        <v>55.88</v>
      </c>
      <c r="I907" s="15">
        <v>3794730</v>
      </c>
      <c r="J907" s="19">
        <f t="shared" si="67"/>
        <v>1.3788098693759165</v>
      </c>
      <c r="K907" s="19">
        <f t="shared" si="68"/>
        <v>55.279999999999994</v>
      </c>
      <c r="L907" s="19">
        <f t="shared" si="71"/>
        <v>54.460999999999991</v>
      </c>
      <c r="M907" s="19">
        <f>MAX(G788:G907)</f>
        <v>59.55</v>
      </c>
      <c r="N907" s="19">
        <f t="shared" si="69"/>
        <v>-6.1628883291351713</v>
      </c>
      <c r="O907" s="9" t="str">
        <f t="shared" si="70"/>
        <v>2024-06</v>
      </c>
    </row>
    <row r="908" spans="1:15" x14ac:dyDescent="0.25">
      <c r="A908" s="9" t="s">
        <v>312</v>
      </c>
      <c r="B908" s="9" t="s">
        <v>313</v>
      </c>
      <c r="C908" s="25" t="s">
        <v>166</v>
      </c>
      <c r="D908" s="19">
        <v>55.88</v>
      </c>
      <c r="E908" s="19">
        <v>57.69</v>
      </c>
      <c r="F908" s="19">
        <v>55.67</v>
      </c>
      <c r="G908" s="19">
        <v>57.5</v>
      </c>
      <c r="H908" s="19">
        <v>57.5</v>
      </c>
      <c r="I908" s="15">
        <v>3066066</v>
      </c>
      <c r="J908" s="19">
        <f t="shared" si="67"/>
        <v>2.8990694345025005</v>
      </c>
      <c r="K908" s="19">
        <f t="shared" si="68"/>
        <v>55.478499999999997</v>
      </c>
      <c r="L908" s="19">
        <f t="shared" si="71"/>
        <v>54.523399999999995</v>
      </c>
      <c r="M908" s="19">
        <f>MAX(G788:G908)</f>
        <v>59.55</v>
      </c>
      <c r="N908" s="19">
        <f t="shared" si="69"/>
        <v>-3.4424853064651506</v>
      </c>
      <c r="O908" s="9" t="str">
        <f t="shared" si="70"/>
        <v>2024-06</v>
      </c>
    </row>
    <row r="909" spans="1:15" x14ac:dyDescent="0.25">
      <c r="A909" s="9" t="s">
        <v>312</v>
      </c>
      <c r="B909" s="9" t="s">
        <v>313</v>
      </c>
      <c r="C909" s="25" t="s">
        <v>167</v>
      </c>
      <c r="D909" s="19">
        <v>57.5</v>
      </c>
      <c r="E909" s="19">
        <v>57.58</v>
      </c>
      <c r="F909" s="19">
        <v>56.23</v>
      </c>
      <c r="G909" s="19">
        <v>56.5</v>
      </c>
      <c r="H909" s="19">
        <v>56.5</v>
      </c>
      <c r="I909" s="15">
        <v>4819349</v>
      </c>
      <c r="J909" s="19">
        <f t="shared" si="67"/>
        <v>-1.7391304347826086</v>
      </c>
      <c r="K909" s="19">
        <f t="shared" si="68"/>
        <v>55.577499999999986</v>
      </c>
      <c r="L909" s="19">
        <f t="shared" si="71"/>
        <v>54.564999999999998</v>
      </c>
      <c r="M909" s="19">
        <f>MAX(G788:G909)</f>
        <v>59.55</v>
      </c>
      <c r="N909" s="19">
        <f t="shared" si="69"/>
        <v>-5.1217464315701049</v>
      </c>
      <c r="O909" s="9" t="str">
        <f t="shared" si="70"/>
        <v>2024-06</v>
      </c>
    </row>
    <row r="910" spans="1:15" x14ac:dyDescent="0.25">
      <c r="A910" s="9" t="s">
        <v>312</v>
      </c>
      <c r="B910" s="9" t="s">
        <v>313</v>
      </c>
      <c r="C910" s="25" t="s">
        <v>168</v>
      </c>
      <c r="D910" s="19">
        <v>56.5</v>
      </c>
      <c r="E910" s="19">
        <v>56.91</v>
      </c>
      <c r="F910" s="19">
        <v>56.15</v>
      </c>
      <c r="G910" s="19">
        <v>56.75</v>
      </c>
      <c r="H910" s="19">
        <v>56.75</v>
      </c>
      <c r="I910" s="15">
        <v>2717406</v>
      </c>
      <c r="J910" s="19">
        <f t="shared" si="67"/>
        <v>0.44247787610619471</v>
      </c>
      <c r="K910" s="19">
        <f t="shared" si="68"/>
        <v>55.655999999999992</v>
      </c>
      <c r="L910" s="19">
        <f t="shared" si="71"/>
        <v>54.600999999999992</v>
      </c>
      <c r="M910" s="19">
        <f>MAX(G788:G910)</f>
        <v>59.55</v>
      </c>
      <c r="N910" s="19">
        <f t="shared" si="69"/>
        <v>-4.7019311502938663</v>
      </c>
      <c r="O910" s="9" t="str">
        <f t="shared" si="70"/>
        <v>2024-06</v>
      </c>
    </row>
    <row r="911" spans="1:15" x14ac:dyDescent="0.25">
      <c r="A911" s="9" t="s">
        <v>312</v>
      </c>
      <c r="B911" s="9" t="s">
        <v>313</v>
      </c>
      <c r="C911" s="25" t="s">
        <v>169</v>
      </c>
      <c r="D911" s="19">
        <v>56.75</v>
      </c>
      <c r="E911" s="19">
        <v>56.91</v>
      </c>
      <c r="F911" s="19">
        <v>55.68</v>
      </c>
      <c r="G911" s="19">
        <v>55.74</v>
      </c>
      <c r="H911" s="19">
        <v>55.74</v>
      </c>
      <c r="I911" s="15">
        <v>4259279</v>
      </c>
      <c r="J911" s="19">
        <f t="shared" si="67"/>
        <v>-1.7797356828193798</v>
      </c>
      <c r="K911" s="19">
        <f t="shared" si="68"/>
        <v>55.689</v>
      </c>
      <c r="L911" s="19">
        <f t="shared" si="71"/>
        <v>54.599399999999989</v>
      </c>
      <c r="M911" s="19">
        <f>MAX(G788:G911)</f>
        <v>59.55</v>
      </c>
      <c r="N911" s="19">
        <f t="shared" si="69"/>
        <v>-6.3979848866498656</v>
      </c>
      <c r="O911" s="9" t="str">
        <f t="shared" si="70"/>
        <v>2024-06</v>
      </c>
    </row>
    <row r="912" spans="1:15" x14ac:dyDescent="0.25">
      <c r="A912" s="9" t="s">
        <v>312</v>
      </c>
      <c r="B912" s="9" t="s">
        <v>313</v>
      </c>
      <c r="C912" s="25" t="s">
        <v>170</v>
      </c>
      <c r="D912" s="19">
        <v>55.74</v>
      </c>
      <c r="E912" s="19">
        <v>55.88</v>
      </c>
      <c r="F912" s="19">
        <v>55.68</v>
      </c>
      <c r="G912" s="19">
        <v>55.78</v>
      </c>
      <c r="H912" s="19">
        <v>55.78</v>
      </c>
      <c r="I912" s="15">
        <v>2779540</v>
      </c>
      <c r="J912" s="19">
        <f t="shared" si="67"/>
        <v>7.1761750986722536E-2</v>
      </c>
      <c r="K912" s="19">
        <f t="shared" si="68"/>
        <v>55.692999999999998</v>
      </c>
      <c r="L912" s="19">
        <f t="shared" si="71"/>
        <v>54.61419999999999</v>
      </c>
      <c r="M912" s="19">
        <f>MAX(G788:G912)</f>
        <v>59.55</v>
      </c>
      <c r="N912" s="19">
        <f t="shared" si="69"/>
        <v>-6.3308144416456695</v>
      </c>
      <c r="O912" s="9" t="str">
        <f t="shared" si="70"/>
        <v>2024-06</v>
      </c>
    </row>
    <row r="913" spans="1:15" x14ac:dyDescent="0.25">
      <c r="A913" s="9" t="s">
        <v>312</v>
      </c>
      <c r="B913" s="9" t="s">
        <v>313</v>
      </c>
      <c r="C913" s="25" t="s">
        <v>171</v>
      </c>
      <c r="D913" s="19">
        <v>55.78</v>
      </c>
      <c r="E913" s="19">
        <v>55.81</v>
      </c>
      <c r="F913" s="19">
        <v>55.44</v>
      </c>
      <c r="G913" s="19">
        <v>55.53</v>
      </c>
      <c r="H913" s="19">
        <v>55.53</v>
      </c>
      <c r="I913" s="15">
        <v>5100004</v>
      </c>
      <c r="J913" s="19">
        <f t="shared" si="67"/>
        <v>-0.44818931516672644</v>
      </c>
      <c r="K913" s="19">
        <f t="shared" si="68"/>
        <v>55.689</v>
      </c>
      <c r="L913" s="19">
        <f t="shared" si="71"/>
        <v>54.632200000000005</v>
      </c>
      <c r="M913" s="19">
        <f>MAX(G788:G913)</f>
        <v>59.55</v>
      </c>
      <c r="N913" s="19">
        <f t="shared" si="69"/>
        <v>-6.7506297229219081</v>
      </c>
      <c r="O913" s="9" t="str">
        <f t="shared" si="70"/>
        <v>2024-06</v>
      </c>
    </row>
    <row r="914" spans="1:15" x14ac:dyDescent="0.25">
      <c r="A914" s="9" t="s">
        <v>312</v>
      </c>
      <c r="B914" s="9" t="s">
        <v>313</v>
      </c>
      <c r="C914" s="25" t="s">
        <v>172</v>
      </c>
      <c r="D914" s="19">
        <v>55.53</v>
      </c>
      <c r="E914" s="19">
        <v>55.72</v>
      </c>
      <c r="F914" s="19">
        <v>54.52</v>
      </c>
      <c r="G914" s="19">
        <v>54.58</v>
      </c>
      <c r="H914" s="19">
        <v>54.58</v>
      </c>
      <c r="I914" s="15">
        <v>4299321</v>
      </c>
      <c r="J914" s="19">
        <f t="shared" si="67"/>
        <v>-1.7107869620025262</v>
      </c>
      <c r="K914" s="19">
        <f t="shared" si="68"/>
        <v>55.654499999999999</v>
      </c>
      <c r="L914" s="19">
        <f t="shared" si="71"/>
        <v>54.626999999999995</v>
      </c>
      <c r="M914" s="19">
        <f>MAX(G788:G914)</f>
        <v>59.55</v>
      </c>
      <c r="N914" s="19">
        <f t="shared" si="69"/>
        <v>-8.3459277917716186</v>
      </c>
      <c r="O914" s="9" t="str">
        <f t="shared" si="70"/>
        <v>2024-06</v>
      </c>
    </row>
    <row r="915" spans="1:15" x14ac:dyDescent="0.25">
      <c r="A915" s="9" t="s">
        <v>312</v>
      </c>
      <c r="B915" s="9" t="s">
        <v>313</v>
      </c>
      <c r="C915" s="25" t="s">
        <v>173</v>
      </c>
      <c r="D915" s="19">
        <v>54.58</v>
      </c>
      <c r="E915" s="19">
        <v>55.3</v>
      </c>
      <c r="F915" s="19">
        <v>54.28</v>
      </c>
      <c r="G915" s="19">
        <v>54.91</v>
      </c>
      <c r="H915" s="19">
        <v>54.91</v>
      </c>
      <c r="I915" s="15">
        <v>3984628</v>
      </c>
      <c r="J915" s="19">
        <f t="shared" si="67"/>
        <v>0.60461707585195734</v>
      </c>
      <c r="K915" s="19">
        <f t="shared" si="68"/>
        <v>55.639499999999998</v>
      </c>
      <c r="L915" s="19">
        <f t="shared" si="71"/>
        <v>54.632799999999989</v>
      </c>
      <c r="M915" s="19">
        <f>MAX(G788:G915)</f>
        <v>59.55</v>
      </c>
      <c r="N915" s="19">
        <f t="shared" si="69"/>
        <v>-7.7917716204869869</v>
      </c>
      <c r="O915" s="9" t="str">
        <f t="shared" si="70"/>
        <v>2024-06</v>
      </c>
    </row>
    <row r="916" spans="1:15" x14ac:dyDescent="0.25">
      <c r="A916" s="9" t="s">
        <v>312</v>
      </c>
      <c r="B916" s="9" t="s">
        <v>313</v>
      </c>
      <c r="C916" s="25" t="s">
        <v>174</v>
      </c>
      <c r="D916" s="19">
        <v>54.91</v>
      </c>
      <c r="E916" s="19">
        <v>55.25</v>
      </c>
      <c r="F916" s="19">
        <v>54.69</v>
      </c>
      <c r="G916" s="19">
        <v>55.24</v>
      </c>
      <c r="H916" s="19">
        <v>55.24</v>
      </c>
      <c r="I916" s="15">
        <v>2000296</v>
      </c>
      <c r="J916" s="19">
        <f t="shared" si="67"/>
        <v>0.60098342742670807</v>
      </c>
      <c r="K916" s="19">
        <f t="shared" si="68"/>
        <v>55.640999999999998</v>
      </c>
      <c r="L916" s="19">
        <f t="shared" si="71"/>
        <v>54.641999999999989</v>
      </c>
      <c r="M916" s="19">
        <f>MAX(G788:G916)</f>
        <v>59.55</v>
      </c>
      <c r="N916" s="19">
        <f t="shared" si="69"/>
        <v>-7.2376154492023437</v>
      </c>
      <c r="O916" s="9" t="str">
        <f t="shared" si="70"/>
        <v>2024-06</v>
      </c>
    </row>
    <row r="917" spans="1:15" x14ac:dyDescent="0.25">
      <c r="A917" s="9" t="s">
        <v>312</v>
      </c>
      <c r="B917" s="9" t="s">
        <v>313</v>
      </c>
      <c r="C917" s="25" t="s">
        <v>175</v>
      </c>
      <c r="D917" s="19">
        <v>55.24</v>
      </c>
      <c r="E917" s="19">
        <v>56.45</v>
      </c>
      <c r="F917" s="19">
        <v>55.22</v>
      </c>
      <c r="G917" s="19">
        <v>56.19</v>
      </c>
      <c r="H917" s="19">
        <v>56.19</v>
      </c>
      <c r="I917" s="15">
        <v>4451845</v>
      </c>
      <c r="J917" s="19">
        <f t="shared" ref="J917:J980" si="72">IFERROR((G917-G916)/G916*100,"")</f>
        <v>1.7197682838522732</v>
      </c>
      <c r="K917" s="19">
        <f t="shared" si="68"/>
        <v>55.658000000000001</v>
      </c>
      <c r="L917" s="19">
        <f t="shared" si="71"/>
        <v>54.685399999999987</v>
      </c>
      <c r="M917" s="19">
        <f>MAX(G788:G917)</f>
        <v>59.55</v>
      </c>
      <c r="N917" s="19">
        <f t="shared" si="69"/>
        <v>-5.6423173803526439</v>
      </c>
      <c r="O917" s="9" t="str">
        <f t="shared" si="70"/>
        <v>2024-06</v>
      </c>
    </row>
    <row r="918" spans="1:15" x14ac:dyDescent="0.25">
      <c r="A918" s="9" t="s">
        <v>312</v>
      </c>
      <c r="B918" s="9" t="s">
        <v>313</v>
      </c>
      <c r="C918" s="25" t="s">
        <v>176</v>
      </c>
      <c r="D918" s="19">
        <v>56.19</v>
      </c>
      <c r="E918" s="19">
        <v>57.32</v>
      </c>
      <c r="F918" s="19">
        <v>56.13</v>
      </c>
      <c r="G918" s="19">
        <v>57.05</v>
      </c>
      <c r="H918" s="19">
        <v>57.05</v>
      </c>
      <c r="I918" s="15">
        <v>5540748</v>
      </c>
      <c r="J918" s="19">
        <f t="shared" si="72"/>
        <v>1.5305214450969913</v>
      </c>
      <c r="K918" s="19">
        <f t="shared" si="68"/>
        <v>55.697500000000005</v>
      </c>
      <c r="L918" s="19">
        <f t="shared" si="71"/>
        <v>54.748400000000004</v>
      </c>
      <c r="M918" s="19">
        <f>MAX(G788:G918)</f>
        <v>59.55</v>
      </c>
      <c r="N918" s="19">
        <f t="shared" si="69"/>
        <v>-4.1981528127623848</v>
      </c>
      <c r="O918" s="9" t="str">
        <f t="shared" si="70"/>
        <v>2024-07</v>
      </c>
    </row>
    <row r="919" spans="1:15" x14ac:dyDescent="0.25">
      <c r="A919" s="9" t="s">
        <v>312</v>
      </c>
      <c r="B919" s="9" t="s">
        <v>313</v>
      </c>
      <c r="C919" s="25" t="s">
        <v>177</v>
      </c>
      <c r="D919" s="19">
        <v>57.05</v>
      </c>
      <c r="E919" s="19">
        <v>57.41</v>
      </c>
      <c r="F919" s="19">
        <v>57.01</v>
      </c>
      <c r="G919" s="19">
        <v>57.16</v>
      </c>
      <c r="H919" s="19">
        <v>57.16</v>
      </c>
      <c r="I919" s="15">
        <v>3500459</v>
      </c>
      <c r="J919" s="19">
        <f t="shared" si="72"/>
        <v>0.19281332164767651</v>
      </c>
      <c r="K919" s="19">
        <f t="shared" si="68"/>
        <v>55.738999999999997</v>
      </c>
      <c r="L919" s="19">
        <f t="shared" si="71"/>
        <v>54.808199999999999</v>
      </c>
      <c r="M919" s="19">
        <f>MAX(G788:G919)</f>
        <v>59.55</v>
      </c>
      <c r="N919" s="19">
        <f t="shared" si="69"/>
        <v>-4.0134340890008406</v>
      </c>
      <c r="O919" s="9" t="str">
        <f t="shared" si="70"/>
        <v>2024-07</v>
      </c>
    </row>
    <row r="920" spans="1:15" x14ac:dyDescent="0.25">
      <c r="A920" s="9" t="s">
        <v>312</v>
      </c>
      <c r="B920" s="9" t="s">
        <v>313</v>
      </c>
      <c r="C920" s="25" t="s">
        <v>178</v>
      </c>
      <c r="D920" s="19">
        <v>57.16</v>
      </c>
      <c r="E920" s="19">
        <v>57.6</v>
      </c>
      <c r="F920" s="19">
        <v>57.06</v>
      </c>
      <c r="G920" s="19">
        <v>57.29</v>
      </c>
      <c r="H920" s="19">
        <v>57.29</v>
      </c>
      <c r="I920" s="15">
        <v>2791210</v>
      </c>
      <c r="J920" s="19">
        <f t="shared" si="72"/>
        <v>0.22743177046886381</v>
      </c>
      <c r="K920" s="19">
        <f t="shared" si="68"/>
        <v>55.833500000000001</v>
      </c>
      <c r="L920" s="19">
        <f t="shared" si="71"/>
        <v>54.8874</v>
      </c>
      <c r="M920" s="19">
        <f>MAX(G788:G920)</f>
        <v>59.55</v>
      </c>
      <c r="N920" s="19">
        <f t="shared" si="69"/>
        <v>-3.7951301427371922</v>
      </c>
      <c r="O920" s="9" t="str">
        <f t="shared" si="70"/>
        <v>2024-07</v>
      </c>
    </row>
    <row r="921" spans="1:15" x14ac:dyDescent="0.25">
      <c r="A921" s="9" t="s">
        <v>312</v>
      </c>
      <c r="B921" s="9" t="s">
        <v>313</v>
      </c>
      <c r="C921" s="25" t="s">
        <v>179</v>
      </c>
      <c r="D921" s="19">
        <v>57.29</v>
      </c>
      <c r="E921" s="19">
        <v>57.36</v>
      </c>
      <c r="F921" s="19">
        <v>56.22</v>
      </c>
      <c r="G921" s="19">
        <v>56.4</v>
      </c>
      <c r="H921" s="19">
        <v>56.4</v>
      </c>
      <c r="I921" s="15">
        <v>4790670</v>
      </c>
      <c r="J921" s="19">
        <f t="shared" si="72"/>
        <v>-1.5534997381742026</v>
      </c>
      <c r="K921" s="19">
        <f t="shared" si="68"/>
        <v>55.894500000000008</v>
      </c>
      <c r="L921" s="19">
        <f t="shared" si="71"/>
        <v>54.93719999999999</v>
      </c>
      <c r="M921" s="19">
        <f>MAX(G788:G921)</f>
        <v>59.55</v>
      </c>
      <c r="N921" s="19">
        <f t="shared" si="69"/>
        <v>-5.2896725440806023</v>
      </c>
      <c r="O921" s="9" t="str">
        <f t="shared" si="70"/>
        <v>2024-07</v>
      </c>
    </row>
    <row r="922" spans="1:15" x14ac:dyDescent="0.25">
      <c r="A922" s="9" t="s">
        <v>312</v>
      </c>
      <c r="B922" s="9" t="s">
        <v>313</v>
      </c>
      <c r="C922" s="25" t="s">
        <v>180</v>
      </c>
      <c r="D922" s="19">
        <v>56.4</v>
      </c>
      <c r="E922" s="19">
        <v>56.7</v>
      </c>
      <c r="F922" s="19">
        <v>55.84</v>
      </c>
      <c r="G922" s="19">
        <v>55.92</v>
      </c>
      <c r="H922" s="19">
        <v>55.92</v>
      </c>
      <c r="I922" s="15">
        <v>5250081</v>
      </c>
      <c r="J922" s="19">
        <f t="shared" si="72"/>
        <v>-0.8510638297872285</v>
      </c>
      <c r="K922" s="19">
        <f t="shared" si="68"/>
        <v>55.947500000000005</v>
      </c>
      <c r="L922" s="19">
        <f t="shared" si="71"/>
        <v>54.978999999999999</v>
      </c>
      <c r="M922" s="19">
        <f>MAX(G788:G922)</f>
        <v>59.55</v>
      </c>
      <c r="N922" s="19">
        <f t="shared" si="69"/>
        <v>-6.0957178841309752</v>
      </c>
      <c r="O922" s="9" t="str">
        <f t="shared" si="70"/>
        <v>2024-07</v>
      </c>
    </row>
    <row r="923" spans="1:15" x14ac:dyDescent="0.25">
      <c r="A923" s="9" t="s">
        <v>312</v>
      </c>
      <c r="B923" s="9" t="s">
        <v>313</v>
      </c>
      <c r="C923" s="25" t="s">
        <v>181</v>
      </c>
      <c r="D923" s="19">
        <v>55.92</v>
      </c>
      <c r="E923" s="19">
        <v>56.33</v>
      </c>
      <c r="F923" s="19">
        <v>55.64</v>
      </c>
      <c r="G923" s="19">
        <v>56.25</v>
      </c>
      <c r="H923" s="19">
        <v>56.25</v>
      </c>
      <c r="I923" s="15">
        <v>5023413</v>
      </c>
      <c r="J923" s="19">
        <f t="shared" si="72"/>
        <v>0.5901287553648038</v>
      </c>
      <c r="K923" s="19">
        <f t="shared" si="68"/>
        <v>56.0015</v>
      </c>
      <c r="L923" s="19">
        <f t="shared" si="71"/>
        <v>55.016400000000004</v>
      </c>
      <c r="M923" s="19">
        <f>MAX(G788:G923)</f>
        <v>59.55</v>
      </c>
      <c r="N923" s="19">
        <f t="shared" si="69"/>
        <v>-5.5415617128463426</v>
      </c>
      <c r="O923" s="9" t="str">
        <f t="shared" si="70"/>
        <v>2024-07</v>
      </c>
    </row>
    <row r="924" spans="1:15" x14ac:dyDescent="0.25">
      <c r="A924" s="9" t="s">
        <v>312</v>
      </c>
      <c r="B924" s="9" t="s">
        <v>313</v>
      </c>
      <c r="C924" s="25" t="s">
        <v>182</v>
      </c>
      <c r="D924" s="19">
        <v>56.25</v>
      </c>
      <c r="E924" s="19">
        <v>56.7</v>
      </c>
      <c r="F924" s="19">
        <v>55.32</v>
      </c>
      <c r="G924" s="19">
        <v>55.66</v>
      </c>
      <c r="H924" s="19">
        <v>55.66</v>
      </c>
      <c r="I924" s="15">
        <v>5426640</v>
      </c>
      <c r="J924" s="19">
        <f t="shared" si="72"/>
        <v>-1.048888888888895</v>
      </c>
      <c r="K924" s="19">
        <f t="shared" si="68"/>
        <v>56.034499999999994</v>
      </c>
      <c r="L924" s="19">
        <f t="shared" si="71"/>
        <v>55.036999999999999</v>
      </c>
      <c r="M924" s="19">
        <f>MAX(G788:G924)</f>
        <v>59.55</v>
      </c>
      <c r="N924" s="19">
        <f t="shared" si="69"/>
        <v>-6.5323257766582712</v>
      </c>
      <c r="O924" s="9" t="str">
        <f t="shared" si="70"/>
        <v>2024-07</v>
      </c>
    </row>
    <row r="925" spans="1:15" x14ac:dyDescent="0.25">
      <c r="A925" s="9" t="s">
        <v>312</v>
      </c>
      <c r="B925" s="9" t="s">
        <v>313</v>
      </c>
      <c r="C925" s="25" t="s">
        <v>183</v>
      </c>
      <c r="D925" s="19">
        <v>55.66</v>
      </c>
      <c r="E925" s="19">
        <v>55.81</v>
      </c>
      <c r="F925" s="19">
        <v>55.31</v>
      </c>
      <c r="G925" s="19">
        <v>55.43</v>
      </c>
      <c r="H925" s="19">
        <v>55.43</v>
      </c>
      <c r="I925" s="15">
        <v>4172882</v>
      </c>
      <c r="J925" s="19">
        <f t="shared" si="72"/>
        <v>-0.41322314049586212</v>
      </c>
      <c r="K925" s="19">
        <f t="shared" si="68"/>
        <v>56.043999999999997</v>
      </c>
      <c r="L925" s="19">
        <f t="shared" si="71"/>
        <v>55.051399999999994</v>
      </c>
      <c r="M925" s="19">
        <f>MAX(G788:G925)</f>
        <v>59.55</v>
      </c>
      <c r="N925" s="19">
        <f t="shared" si="69"/>
        <v>-6.9185558354324064</v>
      </c>
      <c r="O925" s="9" t="str">
        <f t="shared" si="70"/>
        <v>2024-07</v>
      </c>
    </row>
    <row r="926" spans="1:15" x14ac:dyDescent="0.25">
      <c r="A926" s="9" t="s">
        <v>312</v>
      </c>
      <c r="B926" s="9" t="s">
        <v>313</v>
      </c>
      <c r="C926" s="25" t="s">
        <v>184</v>
      </c>
      <c r="D926" s="19">
        <v>55.43</v>
      </c>
      <c r="E926" s="19">
        <v>55.59</v>
      </c>
      <c r="F926" s="19">
        <v>54.4</v>
      </c>
      <c r="G926" s="19">
        <v>54.66</v>
      </c>
      <c r="H926" s="19">
        <v>54.66</v>
      </c>
      <c r="I926" s="15">
        <v>2811684</v>
      </c>
      <c r="J926" s="19">
        <f t="shared" si="72"/>
        <v>-1.3891394551686869</v>
      </c>
      <c r="K926" s="19">
        <f t="shared" si="68"/>
        <v>56.020999999999994</v>
      </c>
      <c r="L926" s="19">
        <f t="shared" si="71"/>
        <v>55.083999999999989</v>
      </c>
      <c r="M926" s="19">
        <f>MAX(G788:G926)</f>
        <v>59.55</v>
      </c>
      <c r="N926" s="19">
        <f t="shared" si="69"/>
        <v>-8.2115869017632246</v>
      </c>
      <c r="O926" s="9" t="str">
        <f t="shared" si="70"/>
        <v>2024-07</v>
      </c>
    </row>
    <row r="927" spans="1:15" x14ac:dyDescent="0.25">
      <c r="A927" s="9" t="s">
        <v>312</v>
      </c>
      <c r="B927" s="9" t="s">
        <v>313</v>
      </c>
      <c r="C927" s="25" t="s">
        <v>185</v>
      </c>
      <c r="D927" s="19">
        <v>54.66</v>
      </c>
      <c r="E927" s="19">
        <v>54.76</v>
      </c>
      <c r="F927" s="19">
        <v>54.28</v>
      </c>
      <c r="G927" s="19">
        <v>54.34</v>
      </c>
      <c r="H927" s="19">
        <v>54.34</v>
      </c>
      <c r="I927" s="15">
        <v>2547911</v>
      </c>
      <c r="J927" s="19">
        <f t="shared" si="72"/>
        <v>-0.58543724844491984</v>
      </c>
      <c r="K927" s="19">
        <f t="shared" si="68"/>
        <v>55.943999999999981</v>
      </c>
      <c r="L927" s="19">
        <f t="shared" si="71"/>
        <v>55.11999999999999</v>
      </c>
      <c r="M927" s="19">
        <f>MAX(G788:G927)</f>
        <v>59.55</v>
      </c>
      <c r="N927" s="19">
        <f t="shared" si="69"/>
        <v>-8.7489504617967988</v>
      </c>
      <c r="O927" s="9" t="str">
        <f t="shared" si="70"/>
        <v>2024-07</v>
      </c>
    </row>
    <row r="928" spans="1:15" x14ac:dyDescent="0.25">
      <c r="A928" s="9" t="s">
        <v>312</v>
      </c>
      <c r="B928" s="9" t="s">
        <v>313</v>
      </c>
      <c r="C928" s="25" t="s">
        <v>186</v>
      </c>
      <c r="D928" s="19">
        <v>54.34</v>
      </c>
      <c r="E928" s="19">
        <v>54.34</v>
      </c>
      <c r="F928" s="19">
        <v>53.74</v>
      </c>
      <c r="G928" s="19">
        <v>54.16</v>
      </c>
      <c r="H928" s="19">
        <v>54.16</v>
      </c>
      <c r="I928" s="15">
        <v>4237513</v>
      </c>
      <c r="J928" s="19">
        <f t="shared" si="72"/>
        <v>-0.33124769966876483</v>
      </c>
      <c r="K928" s="19">
        <f t="shared" si="68"/>
        <v>55.776999999999987</v>
      </c>
      <c r="L928" s="19">
        <f t="shared" si="71"/>
        <v>55.147199999999991</v>
      </c>
      <c r="M928" s="19">
        <f>MAX(G788:G928)</f>
        <v>59.55</v>
      </c>
      <c r="N928" s="19">
        <f t="shared" si="69"/>
        <v>-9.0512174643157035</v>
      </c>
      <c r="O928" s="9" t="str">
        <f t="shared" si="70"/>
        <v>2024-07</v>
      </c>
    </row>
    <row r="929" spans="1:15" x14ac:dyDescent="0.25">
      <c r="A929" s="9" t="s">
        <v>312</v>
      </c>
      <c r="B929" s="9" t="s">
        <v>313</v>
      </c>
      <c r="C929" s="25" t="s">
        <v>187</v>
      </c>
      <c r="D929" s="19">
        <v>54.16</v>
      </c>
      <c r="E929" s="19">
        <v>55.38</v>
      </c>
      <c r="F929" s="19">
        <v>53.93</v>
      </c>
      <c r="G929" s="19">
        <v>55.15</v>
      </c>
      <c r="H929" s="19">
        <v>55.15</v>
      </c>
      <c r="I929" s="15">
        <v>4778660</v>
      </c>
      <c r="J929" s="19">
        <f t="shared" si="72"/>
        <v>1.8279172821270346</v>
      </c>
      <c r="K929" s="19">
        <f t="shared" si="68"/>
        <v>55.709499999999991</v>
      </c>
      <c r="L929" s="19">
        <f t="shared" si="71"/>
        <v>55.183999999999997</v>
      </c>
      <c r="M929" s="19">
        <f>MAX(G788:G929)</f>
        <v>59.55</v>
      </c>
      <c r="N929" s="19">
        <f t="shared" si="69"/>
        <v>-7.3887489504617943</v>
      </c>
      <c r="O929" s="9" t="str">
        <f t="shared" si="70"/>
        <v>2024-07</v>
      </c>
    </row>
    <row r="930" spans="1:15" x14ac:dyDescent="0.25">
      <c r="A930" s="9" t="s">
        <v>312</v>
      </c>
      <c r="B930" s="9" t="s">
        <v>313</v>
      </c>
      <c r="C930" s="25" t="s">
        <v>188</v>
      </c>
      <c r="D930" s="19">
        <v>55.15</v>
      </c>
      <c r="E930" s="19">
        <v>55.61</v>
      </c>
      <c r="F930" s="19">
        <v>55.02</v>
      </c>
      <c r="G930" s="19">
        <v>55.59</v>
      </c>
      <c r="H930" s="19">
        <v>55.59</v>
      </c>
      <c r="I930" s="15">
        <v>3998045</v>
      </c>
      <c r="J930" s="19">
        <f t="shared" si="72"/>
        <v>0.79782411604715286</v>
      </c>
      <c r="K930" s="19">
        <f t="shared" si="68"/>
        <v>55.651499999999984</v>
      </c>
      <c r="L930" s="19">
        <f t="shared" si="71"/>
        <v>55.228000000000002</v>
      </c>
      <c r="M930" s="19">
        <f>MAX(G788:G930)</f>
        <v>59.55</v>
      </c>
      <c r="N930" s="19">
        <f t="shared" si="69"/>
        <v>-6.6498740554156068</v>
      </c>
      <c r="O930" s="9" t="str">
        <f t="shared" si="70"/>
        <v>2024-07</v>
      </c>
    </row>
    <row r="931" spans="1:15" x14ac:dyDescent="0.25">
      <c r="A931" s="9" t="s">
        <v>312</v>
      </c>
      <c r="B931" s="9" t="s">
        <v>313</v>
      </c>
      <c r="C931" s="25" t="s">
        <v>189</v>
      </c>
      <c r="D931" s="19">
        <v>55.59</v>
      </c>
      <c r="E931" s="19">
        <v>56.24</v>
      </c>
      <c r="F931" s="19">
        <v>55.42</v>
      </c>
      <c r="G931" s="19">
        <v>56.05</v>
      </c>
      <c r="H931" s="19">
        <v>56.05</v>
      </c>
      <c r="I931" s="15">
        <v>3808189</v>
      </c>
      <c r="J931" s="19">
        <f t="shared" si="72"/>
        <v>0.82748695808597539</v>
      </c>
      <c r="K931" s="19">
        <f t="shared" si="68"/>
        <v>55.666999999999987</v>
      </c>
      <c r="L931" s="19">
        <f t="shared" si="71"/>
        <v>55.301600000000008</v>
      </c>
      <c r="M931" s="19">
        <f>MAX(G788:G931)</f>
        <v>59.55</v>
      </c>
      <c r="N931" s="19">
        <f t="shared" si="69"/>
        <v>-5.8774139378673391</v>
      </c>
      <c r="O931" s="9" t="str">
        <f t="shared" si="70"/>
        <v>2024-07</v>
      </c>
    </row>
    <row r="932" spans="1:15" x14ac:dyDescent="0.25">
      <c r="A932" s="9" t="s">
        <v>312</v>
      </c>
      <c r="B932" s="9" t="s">
        <v>313</v>
      </c>
      <c r="C932" s="25" t="s">
        <v>190</v>
      </c>
      <c r="D932" s="19">
        <v>56.05</v>
      </c>
      <c r="E932" s="19">
        <v>56.1</v>
      </c>
      <c r="F932" s="19">
        <v>55.6</v>
      </c>
      <c r="G932" s="19">
        <v>55.63</v>
      </c>
      <c r="H932" s="19">
        <v>55.63</v>
      </c>
      <c r="I932" s="15">
        <v>5614635</v>
      </c>
      <c r="J932" s="19">
        <f t="shared" si="72"/>
        <v>-0.74933095450489673</v>
      </c>
      <c r="K932" s="19">
        <f t="shared" si="68"/>
        <v>55.659500000000001</v>
      </c>
      <c r="L932" s="19">
        <f t="shared" si="71"/>
        <v>55.375200000000014</v>
      </c>
      <c r="M932" s="19">
        <f>MAX(G788:G932)</f>
        <v>59.55</v>
      </c>
      <c r="N932" s="19">
        <f t="shared" si="69"/>
        <v>-6.5827036104114098</v>
      </c>
      <c r="O932" s="9" t="str">
        <f t="shared" si="70"/>
        <v>2024-07</v>
      </c>
    </row>
    <row r="933" spans="1:15" x14ac:dyDescent="0.25">
      <c r="A933" s="9" t="s">
        <v>312</v>
      </c>
      <c r="B933" s="9" t="s">
        <v>313</v>
      </c>
      <c r="C933" s="25" t="s">
        <v>191</v>
      </c>
      <c r="D933" s="19">
        <v>55.63</v>
      </c>
      <c r="E933" s="19">
        <v>56.15</v>
      </c>
      <c r="F933" s="19">
        <v>55.61</v>
      </c>
      <c r="G933" s="19">
        <v>55.86</v>
      </c>
      <c r="H933" s="19">
        <v>55.86</v>
      </c>
      <c r="I933" s="15">
        <v>1682830</v>
      </c>
      <c r="J933" s="19">
        <f t="shared" si="72"/>
        <v>0.41344598238360031</v>
      </c>
      <c r="K933" s="19">
        <f t="shared" si="68"/>
        <v>55.675999999999988</v>
      </c>
      <c r="L933" s="19">
        <f t="shared" si="71"/>
        <v>55.434400000000011</v>
      </c>
      <c r="M933" s="19">
        <f>MAX(G788:G933)</f>
        <v>59.55</v>
      </c>
      <c r="N933" s="19">
        <f t="shared" si="69"/>
        <v>-6.1964735516372764</v>
      </c>
      <c r="O933" s="9" t="str">
        <f t="shared" si="70"/>
        <v>2024-07</v>
      </c>
    </row>
    <row r="934" spans="1:15" x14ac:dyDescent="0.25">
      <c r="A934" s="9" t="s">
        <v>312</v>
      </c>
      <c r="B934" s="9" t="s">
        <v>313</v>
      </c>
      <c r="C934" s="25" t="s">
        <v>192</v>
      </c>
      <c r="D934" s="19">
        <v>55.86</v>
      </c>
      <c r="E934" s="19">
        <v>56.23</v>
      </c>
      <c r="F934" s="19">
        <v>55.6</v>
      </c>
      <c r="G934" s="19">
        <v>55.75</v>
      </c>
      <c r="H934" s="19">
        <v>55.75</v>
      </c>
      <c r="I934" s="15">
        <v>4779922</v>
      </c>
      <c r="J934" s="19">
        <f t="shared" si="72"/>
        <v>-0.19692087361260191</v>
      </c>
      <c r="K934" s="19">
        <f t="shared" si="68"/>
        <v>55.73449999999999</v>
      </c>
      <c r="L934" s="19">
        <f t="shared" si="71"/>
        <v>55.48340000000001</v>
      </c>
      <c r="M934" s="19">
        <f>MAX(G788:G934)</f>
        <v>59.55</v>
      </c>
      <c r="N934" s="19">
        <f t="shared" si="69"/>
        <v>-6.3811922753988197</v>
      </c>
      <c r="O934" s="9" t="str">
        <f t="shared" si="70"/>
        <v>2024-07</v>
      </c>
    </row>
    <row r="935" spans="1:15" x14ac:dyDescent="0.25">
      <c r="A935" s="9" t="s">
        <v>312</v>
      </c>
      <c r="B935" s="9" t="s">
        <v>313</v>
      </c>
      <c r="C935" s="25" t="s">
        <v>193</v>
      </c>
      <c r="D935" s="19">
        <v>55.75</v>
      </c>
      <c r="E935" s="19">
        <v>55.95</v>
      </c>
      <c r="F935" s="19">
        <v>55.57</v>
      </c>
      <c r="G935" s="19">
        <v>55.78</v>
      </c>
      <c r="H935" s="19">
        <v>55.78</v>
      </c>
      <c r="I935" s="15">
        <v>5128647</v>
      </c>
      <c r="J935" s="19">
        <f t="shared" si="72"/>
        <v>5.3811659192827155E-2</v>
      </c>
      <c r="K935" s="19">
        <f t="shared" ref="K935:K998" si="73">AVERAGE(G916:G935)</f>
        <v>55.777999999999984</v>
      </c>
      <c r="L935" s="19">
        <f t="shared" si="71"/>
        <v>55.527800000000006</v>
      </c>
      <c r="M935" s="19">
        <f>MAX(G788:G935)</f>
        <v>59.55</v>
      </c>
      <c r="N935" s="19">
        <f t="shared" si="69"/>
        <v>-6.3308144416456695</v>
      </c>
      <c r="O935" s="9" t="str">
        <f t="shared" si="70"/>
        <v>2024-07</v>
      </c>
    </row>
    <row r="936" spans="1:15" x14ac:dyDescent="0.25">
      <c r="A936" s="9" t="s">
        <v>312</v>
      </c>
      <c r="B936" s="9" t="s">
        <v>313</v>
      </c>
      <c r="C936" s="25" t="s">
        <v>194</v>
      </c>
      <c r="D936" s="19">
        <v>55.78</v>
      </c>
      <c r="E936" s="19">
        <v>56.14</v>
      </c>
      <c r="F936" s="19">
        <v>55.62</v>
      </c>
      <c r="G936" s="19">
        <v>55.95</v>
      </c>
      <c r="H936" s="19">
        <v>55.95</v>
      </c>
      <c r="I936" s="15">
        <v>3269849</v>
      </c>
      <c r="J936" s="19">
        <f t="shared" si="72"/>
        <v>0.30476873431337703</v>
      </c>
      <c r="K936" s="19">
        <f t="shared" si="73"/>
        <v>55.813499999999998</v>
      </c>
      <c r="L936" s="19">
        <f t="shared" si="71"/>
        <v>55.567599999999999</v>
      </c>
      <c r="M936" s="19">
        <f>MAX(G788:G936)</f>
        <v>59.55</v>
      </c>
      <c r="N936" s="19">
        <f t="shared" si="69"/>
        <v>-6.045340050377825</v>
      </c>
      <c r="O936" s="9" t="str">
        <f t="shared" si="70"/>
        <v>2024-07</v>
      </c>
    </row>
    <row r="937" spans="1:15" x14ac:dyDescent="0.25">
      <c r="A937" s="9" t="s">
        <v>312</v>
      </c>
      <c r="B937" s="9" t="s">
        <v>313</v>
      </c>
      <c r="C937" s="25" t="s">
        <v>195</v>
      </c>
      <c r="D937" s="19">
        <v>55.95</v>
      </c>
      <c r="E937" s="19">
        <v>56.42</v>
      </c>
      <c r="F937" s="19">
        <v>55.68</v>
      </c>
      <c r="G937" s="19">
        <v>56.22</v>
      </c>
      <c r="H937" s="19">
        <v>56.22</v>
      </c>
      <c r="I937" s="15">
        <v>2602630</v>
      </c>
      <c r="J937" s="19">
        <f t="shared" si="72"/>
        <v>0.48257372654154779</v>
      </c>
      <c r="K937" s="19">
        <f t="shared" si="73"/>
        <v>55.814999999999998</v>
      </c>
      <c r="L937" s="19">
        <f t="shared" si="71"/>
        <v>55.612400000000008</v>
      </c>
      <c r="M937" s="19">
        <f>MAX(G788:G937)</f>
        <v>59.55</v>
      </c>
      <c r="N937" s="19">
        <f t="shared" si="69"/>
        <v>-5.5919395465994937</v>
      </c>
      <c r="O937" s="9" t="str">
        <f t="shared" si="70"/>
        <v>2024-07</v>
      </c>
    </row>
    <row r="938" spans="1:15" x14ac:dyDescent="0.25">
      <c r="A938" s="9" t="s">
        <v>312</v>
      </c>
      <c r="B938" s="9" t="s">
        <v>313</v>
      </c>
      <c r="C938" s="25" t="s">
        <v>196</v>
      </c>
      <c r="D938" s="19">
        <v>56.22</v>
      </c>
      <c r="E938" s="19">
        <v>56.83</v>
      </c>
      <c r="F938" s="19">
        <v>56.19</v>
      </c>
      <c r="G938" s="19">
        <v>56.79</v>
      </c>
      <c r="H938" s="19">
        <v>56.79</v>
      </c>
      <c r="I938" s="15">
        <v>4741845</v>
      </c>
      <c r="J938" s="19">
        <f t="shared" si="72"/>
        <v>1.0138740661686236</v>
      </c>
      <c r="K938" s="19">
        <f t="shared" si="73"/>
        <v>55.802</v>
      </c>
      <c r="L938" s="19">
        <f t="shared" si="71"/>
        <v>55.677600000000012</v>
      </c>
      <c r="M938" s="19">
        <f>MAX(G788:G938)</f>
        <v>59.55</v>
      </c>
      <c r="N938" s="19">
        <f t="shared" si="69"/>
        <v>-4.6347607052896693</v>
      </c>
      <c r="O938" s="9" t="str">
        <f t="shared" si="70"/>
        <v>2024-07</v>
      </c>
    </row>
    <row r="939" spans="1:15" x14ac:dyDescent="0.25">
      <c r="A939" s="9" t="s">
        <v>312</v>
      </c>
      <c r="B939" s="9" t="s">
        <v>313</v>
      </c>
      <c r="C939" s="25" t="s">
        <v>197</v>
      </c>
      <c r="D939" s="19">
        <v>56.79</v>
      </c>
      <c r="E939" s="19">
        <v>56.89</v>
      </c>
      <c r="F939" s="19">
        <v>56.4</v>
      </c>
      <c r="G939" s="19">
        <v>56.86</v>
      </c>
      <c r="H939" s="19">
        <v>56.86</v>
      </c>
      <c r="I939" s="15">
        <v>3464458</v>
      </c>
      <c r="J939" s="19">
        <f t="shared" si="72"/>
        <v>0.12326113752421251</v>
      </c>
      <c r="K939" s="19">
        <f t="shared" si="73"/>
        <v>55.786999999999999</v>
      </c>
      <c r="L939" s="19">
        <f t="shared" si="71"/>
        <v>55.724400000000017</v>
      </c>
      <c r="M939" s="19">
        <f>MAX(G788:G939)</f>
        <v>59.55</v>
      </c>
      <c r="N939" s="19">
        <f t="shared" si="69"/>
        <v>-4.5172124265323221</v>
      </c>
      <c r="O939" s="9" t="str">
        <f t="shared" si="70"/>
        <v>2024-07</v>
      </c>
    </row>
    <row r="940" spans="1:15" x14ac:dyDescent="0.25">
      <c r="A940" s="9" t="s">
        <v>312</v>
      </c>
      <c r="B940" s="9" t="s">
        <v>313</v>
      </c>
      <c r="C940" s="25" t="s">
        <v>198</v>
      </c>
      <c r="D940" s="19">
        <v>56.86</v>
      </c>
      <c r="E940" s="19">
        <v>57.5</v>
      </c>
      <c r="F940" s="19">
        <v>56.64</v>
      </c>
      <c r="G940" s="19">
        <v>57.45</v>
      </c>
      <c r="H940" s="19">
        <v>57.45</v>
      </c>
      <c r="I940" s="15">
        <v>3221713</v>
      </c>
      <c r="J940" s="19">
        <f t="shared" si="72"/>
        <v>1.037636299683439</v>
      </c>
      <c r="K940" s="19">
        <f t="shared" si="73"/>
        <v>55.794999999999995</v>
      </c>
      <c r="L940" s="19">
        <f t="shared" si="71"/>
        <v>55.769800000000011</v>
      </c>
      <c r="M940" s="19">
        <f>MAX(G788:G940)</f>
        <v>59.55</v>
      </c>
      <c r="N940" s="19">
        <f t="shared" si="69"/>
        <v>-3.5264483627203935</v>
      </c>
      <c r="O940" s="9" t="str">
        <f t="shared" si="70"/>
        <v>2024-07</v>
      </c>
    </row>
    <row r="941" spans="1:15" x14ac:dyDescent="0.25">
      <c r="A941" s="9" t="s">
        <v>312</v>
      </c>
      <c r="B941" s="9" t="s">
        <v>313</v>
      </c>
      <c r="C941" s="25" t="s">
        <v>199</v>
      </c>
      <c r="D941" s="19">
        <v>57.45</v>
      </c>
      <c r="E941" s="19">
        <v>57.63</v>
      </c>
      <c r="F941" s="19">
        <v>57.33</v>
      </c>
      <c r="G941" s="19">
        <v>57.51</v>
      </c>
      <c r="H941" s="19">
        <v>57.51</v>
      </c>
      <c r="I941" s="15">
        <v>2906822</v>
      </c>
      <c r="J941" s="19">
        <f t="shared" si="72"/>
        <v>0.10443864229764172</v>
      </c>
      <c r="K941" s="19">
        <f t="shared" si="73"/>
        <v>55.850499999999997</v>
      </c>
      <c r="L941" s="19">
        <f t="shared" si="71"/>
        <v>55.818400000000018</v>
      </c>
      <c r="M941" s="19">
        <f>MAX(G788:G941)</f>
        <v>59.55</v>
      </c>
      <c r="N941" s="19">
        <f t="shared" si="69"/>
        <v>-3.4256926952141047</v>
      </c>
      <c r="O941" s="9" t="str">
        <f t="shared" si="70"/>
        <v>2024-08</v>
      </c>
    </row>
    <row r="942" spans="1:15" x14ac:dyDescent="0.25">
      <c r="A942" s="9" t="s">
        <v>312</v>
      </c>
      <c r="B942" s="9" t="s">
        <v>313</v>
      </c>
      <c r="C942" s="25" t="s">
        <v>200</v>
      </c>
      <c r="D942" s="19">
        <v>57.51</v>
      </c>
      <c r="E942" s="19">
        <v>58.41</v>
      </c>
      <c r="F942" s="19">
        <v>57.17</v>
      </c>
      <c r="G942" s="19">
        <v>58.11</v>
      </c>
      <c r="H942" s="19">
        <v>58.11</v>
      </c>
      <c r="I942" s="15">
        <v>3966687</v>
      </c>
      <c r="J942" s="19">
        <f t="shared" si="72"/>
        <v>1.0432968179447077</v>
      </c>
      <c r="K942" s="19">
        <f t="shared" si="73"/>
        <v>55.96</v>
      </c>
      <c r="L942" s="19">
        <f t="shared" si="71"/>
        <v>55.86660000000002</v>
      </c>
      <c r="M942" s="19">
        <f>MAX(G788:G942)</f>
        <v>59.55</v>
      </c>
      <c r="N942" s="19">
        <f t="shared" si="69"/>
        <v>-2.4181360201511302</v>
      </c>
      <c r="O942" s="9" t="str">
        <f t="shared" si="70"/>
        <v>2024-08</v>
      </c>
    </row>
    <row r="943" spans="1:15" x14ac:dyDescent="0.25">
      <c r="A943" s="9" t="s">
        <v>312</v>
      </c>
      <c r="B943" s="9" t="s">
        <v>313</v>
      </c>
      <c r="C943" s="25" t="s">
        <v>201</v>
      </c>
      <c r="D943" s="19">
        <v>58.11</v>
      </c>
      <c r="E943" s="19">
        <v>59.06</v>
      </c>
      <c r="F943" s="19">
        <v>58.03</v>
      </c>
      <c r="G943" s="19">
        <v>58.55</v>
      </c>
      <c r="H943" s="19">
        <v>58.55</v>
      </c>
      <c r="I943" s="15">
        <v>2957109</v>
      </c>
      <c r="J943" s="19">
        <f t="shared" si="72"/>
        <v>0.75718464980209554</v>
      </c>
      <c r="K943" s="19">
        <f t="shared" si="73"/>
        <v>56.075000000000003</v>
      </c>
      <c r="L943" s="19">
        <f t="shared" si="71"/>
        <v>55.925400000000025</v>
      </c>
      <c r="M943" s="19">
        <f>MAX(G788:G943)</f>
        <v>59.55</v>
      </c>
      <c r="N943" s="19">
        <f t="shared" si="69"/>
        <v>-1.6792611251049538</v>
      </c>
      <c r="O943" s="9" t="str">
        <f t="shared" si="70"/>
        <v>2024-08</v>
      </c>
    </row>
    <row r="944" spans="1:15" x14ac:dyDescent="0.25">
      <c r="A944" s="9" t="s">
        <v>312</v>
      </c>
      <c r="B944" s="9" t="s">
        <v>313</v>
      </c>
      <c r="C944" s="25" t="s">
        <v>202</v>
      </c>
      <c r="D944" s="19">
        <v>58.55</v>
      </c>
      <c r="E944" s="19">
        <v>58.7</v>
      </c>
      <c r="F944" s="19">
        <v>58.45</v>
      </c>
      <c r="G944" s="19">
        <v>58.46</v>
      </c>
      <c r="H944" s="19">
        <v>58.46</v>
      </c>
      <c r="I944" s="15">
        <v>3586244</v>
      </c>
      <c r="J944" s="19">
        <f t="shared" si="72"/>
        <v>-0.15371477369768796</v>
      </c>
      <c r="K944" s="19">
        <f t="shared" si="73"/>
        <v>56.215000000000011</v>
      </c>
      <c r="L944" s="19">
        <f t="shared" si="71"/>
        <v>55.989200000000018</v>
      </c>
      <c r="M944" s="19">
        <f>MAX(G788:G944)</f>
        <v>59.55</v>
      </c>
      <c r="N944" s="19">
        <f t="shared" si="69"/>
        <v>-1.8303946263643935</v>
      </c>
      <c r="O944" s="9" t="str">
        <f t="shared" si="70"/>
        <v>2024-08</v>
      </c>
    </row>
    <row r="945" spans="1:15" x14ac:dyDescent="0.25">
      <c r="A945" s="9" t="s">
        <v>312</v>
      </c>
      <c r="B945" s="9" t="s">
        <v>313</v>
      </c>
      <c r="C945" s="25" t="s">
        <v>203</v>
      </c>
      <c r="D945" s="19">
        <v>58.46</v>
      </c>
      <c r="E945" s="19">
        <v>58.55</v>
      </c>
      <c r="F945" s="19">
        <v>57.94</v>
      </c>
      <c r="G945" s="19">
        <v>58.54</v>
      </c>
      <c r="H945" s="19">
        <v>58.54</v>
      </c>
      <c r="I945" s="15">
        <v>5089417</v>
      </c>
      <c r="J945" s="19">
        <f t="shared" si="72"/>
        <v>0.13684570646595673</v>
      </c>
      <c r="K945" s="19">
        <f t="shared" si="73"/>
        <v>56.370500000000007</v>
      </c>
      <c r="L945" s="19">
        <f t="shared" si="71"/>
        <v>56.055800000000019</v>
      </c>
      <c r="M945" s="19">
        <f>MAX(G788:G945)</f>
        <v>59.55</v>
      </c>
      <c r="N945" s="19">
        <f t="shared" si="69"/>
        <v>-1.696053736356</v>
      </c>
      <c r="O945" s="9" t="str">
        <f t="shared" si="70"/>
        <v>2024-08</v>
      </c>
    </row>
    <row r="946" spans="1:15" x14ac:dyDescent="0.25">
      <c r="A946" s="9" t="s">
        <v>312</v>
      </c>
      <c r="B946" s="9" t="s">
        <v>313</v>
      </c>
      <c r="C946" s="25" t="s">
        <v>204</v>
      </c>
      <c r="D946" s="19">
        <v>58.54</v>
      </c>
      <c r="E946" s="19">
        <v>58.74</v>
      </c>
      <c r="F946" s="19">
        <v>57.66</v>
      </c>
      <c r="G946" s="19">
        <v>57.98</v>
      </c>
      <c r="H946" s="19">
        <v>57.98</v>
      </c>
      <c r="I946" s="15">
        <v>3785960</v>
      </c>
      <c r="J946" s="19">
        <f t="shared" si="72"/>
        <v>-0.9566108643662492</v>
      </c>
      <c r="K946" s="19">
        <f t="shared" si="73"/>
        <v>56.536500000000011</v>
      </c>
      <c r="L946" s="19">
        <f t="shared" si="71"/>
        <v>56.111200000000018</v>
      </c>
      <c r="M946" s="19">
        <f>MAX(G788:G946)</f>
        <v>59.55</v>
      </c>
      <c r="N946" s="19">
        <f t="shared" si="69"/>
        <v>-2.6364399664147782</v>
      </c>
      <c r="O946" s="9" t="str">
        <f t="shared" si="70"/>
        <v>2024-08</v>
      </c>
    </row>
    <row r="947" spans="1:15" x14ac:dyDescent="0.25">
      <c r="A947" s="9" t="s">
        <v>312</v>
      </c>
      <c r="B947" s="9" t="s">
        <v>313</v>
      </c>
      <c r="C947" s="25" t="s">
        <v>205</v>
      </c>
      <c r="D947" s="19">
        <v>57.98</v>
      </c>
      <c r="E947" s="19">
        <v>58.19</v>
      </c>
      <c r="F947" s="19">
        <v>57.39</v>
      </c>
      <c r="G947" s="19">
        <v>57.61</v>
      </c>
      <c r="H947" s="19">
        <v>57.61</v>
      </c>
      <c r="I947" s="15">
        <v>4477667</v>
      </c>
      <c r="J947" s="19">
        <f t="shared" si="72"/>
        <v>-0.63815108658157549</v>
      </c>
      <c r="K947" s="19">
        <f t="shared" si="73"/>
        <v>56.699999999999989</v>
      </c>
      <c r="L947" s="19">
        <f t="shared" si="71"/>
        <v>56.146400000000014</v>
      </c>
      <c r="M947" s="19">
        <f>MAX(G788:G947)</f>
        <v>59.55</v>
      </c>
      <c r="N947" s="19">
        <f t="shared" si="69"/>
        <v>-3.2577665827036069</v>
      </c>
      <c r="O947" s="9" t="str">
        <f t="shared" si="70"/>
        <v>2024-08</v>
      </c>
    </row>
    <row r="948" spans="1:15" x14ac:dyDescent="0.25">
      <c r="A948" s="9" t="s">
        <v>312</v>
      </c>
      <c r="B948" s="9" t="s">
        <v>313</v>
      </c>
      <c r="C948" s="25" t="s">
        <v>206</v>
      </c>
      <c r="D948" s="19">
        <v>57.61</v>
      </c>
      <c r="E948" s="19">
        <v>57.74</v>
      </c>
      <c r="F948" s="19">
        <v>57.11</v>
      </c>
      <c r="G948" s="19">
        <v>57.17</v>
      </c>
      <c r="H948" s="19">
        <v>57.17</v>
      </c>
      <c r="I948" s="15">
        <v>6410480</v>
      </c>
      <c r="J948" s="19">
        <f t="shared" si="72"/>
        <v>-0.76375629231035891</v>
      </c>
      <c r="K948" s="19">
        <f t="shared" si="73"/>
        <v>56.850499999999997</v>
      </c>
      <c r="L948" s="19">
        <f t="shared" si="71"/>
        <v>56.164600000000021</v>
      </c>
      <c r="M948" s="19">
        <f>MAX(G788:G948)</f>
        <v>59.55</v>
      </c>
      <c r="N948" s="19">
        <f t="shared" si="69"/>
        <v>-3.9966414777497827</v>
      </c>
      <c r="O948" s="9" t="str">
        <f t="shared" si="70"/>
        <v>2024-08</v>
      </c>
    </row>
    <row r="949" spans="1:15" x14ac:dyDescent="0.25">
      <c r="A949" s="9" t="s">
        <v>312</v>
      </c>
      <c r="B949" s="9" t="s">
        <v>313</v>
      </c>
      <c r="C949" s="25" t="s">
        <v>207</v>
      </c>
      <c r="D949" s="19">
        <v>57.17</v>
      </c>
      <c r="E949" s="19">
        <v>57.38</v>
      </c>
      <c r="F949" s="19">
        <v>56.92</v>
      </c>
      <c r="G949" s="19">
        <v>56.93</v>
      </c>
      <c r="H949" s="19">
        <v>56.93</v>
      </c>
      <c r="I949" s="15">
        <v>5266253</v>
      </c>
      <c r="J949" s="19">
        <f t="shared" si="72"/>
        <v>-0.41980059471751269</v>
      </c>
      <c r="K949" s="19">
        <f t="shared" si="73"/>
        <v>56.939499999999995</v>
      </c>
      <c r="L949" s="19">
        <f t="shared" si="71"/>
        <v>56.176600000000008</v>
      </c>
      <c r="M949" s="19">
        <f>MAX(G788:G949)</f>
        <v>59.55</v>
      </c>
      <c r="N949" s="19">
        <f t="shared" si="69"/>
        <v>-4.3996641477749749</v>
      </c>
      <c r="O949" s="9" t="str">
        <f t="shared" si="70"/>
        <v>2024-08</v>
      </c>
    </row>
    <row r="950" spans="1:15" x14ac:dyDescent="0.25">
      <c r="A950" s="9" t="s">
        <v>312</v>
      </c>
      <c r="B950" s="9" t="s">
        <v>313</v>
      </c>
      <c r="C950" s="25" t="s">
        <v>208</v>
      </c>
      <c r="D950" s="19">
        <v>56.93</v>
      </c>
      <c r="E950" s="19">
        <v>58.3</v>
      </c>
      <c r="F950" s="19">
        <v>56.85</v>
      </c>
      <c r="G950" s="19">
        <v>57.98</v>
      </c>
      <c r="H950" s="19">
        <v>57.98</v>
      </c>
      <c r="I950" s="15">
        <v>3995781</v>
      </c>
      <c r="J950" s="19">
        <f t="shared" si="72"/>
        <v>1.8443702792903516</v>
      </c>
      <c r="K950" s="19">
        <f t="shared" si="73"/>
        <v>57.059000000000005</v>
      </c>
      <c r="L950" s="19">
        <f t="shared" si="71"/>
        <v>56.228200000000015</v>
      </c>
      <c r="M950" s="19">
        <f>MAX(G788:G950)</f>
        <v>59.55</v>
      </c>
      <c r="N950" s="19">
        <f t="shared" si="69"/>
        <v>-2.6364399664147782</v>
      </c>
      <c r="O950" s="9" t="str">
        <f t="shared" si="70"/>
        <v>2024-08</v>
      </c>
    </row>
    <row r="951" spans="1:15" x14ac:dyDescent="0.25">
      <c r="A951" s="9" t="s">
        <v>312</v>
      </c>
      <c r="B951" s="9" t="s">
        <v>313</v>
      </c>
      <c r="C951" s="25" t="s">
        <v>209</v>
      </c>
      <c r="D951" s="19">
        <v>57.98</v>
      </c>
      <c r="E951" s="19">
        <v>58.11</v>
      </c>
      <c r="F951" s="19">
        <v>57.44</v>
      </c>
      <c r="G951" s="19">
        <v>57.46</v>
      </c>
      <c r="H951" s="19">
        <v>57.46</v>
      </c>
      <c r="I951" s="15">
        <v>3211700</v>
      </c>
      <c r="J951" s="19">
        <f t="shared" si="72"/>
        <v>-0.89686098654707846</v>
      </c>
      <c r="K951" s="19">
        <f t="shared" si="73"/>
        <v>57.129500000000007</v>
      </c>
      <c r="L951" s="19">
        <f t="shared" si="71"/>
        <v>56.273800000000023</v>
      </c>
      <c r="M951" s="19">
        <f>MAX(G788:G951)</f>
        <v>59.55</v>
      </c>
      <c r="N951" s="19">
        <f t="shared" si="69"/>
        <v>-3.5096557514693476</v>
      </c>
      <c r="O951" s="9" t="str">
        <f t="shared" si="70"/>
        <v>2024-08</v>
      </c>
    </row>
    <row r="952" spans="1:15" x14ac:dyDescent="0.25">
      <c r="A952" s="9" t="s">
        <v>312</v>
      </c>
      <c r="B952" s="9" t="s">
        <v>313</v>
      </c>
      <c r="C952" s="25" t="s">
        <v>210</v>
      </c>
      <c r="D952" s="19">
        <v>57.46</v>
      </c>
      <c r="E952" s="19">
        <v>57.73</v>
      </c>
      <c r="F952" s="19">
        <v>56.71</v>
      </c>
      <c r="G952" s="19">
        <v>56.82</v>
      </c>
      <c r="H952" s="19">
        <v>56.82</v>
      </c>
      <c r="I952" s="15">
        <v>3895388</v>
      </c>
      <c r="J952" s="19">
        <f t="shared" si="72"/>
        <v>-1.1138183083884452</v>
      </c>
      <c r="K952" s="19">
        <f t="shared" si="73"/>
        <v>57.188999999999986</v>
      </c>
      <c r="L952" s="19">
        <f t="shared" si="71"/>
        <v>56.313000000000017</v>
      </c>
      <c r="M952" s="19">
        <f>MAX(G788:G952)</f>
        <v>59.55</v>
      </c>
      <c r="N952" s="19">
        <f t="shared" si="69"/>
        <v>-4.5843828715365191</v>
      </c>
      <c r="O952" s="9" t="str">
        <f t="shared" si="70"/>
        <v>2024-08</v>
      </c>
    </row>
    <row r="953" spans="1:15" x14ac:dyDescent="0.25">
      <c r="A953" s="9" t="s">
        <v>312</v>
      </c>
      <c r="B953" s="9" t="s">
        <v>313</v>
      </c>
      <c r="C953" s="25" t="s">
        <v>211</v>
      </c>
      <c r="D953" s="19">
        <v>56.82</v>
      </c>
      <c r="E953" s="19">
        <v>57.29</v>
      </c>
      <c r="F953" s="19">
        <v>56.79</v>
      </c>
      <c r="G953" s="19">
        <v>57.21</v>
      </c>
      <c r="H953" s="19">
        <v>57.21</v>
      </c>
      <c r="I953" s="15">
        <v>4833455</v>
      </c>
      <c r="J953" s="19">
        <f t="shared" si="72"/>
        <v>0.68637803590285207</v>
      </c>
      <c r="K953" s="19">
        <f t="shared" si="73"/>
        <v>57.256499999999996</v>
      </c>
      <c r="L953" s="19">
        <f t="shared" si="71"/>
        <v>56.353800000000021</v>
      </c>
      <c r="M953" s="19">
        <f>MAX(G788:G953)</f>
        <v>59.55</v>
      </c>
      <c r="N953" s="19">
        <f t="shared" si="69"/>
        <v>-3.9294710327455857</v>
      </c>
      <c r="O953" s="9" t="str">
        <f t="shared" si="70"/>
        <v>2024-08</v>
      </c>
    </row>
    <row r="954" spans="1:15" x14ac:dyDescent="0.25">
      <c r="A954" s="9" t="s">
        <v>312</v>
      </c>
      <c r="B954" s="9" t="s">
        <v>313</v>
      </c>
      <c r="C954" s="25" t="s">
        <v>212</v>
      </c>
      <c r="D954" s="19">
        <v>57.21</v>
      </c>
      <c r="E954" s="19">
        <v>57.51</v>
      </c>
      <c r="F954" s="19">
        <v>56.95</v>
      </c>
      <c r="G954" s="19">
        <v>57</v>
      </c>
      <c r="H954" s="19">
        <v>57</v>
      </c>
      <c r="I954" s="15">
        <v>3998652</v>
      </c>
      <c r="J954" s="19">
        <f t="shared" si="72"/>
        <v>-0.36706869428421751</v>
      </c>
      <c r="K954" s="19">
        <f t="shared" si="73"/>
        <v>57.318999999999996</v>
      </c>
      <c r="L954" s="19">
        <f t="shared" si="71"/>
        <v>56.393800000000013</v>
      </c>
      <c r="M954" s="19">
        <f>MAX(G788:G954)</f>
        <v>59.55</v>
      </c>
      <c r="N954" s="19">
        <f t="shared" si="69"/>
        <v>-4.2821158690176278</v>
      </c>
      <c r="O954" s="9" t="str">
        <f t="shared" si="70"/>
        <v>2024-08</v>
      </c>
    </row>
    <row r="955" spans="1:15" x14ac:dyDescent="0.25">
      <c r="A955" s="9" t="s">
        <v>312</v>
      </c>
      <c r="B955" s="9" t="s">
        <v>313</v>
      </c>
      <c r="C955" s="25" t="s">
        <v>213</v>
      </c>
      <c r="D955" s="19">
        <v>57</v>
      </c>
      <c r="E955" s="19">
        <v>57.32</v>
      </c>
      <c r="F955" s="19">
        <v>56.64</v>
      </c>
      <c r="G955" s="19">
        <v>57.1</v>
      </c>
      <c r="H955" s="19">
        <v>57.1</v>
      </c>
      <c r="I955" s="15">
        <v>2995893</v>
      </c>
      <c r="J955" s="19">
        <f t="shared" si="72"/>
        <v>0.17543859649123056</v>
      </c>
      <c r="K955" s="19">
        <f t="shared" si="73"/>
        <v>57.384999999999991</v>
      </c>
      <c r="L955" s="19">
        <f t="shared" si="71"/>
        <v>56.431000000000004</v>
      </c>
      <c r="M955" s="19">
        <f>MAX(G788:G955)</f>
        <v>59.55</v>
      </c>
      <c r="N955" s="19">
        <f t="shared" si="69"/>
        <v>-4.1141897565071295</v>
      </c>
      <c r="O955" s="9" t="str">
        <f t="shared" si="70"/>
        <v>2024-08</v>
      </c>
    </row>
    <row r="956" spans="1:15" x14ac:dyDescent="0.25">
      <c r="A956" s="9" t="s">
        <v>312</v>
      </c>
      <c r="B956" s="9" t="s">
        <v>313</v>
      </c>
      <c r="C956" s="25" t="s">
        <v>214</v>
      </c>
      <c r="D956" s="19">
        <v>57.1</v>
      </c>
      <c r="E956" s="19">
        <v>57.13</v>
      </c>
      <c r="F956" s="19">
        <v>56.58</v>
      </c>
      <c r="G956" s="19">
        <v>57.01</v>
      </c>
      <c r="H956" s="19">
        <v>57.01</v>
      </c>
      <c r="I956" s="15">
        <v>5507936</v>
      </c>
      <c r="J956" s="19">
        <f t="shared" si="72"/>
        <v>-0.15761821366025117</v>
      </c>
      <c r="K956" s="19">
        <f t="shared" si="73"/>
        <v>57.438000000000002</v>
      </c>
      <c r="L956" s="19">
        <f t="shared" si="71"/>
        <v>56.468800000000002</v>
      </c>
      <c r="M956" s="19">
        <f>MAX(G788:G956)</f>
        <v>59.55</v>
      </c>
      <c r="N956" s="19">
        <f t="shared" si="69"/>
        <v>-4.2653232577665818</v>
      </c>
      <c r="O956" s="9" t="str">
        <f t="shared" si="70"/>
        <v>2024-08</v>
      </c>
    </row>
    <row r="957" spans="1:15" x14ac:dyDescent="0.25">
      <c r="A957" s="9" t="s">
        <v>312</v>
      </c>
      <c r="B957" s="9" t="s">
        <v>313</v>
      </c>
      <c r="C957" s="25" t="s">
        <v>215</v>
      </c>
      <c r="D957" s="19">
        <v>57.01</v>
      </c>
      <c r="E957" s="19">
        <v>57.19</v>
      </c>
      <c r="F957" s="19">
        <v>56.07</v>
      </c>
      <c r="G957" s="19">
        <v>56.18</v>
      </c>
      <c r="H957" s="19">
        <v>56.18</v>
      </c>
      <c r="I957" s="15">
        <v>5002247</v>
      </c>
      <c r="J957" s="19">
        <f t="shared" si="72"/>
        <v>-1.4558849324679852</v>
      </c>
      <c r="K957" s="19">
        <f t="shared" si="73"/>
        <v>57.436</v>
      </c>
      <c r="L957" s="19">
        <f t="shared" si="71"/>
        <v>56.474799999999995</v>
      </c>
      <c r="M957" s="19">
        <f>MAX(G788:G957)</f>
        <v>59.55</v>
      </c>
      <c r="N957" s="19">
        <f t="shared" si="69"/>
        <v>-5.6591099916036907</v>
      </c>
      <c r="O957" s="9" t="str">
        <f t="shared" si="70"/>
        <v>2024-08</v>
      </c>
    </row>
    <row r="958" spans="1:15" x14ac:dyDescent="0.25">
      <c r="A958" s="9" t="s">
        <v>312</v>
      </c>
      <c r="B958" s="9" t="s">
        <v>313</v>
      </c>
      <c r="C958" s="25" t="s">
        <v>216</v>
      </c>
      <c r="D958" s="19">
        <v>56.18</v>
      </c>
      <c r="E958" s="19">
        <v>56.35</v>
      </c>
      <c r="F958" s="19">
        <v>56.11</v>
      </c>
      <c r="G958" s="19">
        <v>56.27</v>
      </c>
      <c r="H958" s="19">
        <v>56.27</v>
      </c>
      <c r="I958" s="15">
        <v>2560889</v>
      </c>
      <c r="J958" s="19">
        <f t="shared" si="72"/>
        <v>0.16019935920256928</v>
      </c>
      <c r="K958" s="19">
        <f t="shared" si="73"/>
        <v>57.410000000000011</v>
      </c>
      <c r="L958" s="19">
        <f t="shared" si="71"/>
        <v>56.450199999999995</v>
      </c>
      <c r="M958" s="19">
        <f>MAX(G788:G958)</f>
        <v>59.55</v>
      </c>
      <c r="N958" s="19">
        <f t="shared" si="69"/>
        <v>-5.5079764903442383</v>
      </c>
      <c r="O958" s="9" t="str">
        <f t="shared" si="70"/>
        <v>2024-08</v>
      </c>
    </row>
    <row r="959" spans="1:15" x14ac:dyDescent="0.25">
      <c r="A959" s="9" t="s">
        <v>312</v>
      </c>
      <c r="B959" s="9" t="s">
        <v>313</v>
      </c>
      <c r="C959" s="25" t="s">
        <v>217</v>
      </c>
      <c r="D959" s="19">
        <v>56.27</v>
      </c>
      <c r="E959" s="19">
        <v>56.3</v>
      </c>
      <c r="F959" s="19">
        <v>55.2</v>
      </c>
      <c r="G959" s="19">
        <v>55.43</v>
      </c>
      <c r="H959" s="19">
        <v>55.43</v>
      </c>
      <c r="I959" s="15">
        <v>2643015</v>
      </c>
      <c r="J959" s="19">
        <f t="shared" si="72"/>
        <v>-1.4928025590901073</v>
      </c>
      <c r="K959" s="19">
        <f t="shared" si="73"/>
        <v>57.33850000000001</v>
      </c>
      <c r="L959" s="19">
        <f t="shared" si="71"/>
        <v>56.428799999999995</v>
      </c>
      <c r="M959" s="19">
        <f>MAX(G788:G959)</f>
        <v>59.55</v>
      </c>
      <c r="N959" s="19">
        <f t="shared" si="69"/>
        <v>-6.9185558354324064</v>
      </c>
      <c r="O959" s="9" t="str">
        <f t="shared" si="70"/>
        <v>2024-08</v>
      </c>
    </row>
    <row r="960" spans="1:15" x14ac:dyDescent="0.25">
      <c r="A960" s="9" t="s">
        <v>312</v>
      </c>
      <c r="B960" s="9" t="s">
        <v>313</v>
      </c>
      <c r="C960" s="25" t="s">
        <v>218</v>
      </c>
      <c r="D960" s="19">
        <v>55.43</v>
      </c>
      <c r="E960" s="19">
        <v>55.82</v>
      </c>
      <c r="F960" s="19">
        <v>53.86</v>
      </c>
      <c r="G960" s="19">
        <v>54.21</v>
      </c>
      <c r="H960" s="19">
        <v>54.21</v>
      </c>
      <c r="I960" s="15">
        <v>2485214</v>
      </c>
      <c r="J960" s="19">
        <f t="shared" si="72"/>
        <v>-2.2009742016958307</v>
      </c>
      <c r="K960" s="19">
        <f t="shared" si="73"/>
        <v>57.176500000000011</v>
      </c>
      <c r="L960" s="19">
        <f t="shared" si="71"/>
        <v>56.377999999999993</v>
      </c>
      <c r="M960" s="19">
        <f>MAX(G788:G960)</f>
        <v>59.55</v>
      </c>
      <c r="N960" s="19">
        <f t="shared" si="69"/>
        <v>-8.9672544080604482</v>
      </c>
      <c r="O960" s="9" t="str">
        <f t="shared" si="70"/>
        <v>2024-08</v>
      </c>
    </row>
    <row r="961" spans="1:15" x14ac:dyDescent="0.25">
      <c r="A961" s="9" t="s">
        <v>312</v>
      </c>
      <c r="B961" s="9" t="s">
        <v>313</v>
      </c>
      <c r="C961" s="25" t="s">
        <v>219</v>
      </c>
      <c r="D961" s="19">
        <v>54.21</v>
      </c>
      <c r="E961" s="19">
        <v>54.63</v>
      </c>
      <c r="F961" s="19">
        <v>53.95</v>
      </c>
      <c r="G961" s="19">
        <v>54.56</v>
      </c>
      <c r="H961" s="19">
        <v>54.56</v>
      </c>
      <c r="I961" s="15">
        <v>4455010</v>
      </c>
      <c r="J961" s="19">
        <f t="shared" si="72"/>
        <v>0.6456373362848209</v>
      </c>
      <c r="K961" s="19">
        <f t="shared" si="73"/>
        <v>57.029000000000011</v>
      </c>
      <c r="L961" s="19">
        <f t="shared" si="71"/>
        <v>56.354399999999984</v>
      </c>
      <c r="M961" s="19">
        <f>MAX(G788:G961)</f>
        <v>59.55</v>
      </c>
      <c r="N961" s="19">
        <f t="shared" si="69"/>
        <v>-8.3795130142737104</v>
      </c>
      <c r="O961" s="9" t="str">
        <f t="shared" si="70"/>
        <v>2024-08</v>
      </c>
    </row>
    <row r="962" spans="1:15" x14ac:dyDescent="0.25">
      <c r="A962" s="9" t="s">
        <v>312</v>
      </c>
      <c r="B962" s="9" t="s">
        <v>313</v>
      </c>
      <c r="C962" s="25" t="s">
        <v>220</v>
      </c>
      <c r="D962" s="19">
        <v>54.56</v>
      </c>
      <c r="E962" s="19">
        <v>54.63</v>
      </c>
      <c r="F962" s="19">
        <v>53.6</v>
      </c>
      <c r="G962" s="19">
        <v>53.72</v>
      </c>
      <c r="H962" s="19">
        <v>53.72</v>
      </c>
      <c r="I962" s="15">
        <v>4974151</v>
      </c>
      <c r="J962" s="19">
        <f t="shared" si="72"/>
        <v>-1.5395894428152554</v>
      </c>
      <c r="K962" s="19">
        <f t="shared" si="73"/>
        <v>56.8095</v>
      </c>
      <c r="L962" s="19">
        <f t="shared" si="71"/>
        <v>56.313199999999988</v>
      </c>
      <c r="M962" s="19">
        <f>MAX(G788:G962)</f>
        <v>59.55</v>
      </c>
      <c r="N962" s="19">
        <f t="shared" ref="N962:N1025" si="74">(G962-M962)/M962*100</f>
        <v>-9.7900923593618785</v>
      </c>
      <c r="O962" s="9" t="str">
        <f t="shared" ref="O962:O1025" si="75">TEXT(C962,"yyyy-mm")</f>
        <v>2024-08</v>
      </c>
    </row>
    <row r="963" spans="1:15" x14ac:dyDescent="0.25">
      <c r="A963" s="9" t="s">
        <v>312</v>
      </c>
      <c r="B963" s="9" t="s">
        <v>313</v>
      </c>
      <c r="C963" s="25" t="s">
        <v>221</v>
      </c>
      <c r="D963" s="19">
        <v>53.72</v>
      </c>
      <c r="E963" s="19">
        <v>54.15</v>
      </c>
      <c r="F963" s="19">
        <v>53.32</v>
      </c>
      <c r="G963" s="19">
        <v>53.77</v>
      </c>
      <c r="H963" s="19">
        <v>53.77</v>
      </c>
      <c r="I963" s="15">
        <v>2867081</v>
      </c>
      <c r="J963" s="19">
        <f t="shared" si="72"/>
        <v>9.3075204765458427E-2</v>
      </c>
      <c r="K963" s="19">
        <f t="shared" si="73"/>
        <v>56.570500000000003</v>
      </c>
      <c r="L963" s="19">
        <f t="shared" si="71"/>
        <v>56.277999999999984</v>
      </c>
      <c r="M963" s="19">
        <f>MAX(G788:G963)</f>
        <v>59.55</v>
      </c>
      <c r="N963" s="19">
        <f t="shared" si="74"/>
        <v>-9.7061293031066231</v>
      </c>
      <c r="O963" s="9" t="str">
        <f t="shared" si="75"/>
        <v>2024-09</v>
      </c>
    </row>
    <row r="964" spans="1:15" x14ac:dyDescent="0.25">
      <c r="A964" s="9" t="s">
        <v>312</v>
      </c>
      <c r="B964" s="9" t="s">
        <v>313</v>
      </c>
      <c r="C964" s="25" t="s">
        <v>222</v>
      </c>
      <c r="D964" s="19">
        <v>53.77</v>
      </c>
      <c r="E964" s="19">
        <v>53.8</v>
      </c>
      <c r="F964" s="19">
        <v>53.33</v>
      </c>
      <c r="G964" s="19">
        <v>53.68</v>
      </c>
      <c r="H964" s="19">
        <v>53.68</v>
      </c>
      <c r="I964" s="15">
        <v>3687197</v>
      </c>
      <c r="J964" s="19">
        <f t="shared" si="72"/>
        <v>-0.167379579691284</v>
      </c>
      <c r="K964" s="19">
        <f t="shared" si="73"/>
        <v>56.331500000000005</v>
      </c>
      <c r="L964" s="19">
        <f t="shared" si="71"/>
        <v>56.259999999999984</v>
      </c>
      <c r="M964" s="19">
        <f>MAX(G788:G964)</f>
        <v>59.55</v>
      </c>
      <c r="N964" s="19">
        <f t="shared" si="74"/>
        <v>-9.8572628043660746</v>
      </c>
      <c r="O964" s="9" t="str">
        <f t="shared" si="75"/>
        <v>2024-09</v>
      </c>
    </row>
    <row r="965" spans="1:15" x14ac:dyDescent="0.25">
      <c r="A965" s="9" t="s">
        <v>312</v>
      </c>
      <c r="B965" s="9" t="s">
        <v>313</v>
      </c>
      <c r="C965" s="25" t="s">
        <v>223</v>
      </c>
      <c r="D965" s="19">
        <v>53.68</v>
      </c>
      <c r="E965" s="19">
        <v>53.72</v>
      </c>
      <c r="F965" s="19">
        <v>53.45</v>
      </c>
      <c r="G965" s="19">
        <v>53.54</v>
      </c>
      <c r="H965" s="19">
        <v>53.54</v>
      </c>
      <c r="I965" s="15">
        <v>5901502</v>
      </c>
      <c r="J965" s="19">
        <f t="shared" si="72"/>
        <v>-0.26080476900149135</v>
      </c>
      <c r="K965" s="19">
        <f t="shared" si="73"/>
        <v>56.081499999999991</v>
      </c>
      <c r="L965" s="19">
        <f t="shared" ref="L965:L1028" si="76">AVERAGE(G916:G965)</f>
        <v>56.232599999999984</v>
      </c>
      <c r="M965" s="19">
        <f>MAX(G788:G965)</f>
        <v>59.55</v>
      </c>
      <c r="N965" s="19">
        <f t="shared" si="74"/>
        <v>-10.092359361880769</v>
      </c>
      <c r="O965" s="9" t="str">
        <f t="shared" si="75"/>
        <v>2024-09</v>
      </c>
    </row>
    <row r="966" spans="1:15" x14ac:dyDescent="0.25">
      <c r="A966" s="9" t="s">
        <v>312</v>
      </c>
      <c r="B966" s="9" t="s">
        <v>313</v>
      </c>
      <c r="C966" s="25" t="s">
        <v>224</v>
      </c>
      <c r="D966" s="19">
        <v>53.54</v>
      </c>
      <c r="E966" s="19">
        <v>54.2</v>
      </c>
      <c r="F966" s="19">
        <v>53.5</v>
      </c>
      <c r="G966" s="19">
        <v>53.82</v>
      </c>
      <c r="H966" s="19">
        <v>53.82</v>
      </c>
      <c r="I966" s="15">
        <v>4048068</v>
      </c>
      <c r="J966" s="19">
        <f t="shared" si="72"/>
        <v>0.52297347777362935</v>
      </c>
      <c r="K966" s="19">
        <f t="shared" si="73"/>
        <v>55.873499999999993</v>
      </c>
      <c r="L966" s="19">
        <f t="shared" si="76"/>
        <v>56.204199999999986</v>
      </c>
      <c r="M966" s="19">
        <f>MAX(G788:G966)</f>
        <v>59.55</v>
      </c>
      <c r="N966" s="19">
        <f t="shared" si="74"/>
        <v>-9.6221662468513802</v>
      </c>
      <c r="O966" s="9" t="str">
        <f t="shared" si="75"/>
        <v>2024-09</v>
      </c>
    </row>
    <row r="967" spans="1:15" x14ac:dyDescent="0.25">
      <c r="A967" s="9" t="s">
        <v>312</v>
      </c>
      <c r="B967" s="9" t="s">
        <v>313</v>
      </c>
      <c r="C967" s="25" t="s">
        <v>225</v>
      </c>
      <c r="D967" s="19">
        <v>53.82</v>
      </c>
      <c r="E967" s="19">
        <v>53.91</v>
      </c>
      <c r="F967" s="19">
        <v>53.33</v>
      </c>
      <c r="G967" s="19">
        <v>53.38</v>
      </c>
      <c r="H967" s="19">
        <v>53.38</v>
      </c>
      <c r="I967" s="15">
        <v>2981564</v>
      </c>
      <c r="J967" s="19">
        <f t="shared" si="72"/>
        <v>-0.8175399479747264</v>
      </c>
      <c r="K967" s="19">
        <f t="shared" si="73"/>
        <v>55.661999999999999</v>
      </c>
      <c r="L967" s="19">
        <f t="shared" si="76"/>
        <v>56.147999999999982</v>
      </c>
      <c r="M967" s="19">
        <f>MAX(G788:G967)</f>
        <v>59.55</v>
      </c>
      <c r="N967" s="19">
        <f t="shared" si="74"/>
        <v>-10.361041141897557</v>
      </c>
      <c r="O967" s="9" t="str">
        <f t="shared" si="75"/>
        <v>2024-09</v>
      </c>
    </row>
    <row r="968" spans="1:15" x14ac:dyDescent="0.25">
      <c r="A968" s="9" t="s">
        <v>312</v>
      </c>
      <c r="B968" s="9" t="s">
        <v>313</v>
      </c>
      <c r="C968" s="25" t="s">
        <v>226</v>
      </c>
      <c r="D968" s="19">
        <v>53.38</v>
      </c>
      <c r="E968" s="19">
        <v>53.75</v>
      </c>
      <c r="F968" s="19">
        <v>53.31</v>
      </c>
      <c r="G968" s="19">
        <v>53.66</v>
      </c>
      <c r="H968" s="19">
        <v>53.66</v>
      </c>
      <c r="I968" s="15">
        <v>3462302</v>
      </c>
      <c r="J968" s="19">
        <f t="shared" si="72"/>
        <v>0.52454102660171231</v>
      </c>
      <c r="K968" s="19">
        <f t="shared" si="73"/>
        <v>55.486499999999999</v>
      </c>
      <c r="L968" s="19">
        <f t="shared" si="76"/>
        <v>56.080199999999984</v>
      </c>
      <c r="M968" s="19">
        <f>MAX(G788:G968)</f>
        <v>59.55</v>
      </c>
      <c r="N968" s="19">
        <f t="shared" si="74"/>
        <v>-9.8908480268681789</v>
      </c>
      <c r="O968" s="9" t="str">
        <f t="shared" si="75"/>
        <v>2024-09</v>
      </c>
    </row>
    <row r="969" spans="1:15" x14ac:dyDescent="0.25">
      <c r="A969" s="9" t="s">
        <v>312</v>
      </c>
      <c r="B969" s="9" t="s">
        <v>313</v>
      </c>
      <c r="C969" s="25" t="s">
        <v>227</v>
      </c>
      <c r="D969" s="19">
        <v>53.66</v>
      </c>
      <c r="E969" s="19">
        <v>53.81</v>
      </c>
      <c r="F969" s="19">
        <v>53.62</v>
      </c>
      <c r="G969" s="19">
        <v>53.77</v>
      </c>
      <c r="H969" s="19">
        <v>53.77</v>
      </c>
      <c r="I969" s="15">
        <v>3885660</v>
      </c>
      <c r="J969" s="19">
        <f t="shared" si="72"/>
        <v>0.20499440924339646</v>
      </c>
      <c r="K969" s="19">
        <f t="shared" si="73"/>
        <v>55.328499999999998</v>
      </c>
      <c r="L969" s="19">
        <f t="shared" si="76"/>
        <v>56.012399999999985</v>
      </c>
      <c r="M969" s="19">
        <f>MAX(G788:G969)</f>
        <v>59.55</v>
      </c>
      <c r="N969" s="19">
        <f t="shared" si="74"/>
        <v>-9.7061293031066231</v>
      </c>
      <c r="O969" s="9" t="str">
        <f t="shared" si="75"/>
        <v>2024-09</v>
      </c>
    </row>
    <row r="970" spans="1:15" x14ac:dyDescent="0.25">
      <c r="A970" s="9" t="s">
        <v>312</v>
      </c>
      <c r="B970" s="9" t="s">
        <v>313</v>
      </c>
      <c r="C970" s="25" t="s">
        <v>228</v>
      </c>
      <c r="D970" s="19">
        <v>53.77</v>
      </c>
      <c r="E970" s="19">
        <v>54.4</v>
      </c>
      <c r="F970" s="19">
        <v>53.67</v>
      </c>
      <c r="G970" s="19">
        <v>54.3</v>
      </c>
      <c r="H970" s="19">
        <v>54.3</v>
      </c>
      <c r="I970" s="15">
        <v>4313350</v>
      </c>
      <c r="J970" s="19">
        <f t="shared" si="72"/>
        <v>0.98567974707084627</v>
      </c>
      <c r="K970" s="19">
        <f t="shared" si="73"/>
        <v>55.144499999999994</v>
      </c>
      <c r="L970" s="19">
        <f t="shared" si="76"/>
        <v>55.952599999999983</v>
      </c>
      <c r="M970" s="19">
        <f>MAX(G788:G970)</f>
        <v>59.55</v>
      </c>
      <c r="N970" s="19">
        <f t="shared" si="74"/>
        <v>-8.8161209068010074</v>
      </c>
      <c r="O970" s="9" t="str">
        <f t="shared" si="75"/>
        <v>2024-09</v>
      </c>
    </row>
    <row r="971" spans="1:15" x14ac:dyDescent="0.25">
      <c r="A971" s="9" t="s">
        <v>312</v>
      </c>
      <c r="B971" s="9" t="s">
        <v>313</v>
      </c>
      <c r="C971" s="25" t="s">
        <v>229</v>
      </c>
      <c r="D971" s="19">
        <v>54.3</v>
      </c>
      <c r="E971" s="19">
        <v>54.55</v>
      </c>
      <c r="F971" s="19">
        <v>53.53</v>
      </c>
      <c r="G971" s="19">
        <v>53.69</v>
      </c>
      <c r="H971" s="19">
        <v>53.69</v>
      </c>
      <c r="I971" s="15">
        <v>2492437</v>
      </c>
      <c r="J971" s="19">
        <f t="shared" si="72"/>
        <v>-1.1233885819521168</v>
      </c>
      <c r="K971" s="19">
        <f t="shared" si="73"/>
        <v>54.955999999999996</v>
      </c>
      <c r="L971" s="19">
        <f t="shared" si="76"/>
        <v>55.898399999999995</v>
      </c>
      <c r="M971" s="19">
        <f>MAX(G788:G971)</f>
        <v>59.55</v>
      </c>
      <c r="N971" s="19">
        <f t="shared" si="74"/>
        <v>-9.8404701931150296</v>
      </c>
      <c r="O971" s="9" t="str">
        <f t="shared" si="75"/>
        <v>2024-09</v>
      </c>
    </row>
    <row r="972" spans="1:15" x14ac:dyDescent="0.25">
      <c r="A972" s="9" t="s">
        <v>312</v>
      </c>
      <c r="B972" s="9" t="s">
        <v>313</v>
      </c>
      <c r="C972" s="25" t="s">
        <v>230</v>
      </c>
      <c r="D972" s="19">
        <v>53.69</v>
      </c>
      <c r="E972" s="19">
        <v>53.88</v>
      </c>
      <c r="F972" s="19">
        <v>53.66</v>
      </c>
      <c r="G972" s="19">
        <v>53.75</v>
      </c>
      <c r="H972" s="19">
        <v>53.75</v>
      </c>
      <c r="I972" s="15">
        <v>4441607</v>
      </c>
      <c r="J972" s="19">
        <f t="shared" si="72"/>
        <v>0.11175265412553972</v>
      </c>
      <c r="K972" s="19">
        <f t="shared" si="73"/>
        <v>54.802499999999988</v>
      </c>
      <c r="L972" s="19">
        <f t="shared" si="76"/>
        <v>55.854999999999997</v>
      </c>
      <c r="M972" s="19">
        <f>MAX(G788:G972)</f>
        <v>59.55</v>
      </c>
      <c r="N972" s="19">
        <f t="shared" si="74"/>
        <v>-9.7397145256087274</v>
      </c>
      <c r="O972" s="9" t="str">
        <f t="shared" si="75"/>
        <v>2024-09</v>
      </c>
    </row>
    <row r="973" spans="1:15" x14ac:dyDescent="0.25">
      <c r="A973" s="9" t="s">
        <v>312</v>
      </c>
      <c r="B973" s="9" t="s">
        <v>313</v>
      </c>
      <c r="C973" s="25" t="s">
        <v>231</v>
      </c>
      <c r="D973" s="19">
        <v>53.75</v>
      </c>
      <c r="E973" s="19">
        <v>54.19</v>
      </c>
      <c r="F973" s="19">
        <v>53.71</v>
      </c>
      <c r="G973" s="19">
        <v>54.09</v>
      </c>
      <c r="H973" s="19">
        <v>54.09</v>
      </c>
      <c r="I973" s="15">
        <v>6087662</v>
      </c>
      <c r="J973" s="19">
        <f t="shared" si="72"/>
        <v>0.63255813953489004</v>
      </c>
      <c r="K973" s="19">
        <f t="shared" si="73"/>
        <v>54.646499999999989</v>
      </c>
      <c r="L973" s="19">
        <f t="shared" si="76"/>
        <v>55.811800000000005</v>
      </c>
      <c r="M973" s="19">
        <f>MAX(G788:G973)</f>
        <v>59.55</v>
      </c>
      <c r="N973" s="19">
        <f t="shared" si="74"/>
        <v>-9.1687657430730383</v>
      </c>
      <c r="O973" s="9" t="str">
        <f t="shared" si="75"/>
        <v>2024-09</v>
      </c>
    </row>
    <row r="974" spans="1:15" x14ac:dyDescent="0.25">
      <c r="A974" s="9" t="s">
        <v>312</v>
      </c>
      <c r="B974" s="9" t="s">
        <v>313</v>
      </c>
      <c r="C974" s="25" t="s">
        <v>232</v>
      </c>
      <c r="D974" s="19">
        <v>54.09</v>
      </c>
      <c r="E974" s="19">
        <v>54.2</v>
      </c>
      <c r="F974" s="19">
        <v>53.87</v>
      </c>
      <c r="G974" s="19">
        <v>54.12</v>
      </c>
      <c r="H974" s="19">
        <v>54.12</v>
      </c>
      <c r="I974" s="15">
        <v>4370847</v>
      </c>
      <c r="J974" s="19">
        <f t="shared" si="72"/>
        <v>5.5463117027165887E-2</v>
      </c>
      <c r="K974" s="19">
        <f t="shared" si="73"/>
        <v>54.502499999999984</v>
      </c>
      <c r="L974" s="19">
        <f t="shared" si="76"/>
        <v>55.781000000000006</v>
      </c>
      <c r="M974" s="19">
        <f>MAX(G788:G974)</f>
        <v>59.55</v>
      </c>
      <c r="N974" s="19">
        <f t="shared" si="74"/>
        <v>-9.1183879093198978</v>
      </c>
      <c r="O974" s="9" t="str">
        <f t="shared" si="75"/>
        <v>2024-09</v>
      </c>
    </row>
    <row r="975" spans="1:15" x14ac:dyDescent="0.25">
      <c r="A975" s="9" t="s">
        <v>312</v>
      </c>
      <c r="B975" s="9" t="s">
        <v>313</v>
      </c>
      <c r="C975" s="25" t="s">
        <v>233</v>
      </c>
      <c r="D975" s="19">
        <v>54.12</v>
      </c>
      <c r="E975" s="19">
        <v>54.41</v>
      </c>
      <c r="F975" s="19">
        <v>54.02</v>
      </c>
      <c r="G975" s="19">
        <v>54.34</v>
      </c>
      <c r="H975" s="19">
        <v>54.34</v>
      </c>
      <c r="I975" s="15">
        <v>4464812</v>
      </c>
      <c r="J975" s="19">
        <f t="shared" si="72"/>
        <v>0.40650406504066144</v>
      </c>
      <c r="K975" s="19">
        <f t="shared" si="73"/>
        <v>54.3645</v>
      </c>
      <c r="L975" s="19">
        <f t="shared" si="76"/>
        <v>55.759200000000007</v>
      </c>
      <c r="M975" s="19">
        <f>MAX(G788:G975)</f>
        <v>59.55</v>
      </c>
      <c r="N975" s="19">
        <f t="shared" si="74"/>
        <v>-8.7489504617967988</v>
      </c>
      <c r="O975" s="9" t="str">
        <f t="shared" si="75"/>
        <v>2024-09</v>
      </c>
    </row>
    <row r="976" spans="1:15" x14ac:dyDescent="0.25">
      <c r="A976" s="9" t="s">
        <v>312</v>
      </c>
      <c r="B976" s="9" t="s">
        <v>313</v>
      </c>
      <c r="C976" s="25" t="s">
        <v>234</v>
      </c>
      <c r="D976" s="19">
        <v>54.34</v>
      </c>
      <c r="E976" s="19">
        <v>54.38</v>
      </c>
      <c r="F976" s="19">
        <v>53.09</v>
      </c>
      <c r="G976" s="19">
        <v>53.13</v>
      </c>
      <c r="H976" s="19">
        <v>53.13</v>
      </c>
      <c r="I976" s="15">
        <v>3262262</v>
      </c>
      <c r="J976" s="19">
        <f t="shared" si="72"/>
        <v>-2.226720647773281</v>
      </c>
      <c r="K976" s="19">
        <f t="shared" si="73"/>
        <v>54.170500000000004</v>
      </c>
      <c r="L976" s="19">
        <f t="shared" si="76"/>
        <v>55.728600000000014</v>
      </c>
      <c r="M976" s="19">
        <f>MAX(G788:G976)</f>
        <v>59.55</v>
      </c>
      <c r="N976" s="19">
        <f t="shared" si="74"/>
        <v>-10.780856423173795</v>
      </c>
      <c r="O976" s="9" t="str">
        <f t="shared" si="75"/>
        <v>2024-09</v>
      </c>
    </row>
    <row r="977" spans="1:15" x14ac:dyDescent="0.25">
      <c r="A977" s="9" t="s">
        <v>312</v>
      </c>
      <c r="B977" s="9" t="s">
        <v>313</v>
      </c>
      <c r="C977" s="25" t="s">
        <v>235</v>
      </c>
      <c r="D977" s="19">
        <v>53.13</v>
      </c>
      <c r="E977" s="19">
        <v>53.45</v>
      </c>
      <c r="F977" s="19">
        <v>52.93</v>
      </c>
      <c r="G977" s="19">
        <v>53.17</v>
      </c>
      <c r="H977" s="19">
        <v>53.17</v>
      </c>
      <c r="I977" s="15">
        <v>5401439</v>
      </c>
      <c r="J977" s="19">
        <f t="shared" si="72"/>
        <v>7.5287031808769334E-2</v>
      </c>
      <c r="K977" s="19">
        <f t="shared" si="73"/>
        <v>54.02</v>
      </c>
      <c r="L977" s="19">
        <f t="shared" si="76"/>
        <v>55.705200000000012</v>
      </c>
      <c r="M977" s="19">
        <f>MAX(G788:G977)</f>
        <v>59.55</v>
      </c>
      <c r="N977" s="19">
        <f t="shared" si="74"/>
        <v>-10.713685978169599</v>
      </c>
      <c r="O977" s="9" t="str">
        <f t="shared" si="75"/>
        <v>2024-09</v>
      </c>
    </row>
    <row r="978" spans="1:15" x14ac:dyDescent="0.25">
      <c r="A978" s="9" t="s">
        <v>312</v>
      </c>
      <c r="B978" s="9" t="s">
        <v>313</v>
      </c>
      <c r="C978" s="25" t="s">
        <v>236</v>
      </c>
      <c r="D978" s="19">
        <v>53.17</v>
      </c>
      <c r="E978" s="19">
        <v>53.39</v>
      </c>
      <c r="F978" s="19">
        <v>52.6</v>
      </c>
      <c r="G978" s="19">
        <v>52.73</v>
      </c>
      <c r="H978" s="19">
        <v>52.73</v>
      </c>
      <c r="I978" s="15">
        <v>3997784</v>
      </c>
      <c r="J978" s="19">
        <f t="shared" si="72"/>
        <v>-0.82753432386685133</v>
      </c>
      <c r="K978" s="19">
        <f t="shared" si="73"/>
        <v>53.843000000000004</v>
      </c>
      <c r="L978" s="19">
        <f t="shared" si="76"/>
        <v>55.676600000000015</v>
      </c>
      <c r="M978" s="19">
        <f>MAX(G788:G978)</f>
        <v>59.55</v>
      </c>
      <c r="N978" s="19">
        <f t="shared" si="74"/>
        <v>-11.452560873215786</v>
      </c>
      <c r="O978" s="9" t="str">
        <f t="shared" si="75"/>
        <v>2024-09</v>
      </c>
    </row>
    <row r="979" spans="1:15" x14ac:dyDescent="0.25">
      <c r="A979" s="9" t="s">
        <v>312</v>
      </c>
      <c r="B979" s="9" t="s">
        <v>313</v>
      </c>
      <c r="C979" s="25" t="s">
        <v>237</v>
      </c>
      <c r="D979" s="19">
        <v>52.73</v>
      </c>
      <c r="E979" s="19">
        <v>52.91</v>
      </c>
      <c r="F979" s="19">
        <v>52.01</v>
      </c>
      <c r="G979" s="19">
        <v>52.34</v>
      </c>
      <c r="H979" s="19">
        <v>52.34</v>
      </c>
      <c r="I979" s="15">
        <v>3970522</v>
      </c>
      <c r="J979" s="19">
        <f t="shared" si="72"/>
        <v>-0.73961691636638249</v>
      </c>
      <c r="K979" s="19">
        <f t="shared" si="73"/>
        <v>53.688499999999998</v>
      </c>
      <c r="L979" s="19">
        <f t="shared" si="76"/>
        <v>55.620400000000018</v>
      </c>
      <c r="M979" s="19">
        <f>MAX(G788:G979)</f>
        <v>59.55</v>
      </c>
      <c r="N979" s="19">
        <f t="shared" si="74"/>
        <v>-12.107472712006707</v>
      </c>
      <c r="O979" s="9" t="str">
        <f t="shared" si="75"/>
        <v>2024-09</v>
      </c>
    </row>
    <row r="980" spans="1:15" x14ac:dyDescent="0.25">
      <c r="A980" s="9" t="s">
        <v>312</v>
      </c>
      <c r="B980" s="9" t="s">
        <v>313</v>
      </c>
      <c r="C980" s="25" t="s">
        <v>238</v>
      </c>
      <c r="D980" s="19">
        <v>52.34</v>
      </c>
      <c r="E980" s="19">
        <v>53.02</v>
      </c>
      <c r="F980" s="19">
        <v>52.29</v>
      </c>
      <c r="G980" s="19">
        <v>52.76</v>
      </c>
      <c r="H980" s="19">
        <v>52.76</v>
      </c>
      <c r="I980" s="15">
        <v>2535057</v>
      </c>
      <c r="J980" s="19">
        <f t="shared" si="72"/>
        <v>0.80244554833778103</v>
      </c>
      <c r="K980" s="19">
        <f t="shared" si="73"/>
        <v>53.616</v>
      </c>
      <c r="L980" s="19">
        <f t="shared" si="76"/>
        <v>55.563800000000022</v>
      </c>
      <c r="M980" s="19">
        <f>MAX(G788:G980)</f>
        <v>59.55</v>
      </c>
      <c r="N980" s="19">
        <f t="shared" si="74"/>
        <v>-11.402183039462635</v>
      </c>
      <c r="O980" s="9" t="str">
        <f t="shared" si="75"/>
        <v>2024-09</v>
      </c>
    </row>
    <row r="981" spans="1:15" x14ac:dyDescent="0.25">
      <c r="A981" s="9" t="s">
        <v>312</v>
      </c>
      <c r="B981" s="9" t="s">
        <v>313</v>
      </c>
      <c r="C981" s="25" t="s">
        <v>239</v>
      </c>
      <c r="D981" s="19">
        <v>52.76</v>
      </c>
      <c r="E981" s="19">
        <v>52.78</v>
      </c>
      <c r="F981" s="19">
        <v>51.61</v>
      </c>
      <c r="G981" s="19">
        <v>51.84</v>
      </c>
      <c r="H981" s="19">
        <v>51.84</v>
      </c>
      <c r="I981" s="15">
        <v>2316558</v>
      </c>
      <c r="J981" s="19">
        <f t="shared" ref="J981:J1049" si="77">IFERROR((G981-G980)/G980*100,"")</f>
        <v>-1.7437452615617792</v>
      </c>
      <c r="K981" s="19">
        <f t="shared" si="73"/>
        <v>53.480000000000004</v>
      </c>
      <c r="L981" s="19">
        <f t="shared" si="76"/>
        <v>55.479600000000026</v>
      </c>
      <c r="M981" s="19">
        <f>MAX(G788:G981)</f>
        <v>59.55</v>
      </c>
      <c r="N981" s="19">
        <f t="shared" si="74"/>
        <v>-12.947103274559185</v>
      </c>
      <c r="O981" s="9" t="str">
        <f t="shared" si="75"/>
        <v>2024-09</v>
      </c>
    </row>
    <row r="982" spans="1:15" x14ac:dyDescent="0.25">
      <c r="A982" s="9" t="s">
        <v>312</v>
      </c>
      <c r="B982" s="9" t="s">
        <v>313</v>
      </c>
      <c r="C982" s="25" t="s">
        <v>240</v>
      </c>
      <c r="D982" s="19">
        <v>51.84</v>
      </c>
      <c r="E982" s="19">
        <v>52.68</v>
      </c>
      <c r="F982" s="19">
        <v>51.25</v>
      </c>
      <c r="G982" s="19">
        <v>52.37</v>
      </c>
      <c r="H982" s="19">
        <v>52.37</v>
      </c>
      <c r="I982" s="15">
        <v>4458169</v>
      </c>
      <c r="J982" s="19">
        <f t="shared" si="77"/>
        <v>1.022376543209865</v>
      </c>
      <c r="K982" s="19">
        <f t="shared" si="73"/>
        <v>53.412500000000001</v>
      </c>
      <c r="L982" s="19">
        <f t="shared" si="76"/>
        <v>55.414400000000022</v>
      </c>
      <c r="M982" s="19">
        <f>MAX(G788:G982)</f>
        <v>59.55</v>
      </c>
      <c r="N982" s="19">
        <f t="shared" si="74"/>
        <v>-12.057094878253569</v>
      </c>
      <c r="O982" s="9" t="str">
        <f t="shared" si="75"/>
        <v>2024-09</v>
      </c>
    </row>
    <row r="983" spans="1:15" x14ac:dyDescent="0.25">
      <c r="A983" s="9" t="s">
        <v>312</v>
      </c>
      <c r="B983" s="9" t="s">
        <v>313</v>
      </c>
      <c r="C983" s="25" t="s">
        <v>241</v>
      </c>
      <c r="D983" s="19">
        <v>52.37</v>
      </c>
      <c r="E983" s="19">
        <v>53.26</v>
      </c>
      <c r="F983" s="19">
        <v>52.25</v>
      </c>
      <c r="G983" s="19">
        <v>53.08</v>
      </c>
      <c r="H983" s="19">
        <v>53.08</v>
      </c>
      <c r="I983" s="15">
        <v>2746034</v>
      </c>
      <c r="J983" s="19">
        <f t="shared" si="77"/>
        <v>1.3557380179492091</v>
      </c>
      <c r="K983" s="19">
        <f t="shared" si="73"/>
        <v>53.378</v>
      </c>
      <c r="L983" s="19">
        <f t="shared" si="76"/>
        <v>55.358800000000016</v>
      </c>
      <c r="M983" s="19">
        <f>MAX(G788:G983)</f>
        <v>59.55</v>
      </c>
      <c r="N983" s="19">
        <f t="shared" si="74"/>
        <v>-10.86481947942905</v>
      </c>
      <c r="O983" s="9" t="str">
        <f t="shared" si="75"/>
        <v>2024-09</v>
      </c>
    </row>
    <row r="984" spans="1:15" x14ac:dyDescent="0.25">
      <c r="A984" s="9" t="s">
        <v>312</v>
      </c>
      <c r="B984" s="9" t="s">
        <v>313</v>
      </c>
      <c r="C984" s="25" t="s">
        <v>242</v>
      </c>
      <c r="D984" s="19">
        <v>53.08</v>
      </c>
      <c r="E984" s="19">
        <v>53.85</v>
      </c>
      <c r="F984" s="19">
        <v>52.94</v>
      </c>
      <c r="G984" s="19">
        <v>53.56</v>
      </c>
      <c r="H984" s="19">
        <v>53.56</v>
      </c>
      <c r="I984" s="15">
        <v>4045652</v>
      </c>
      <c r="J984" s="19">
        <f t="shared" si="77"/>
        <v>0.90429540316504142</v>
      </c>
      <c r="K984" s="19">
        <f t="shared" si="73"/>
        <v>53.372</v>
      </c>
      <c r="L984" s="19">
        <f t="shared" si="76"/>
        <v>55.315000000000012</v>
      </c>
      <c r="M984" s="19">
        <f>MAX(G788:G984)</f>
        <v>59.55</v>
      </c>
      <c r="N984" s="19">
        <f t="shared" si="74"/>
        <v>-10.058774139378665</v>
      </c>
      <c r="O984" s="9" t="str">
        <f t="shared" si="75"/>
        <v>2024-10</v>
      </c>
    </row>
    <row r="985" spans="1:15" x14ac:dyDescent="0.25">
      <c r="A985" s="9" t="s">
        <v>312</v>
      </c>
      <c r="B985" s="9" t="s">
        <v>313</v>
      </c>
      <c r="C985" s="25" t="s">
        <v>243</v>
      </c>
      <c r="D985" s="19">
        <v>53.56</v>
      </c>
      <c r="E985" s="19">
        <v>54.62</v>
      </c>
      <c r="F985" s="19">
        <v>53.45</v>
      </c>
      <c r="G985" s="19">
        <v>54.4</v>
      </c>
      <c r="H985" s="19">
        <v>54.4</v>
      </c>
      <c r="I985" s="15">
        <v>2966087</v>
      </c>
      <c r="J985" s="19">
        <f t="shared" si="77"/>
        <v>1.5683345780433091</v>
      </c>
      <c r="K985" s="19">
        <f t="shared" si="73"/>
        <v>53.415000000000006</v>
      </c>
      <c r="L985" s="19">
        <f t="shared" si="76"/>
        <v>55.287400000000019</v>
      </c>
      <c r="M985" s="19">
        <f>MAX(G788:G985)</f>
        <v>59.55</v>
      </c>
      <c r="N985" s="19">
        <f t="shared" si="74"/>
        <v>-8.6481947942905109</v>
      </c>
      <c r="O985" s="9" t="str">
        <f t="shared" si="75"/>
        <v>2024-10</v>
      </c>
    </row>
    <row r="986" spans="1:15" x14ac:dyDescent="0.25">
      <c r="A986" s="9" t="s">
        <v>312</v>
      </c>
      <c r="B986" s="9" t="s">
        <v>313</v>
      </c>
      <c r="C986" s="25" t="s">
        <v>244</v>
      </c>
      <c r="D986" s="19">
        <v>54.4</v>
      </c>
      <c r="E986" s="19">
        <v>55.19</v>
      </c>
      <c r="F986" s="19">
        <v>54.11</v>
      </c>
      <c r="G986" s="19">
        <v>55.15</v>
      </c>
      <c r="H986" s="19">
        <v>55.15</v>
      </c>
      <c r="I986" s="15">
        <v>3081132</v>
      </c>
      <c r="J986" s="19">
        <f t="shared" si="77"/>
        <v>1.3786764705882353</v>
      </c>
      <c r="K986" s="19">
        <f t="shared" si="73"/>
        <v>53.481500000000004</v>
      </c>
      <c r="L986" s="19">
        <f t="shared" si="76"/>
        <v>55.271400000000021</v>
      </c>
      <c r="M986" s="19">
        <f>MAX(G788:G986)</f>
        <v>59.55</v>
      </c>
      <c r="N986" s="19">
        <f t="shared" si="74"/>
        <v>-7.3887489504617943</v>
      </c>
      <c r="O986" s="9" t="str">
        <f t="shared" si="75"/>
        <v>2024-10</v>
      </c>
    </row>
    <row r="987" spans="1:15" x14ac:dyDescent="0.25">
      <c r="A987" s="9" t="s">
        <v>312</v>
      </c>
      <c r="B987" s="9" t="s">
        <v>313</v>
      </c>
      <c r="C987" s="25" t="s">
        <v>245</v>
      </c>
      <c r="D987" s="19">
        <v>55.15</v>
      </c>
      <c r="E987" s="19">
        <v>55.23</v>
      </c>
      <c r="F987" s="19">
        <v>54.45</v>
      </c>
      <c r="G987" s="19">
        <v>54.65</v>
      </c>
      <c r="H987" s="19">
        <v>54.65</v>
      </c>
      <c r="I987" s="15">
        <v>5473413</v>
      </c>
      <c r="J987" s="19">
        <f t="shared" si="77"/>
        <v>-0.90661831368993651</v>
      </c>
      <c r="K987" s="19">
        <f t="shared" si="73"/>
        <v>53.545000000000002</v>
      </c>
      <c r="L987" s="19">
        <f t="shared" si="76"/>
        <v>55.240000000000016</v>
      </c>
      <c r="M987" s="19">
        <f>MAX(G788:G987)</f>
        <v>59.55</v>
      </c>
      <c r="N987" s="19">
        <f t="shared" si="74"/>
        <v>-8.2283795130142714</v>
      </c>
      <c r="O987" s="9" t="str">
        <f t="shared" si="75"/>
        <v>2024-10</v>
      </c>
    </row>
    <row r="988" spans="1:15" x14ac:dyDescent="0.25">
      <c r="A988" s="9" t="s">
        <v>312</v>
      </c>
      <c r="B988" s="9" t="s">
        <v>313</v>
      </c>
      <c r="C988" s="25" t="s">
        <v>246</v>
      </c>
      <c r="D988" s="19">
        <v>54.65</v>
      </c>
      <c r="E988" s="19">
        <v>54.88</v>
      </c>
      <c r="F988" s="19">
        <v>54.42</v>
      </c>
      <c r="G988" s="19">
        <v>54.53</v>
      </c>
      <c r="H988" s="19">
        <v>54.53</v>
      </c>
      <c r="I988" s="15">
        <v>5273650</v>
      </c>
      <c r="J988" s="19">
        <f t="shared" si="77"/>
        <v>-0.21957913998169706</v>
      </c>
      <c r="K988" s="19">
        <f t="shared" si="73"/>
        <v>53.58850000000001</v>
      </c>
      <c r="L988" s="19">
        <f t="shared" si="76"/>
        <v>55.194800000000022</v>
      </c>
      <c r="M988" s="19">
        <f>MAX(G788:G988)</f>
        <v>59.55</v>
      </c>
      <c r="N988" s="19">
        <f t="shared" si="74"/>
        <v>-8.4298908480268615</v>
      </c>
      <c r="O988" s="9" t="str">
        <f t="shared" si="75"/>
        <v>2024-10</v>
      </c>
    </row>
    <row r="989" spans="1:15" x14ac:dyDescent="0.25">
      <c r="A989" s="9" t="s">
        <v>312</v>
      </c>
      <c r="B989" s="9" t="s">
        <v>313</v>
      </c>
      <c r="C989" s="25" t="s">
        <v>247</v>
      </c>
      <c r="D989" s="19">
        <v>54.53</v>
      </c>
      <c r="E989" s="19">
        <v>54.55</v>
      </c>
      <c r="F989" s="19">
        <v>53.48</v>
      </c>
      <c r="G989" s="19">
        <v>53.49</v>
      </c>
      <c r="H989" s="19">
        <v>53.49</v>
      </c>
      <c r="I989" s="15">
        <v>4649996</v>
      </c>
      <c r="J989" s="19">
        <f t="shared" si="77"/>
        <v>-1.9072070419952303</v>
      </c>
      <c r="K989" s="19">
        <f t="shared" si="73"/>
        <v>53.574499999999986</v>
      </c>
      <c r="L989" s="19">
        <f t="shared" si="76"/>
        <v>55.127400000000016</v>
      </c>
      <c r="M989" s="19">
        <f>MAX(G788:G989)</f>
        <v>59.55</v>
      </c>
      <c r="N989" s="19">
        <f t="shared" si="74"/>
        <v>-10.176322418136012</v>
      </c>
      <c r="O989" s="9" t="str">
        <f t="shared" si="75"/>
        <v>2024-10</v>
      </c>
    </row>
    <row r="990" spans="1:15" x14ac:dyDescent="0.25">
      <c r="A990" s="9" t="s">
        <v>312</v>
      </c>
      <c r="B990" s="9" t="s">
        <v>313</v>
      </c>
      <c r="C990" s="25" t="s">
        <v>248</v>
      </c>
      <c r="D990" s="19">
        <v>53.49</v>
      </c>
      <c r="E990" s="19">
        <v>53.77</v>
      </c>
      <c r="F990" s="19">
        <v>52.52</v>
      </c>
      <c r="G990" s="19">
        <v>52.54</v>
      </c>
      <c r="H990" s="19">
        <v>52.54</v>
      </c>
      <c r="I990" s="15">
        <v>3435744</v>
      </c>
      <c r="J990" s="19">
        <f t="shared" si="77"/>
        <v>-1.7760329033464251</v>
      </c>
      <c r="K990" s="19">
        <f t="shared" si="73"/>
        <v>53.486499999999999</v>
      </c>
      <c r="L990" s="19">
        <f t="shared" si="76"/>
        <v>55.02920000000001</v>
      </c>
      <c r="M990" s="19">
        <f>MAX(G788:G990)</f>
        <v>59.55</v>
      </c>
      <c r="N990" s="19">
        <f t="shared" si="74"/>
        <v>-11.771620486985723</v>
      </c>
      <c r="O990" s="9" t="str">
        <f t="shared" si="75"/>
        <v>2024-10</v>
      </c>
    </row>
    <row r="991" spans="1:15" x14ac:dyDescent="0.25">
      <c r="A991" s="9" t="s">
        <v>312</v>
      </c>
      <c r="B991" s="9" t="s">
        <v>313</v>
      </c>
      <c r="C991" s="25" t="s">
        <v>249</v>
      </c>
      <c r="D991" s="19">
        <v>52.54</v>
      </c>
      <c r="E991" s="19">
        <v>52.91</v>
      </c>
      <c r="F991" s="19">
        <v>52.3</v>
      </c>
      <c r="G991" s="19">
        <v>52.61</v>
      </c>
      <c r="H991" s="19">
        <v>52.61</v>
      </c>
      <c r="I991" s="15">
        <v>5425063</v>
      </c>
      <c r="J991" s="19">
        <f t="shared" si="77"/>
        <v>0.13323182337266898</v>
      </c>
      <c r="K991" s="19">
        <f t="shared" si="73"/>
        <v>53.432500000000005</v>
      </c>
      <c r="L991" s="19">
        <f t="shared" si="76"/>
        <v>54.931200000000018</v>
      </c>
      <c r="M991" s="19">
        <f>MAX(G788:G991)</f>
        <v>59.55</v>
      </c>
      <c r="N991" s="19">
        <f t="shared" si="74"/>
        <v>-11.654072208228376</v>
      </c>
      <c r="O991" s="9" t="str">
        <f t="shared" si="75"/>
        <v>2024-10</v>
      </c>
    </row>
    <row r="992" spans="1:15" x14ac:dyDescent="0.25">
      <c r="A992" s="9" t="s">
        <v>312</v>
      </c>
      <c r="B992" s="9" t="s">
        <v>313</v>
      </c>
      <c r="C992" s="25" t="s">
        <v>250</v>
      </c>
      <c r="D992" s="19">
        <v>52.61</v>
      </c>
      <c r="E992" s="19">
        <v>53.17</v>
      </c>
      <c r="F992" s="19">
        <v>52.23</v>
      </c>
      <c r="G992" s="19">
        <v>53.16</v>
      </c>
      <c r="H992" s="19">
        <v>53.16</v>
      </c>
      <c r="I992" s="15">
        <v>3494559</v>
      </c>
      <c r="J992" s="19">
        <f t="shared" si="77"/>
        <v>1.0454286257365466</v>
      </c>
      <c r="K992" s="19">
        <f t="shared" si="73"/>
        <v>53.403000000000006</v>
      </c>
      <c r="L992" s="19">
        <f t="shared" si="76"/>
        <v>54.8322</v>
      </c>
      <c r="M992" s="19">
        <f>MAX(G788:G992)</f>
        <v>59.55</v>
      </c>
      <c r="N992" s="19">
        <f t="shared" si="74"/>
        <v>-10.730478589420658</v>
      </c>
      <c r="O992" s="9" t="str">
        <f t="shared" si="75"/>
        <v>2024-10</v>
      </c>
    </row>
    <row r="993" spans="1:15" x14ac:dyDescent="0.25">
      <c r="A993" s="9" t="s">
        <v>312</v>
      </c>
      <c r="B993" s="9" t="s">
        <v>313</v>
      </c>
      <c r="C993" s="25" t="s">
        <v>251</v>
      </c>
      <c r="D993" s="19">
        <v>53.16</v>
      </c>
      <c r="E993" s="19">
        <v>53.38</v>
      </c>
      <c r="F993" s="19">
        <v>52.72</v>
      </c>
      <c r="G993" s="19">
        <v>53.3</v>
      </c>
      <c r="H993" s="19">
        <v>53.3</v>
      </c>
      <c r="I993" s="15">
        <v>5613921</v>
      </c>
      <c r="J993" s="19">
        <f t="shared" si="77"/>
        <v>0.26335590669676556</v>
      </c>
      <c r="K993" s="19">
        <f t="shared" si="73"/>
        <v>53.363500000000002</v>
      </c>
      <c r="L993" s="19">
        <f t="shared" si="76"/>
        <v>54.727200000000003</v>
      </c>
      <c r="M993" s="19">
        <f>MAX(G788:G993)</f>
        <v>59.55</v>
      </c>
      <c r="N993" s="19">
        <f t="shared" si="74"/>
        <v>-10.495382031905962</v>
      </c>
      <c r="O993" s="9" t="str">
        <f t="shared" si="75"/>
        <v>2024-10</v>
      </c>
    </row>
    <row r="994" spans="1:15" x14ac:dyDescent="0.25">
      <c r="A994" s="9" t="s">
        <v>312</v>
      </c>
      <c r="B994" s="9" t="s">
        <v>313</v>
      </c>
      <c r="C994" s="25" t="s">
        <v>252</v>
      </c>
      <c r="D994" s="19">
        <v>53.3</v>
      </c>
      <c r="E994" s="19">
        <v>53.32</v>
      </c>
      <c r="F994" s="19">
        <v>52.55</v>
      </c>
      <c r="G994" s="19">
        <v>52.82</v>
      </c>
      <c r="H994" s="19">
        <v>52.82</v>
      </c>
      <c r="I994" s="15">
        <v>3670161</v>
      </c>
      <c r="J994" s="19">
        <f t="shared" si="77"/>
        <v>-0.90056285178235806</v>
      </c>
      <c r="K994" s="19">
        <f t="shared" si="73"/>
        <v>53.29849999999999</v>
      </c>
      <c r="L994" s="19">
        <f t="shared" si="76"/>
        <v>54.614400000000003</v>
      </c>
      <c r="M994" s="19">
        <f>MAX(G788:G994)</f>
        <v>59.55</v>
      </c>
      <c r="N994" s="19">
        <f t="shared" si="74"/>
        <v>-11.301427371956335</v>
      </c>
      <c r="O994" s="9" t="str">
        <f t="shared" si="75"/>
        <v>2024-10</v>
      </c>
    </row>
    <row r="995" spans="1:15" x14ac:dyDescent="0.25">
      <c r="A995" s="9" t="s">
        <v>312</v>
      </c>
      <c r="B995" s="9" t="s">
        <v>313</v>
      </c>
      <c r="C995" s="25" t="s">
        <v>253</v>
      </c>
      <c r="D995" s="19">
        <v>52.82</v>
      </c>
      <c r="E995" s="19">
        <v>52.94</v>
      </c>
      <c r="F995" s="19">
        <v>52.54</v>
      </c>
      <c r="G995" s="19">
        <v>52.56</v>
      </c>
      <c r="H995" s="19">
        <v>52.56</v>
      </c>
      <c r="I995" s="15">
        <v>5445191</v>
      </c>
      <c r="J995" s="19">
        <f t="shared" si="77"/>
        <v>-0.49223778871639157</v>
      </c>
      <c r="K995" s="19">
        <f t="shared" si="73"/>
        <v>53.209499999999991</v>
      </c>
      <c r="L995" s="19">
        <f t="shared" si="76"/>
        <v>54.494800000000005</v>
      </c>
      <c r="M995" s="19">
        <f>MAX(G788:G995)</f>
        <v>59.55</v>
      </c>
      <c r="N995" s="19">
        <f t="shared" si="74"/>
        <v>-11.738035264483619</v>
      </c>
      <c r="O995" s="9" t="str">
        <f t="shared" si="75"/>
        <v>2024-10</v>
      </c>
    </row>
    <row r="996" spans="1:15" x14ac:dyDescent="0.25">
      <c r="A996" s="9" t="s">
        <v>312</v>
      </c>
      <c r="B996" s="9" t="s">
        <v>313</v>
      </c>
      <c r="C996" s="25" t="s">
        <v>254</v>
      </c>
      <c r="D996" s="19">
        <v>52.56</v>
      </c>
      <c r="E996" s="19">
        <v>52.74</v>
      </c>
      <c r="F996" s="19">
        <v>52.06</v>
      </c>
      <c r="G996" s="19">
        <v>52.16</v>
      </c>
      <c r="H996" s="19">
        <v>52.16</v>
      </c>
      <c r="I996" s="15">
        <v>3883309</v>
      </c>
      <c r="J996" s="19">
        <f t="shared" si="77"/>
        <v>-0.76103500761036091</v>
      </c>
      <c r="K996" s="19">
        <f t="shared" si="73"/>
        <v>53.161000000000001</v>
      </c>
      <c r="L996" s="19">
        <f t="shared" si="76"/>
        <v>54.378399999999999</v>
      </c>
      <c r="M996" s="19">
        <f>MAX(G788:G996)</f>
        <v>59.55</v>
      </c>
      <c r="N996" s="19">
        <f t="shared" si="74"/>
        <v>-12.40973971452561</v>
      </c>
      <c r="O996" s="9" t="str">
        <f t="shared" si="75"/>
        <v>2024-10</v>
      </c>
    </row>
    <row r="997" spans="1:15" x14ac:dyDescent="0.25">
      <c r="A997" s="9" t="s">
        <v>312</v>
      </c>
      <c r="B997" s="9" t="s">
        <v>313</v>
      </c>
      <c r="C997" s="25" t="s">
        <v>255</v>
      </c>
      <c r="D997" s="19">
        <v>52.16</v>
      </c>
      <c r="E997" s="19">
        <v>52.33</v>
      </c>
      <c r="F997" s="19">
        <v>51.83</v>
      </c>
      <c r="G997" s="19">
        <v>52.11</v>
      </c>
      <c r="H997" s="19">
        <v>52.11</v>
      </c>
      <c r="I997" s="15">
        <v>3473788</v>
      </c>
      <c r="J997" s="19">
        <f t="shared" si="77"/>
        <v>-9.5858895705516034E-2</v>
      </c>
      <c r="K997" s="19">
        <f t="shared" si="73"/>
        <v>53.10799999999999</v>
      </c>
      <c r="L997" s="19">
        <f t="shared" si="76"/>
        <v>54.2684</v>
      </c>
      <c r="M997" s="19">
        <f>MAX(G788:G997)</f>
        <v>59.55</v>
      </c>
      <c r="N997" s="19">
        <f t="shared" si="74"/>
        <v>-12.493702770780853</v>
      </c>
      <c r="O997" s="9" t="str">
        <f t="shared" si="75"/>
        <v>2024-10</v>
      </c>
    </row>
    <row r="998" spans="1:15" x14ac:dyDescent="0.25">
      <c r="A998" s="9" t="s">
        <v>312</v>
      </c>
      <c r="B998" s="9" t="s">
        <v>313</v>
      </c>
      <c r="C998" s="25" t="s">
        <v>256</v>
      </c>
      <c r="D998" s="19">
        <v>52.11</v>
      </c>
      <c r="E998" s="19">
        <v>52.92</v>
      </c>
      <c r="F998" s="19">
        <v>51.95</v>
      </c>
      <c r="G998" s="19">
        <v>52.81</v>
      </c>
      <c r="H998" s="19">
        <v>52.81</v>
      </c>
      <c r="I998" s="15">
        <v>2930034</v>
      </c>
      <c r="J998" s="19">
        <f t="shared" si="77"/>
        <v>1.3433122241412452</v>
      </c>
      <c r="K998" s="19">
        <f t="shared" si="73"/>
        <v>53.111999999999988</v>
      </c>
      <c r="L998" s="19">
        <f t="shared" si="76"/>
        <v>54.181199999999997</v>
      </c>
      <c r="M998" s="19">
        <f>MAX(G788:G998)</f>
        <v>59.55</v>
      </c>
      <c r="N998" s="19">
        <f t="shared" si="74"/>
        <v>-11.318219983207381</v>
      </c>
      <c r="O998" s="9" t="str">
        <f t="shared" si="75"/>
        <v>2024-10</v>
      </c>
    </row>
    <row r="999" spans="1:15" x14ac:dyDescent="0.25">
      <c r="A999" s="9" t="s">
        <v>312</v>
      </c>
      <c r="B999" s="9" t="s">
        <v>313</v>
      </c>
      <c r="C999" s="25" t="s">
        <v>257</v>
      </c>
      <c r="D999" s="19">
        <v>52.81</v>
      </c>
      <c r="E999" s="19">
        <v>52.92</v>
      </c>
      <c r="F999" s="19">
        <v>52.46</v>
      </c>
      <c r="G999" s="19">
        <v>52.47</v>
      </c>
      <c r="H999" s="19">
        <v>52.47</v>
      </c>
      <c r="I999" s="15">
        <v>5469620</v>
      </c>
      <c r="J999" s="19">
        <f t="shared" si="77"/>
        <v>-0.64381745881462482</v>
      </c>
      <c r="K999" s="19">
        <f t="shared" ref="K999:K1062" si="78">AVERAGE(G980:G999)</f>
        <v>53.118499999999997</v>
      </c>
      <c r="L999" s="19">
        <f t="shared" si="76"/>
        <v>54.091999999999992</v>
      </c>
      <c r="M999" s="19">
        <f>MAX(G788:G999)</f>
        <v>59.55</v>
      </c>
      <c r="N999" s="19">
        <f t="shared" si="74"/>
        <v>-11.88916876574307</v>
      </c>
      <c r="O999" s="9" t="str">
        <f t="shared" si="75"/>
        <v>2024-10</v>
      </c>
    </row>
    <row r="1000" spans="1:15" x14ac:dyDescent="0.25">
      <c r="A1000" s="9" t="s">
        <v>312</v>
      </c>
      <c r="B1000" s="9" t="s">
        <v>313</v>
      </c>
      <c r="C1000" s="25" t="s">
        <v>258</v>
      </c>
      <c r="D1000" s="19">
        <v>52.47</v>
      </c>
      <c r="E1000" s="19">
        <v>52.53</v>
      </c>
      <c r="F1000" s="19">
        <v>51.46</v>
      </c>
      <c r="G1000" s="19">
        <v>51.59</v>
      </c>
      <c r="H1000" s="19">
        <v>51.59</v>
      </c>
      <c r="I1000" s="15">
        <v>5280273</v>
      </c>
      <c r="J1000" s="19">
        <f t="shared" si="77"/>
        <v>-1.6771488469601592</v>
      </c>
      <c r="K1000" s="19">
        <f t="shared" si="78"/>
        <v>53.059999999999988</v>
      </c>
      <c r="L1000" s="19">
        <f t="shared" si="76"/>
        <v>53.964199999999991</v>
      </c>
      <c r="M1000" s="19">
        <f>MAX(G788:G1000)</f>
        <v>59.55</v>
      </c>
      <c r="N1000" s="19">
        <f t="shared" si="74"/>
        <v>-13.366918555835422</v>
      </c>
      <c r="O1000" s="9" t="str">
        <f t="shared" si="75"/>
        <v>2024-10</v>
      </c>
    </row>
    <row r="1001" spans="1:15" x14ac:dyDescent="0.25">
      <c r="A1001" s="9" t="s">
        <v>312</v>
      </c>
      <c r="B1001" s="9" t="s">
        <v>313</v>
      </c>
      <c r="C1001" s="25" t="s">
        <v>259</v>
      </c>
      <c r="D1001" s="19">
        <v>51.59</v>
      </c>
      <c r="E1001" s="19">
        <v>52.31</v>
      </c>
      <c r="F1001" s="19">
        <v>51.41</v>
      </c>
      <c r="G1001" s="19">
        <v>52.27</v>
      </c>
      <c r="H1001" s="19">
        <v>52.27</v>
      </c>
      <c r="I1001" s="15">
        <v>3405975</v>
      </c>
      <c r="J1001" s="19">
        <f t="shared" si="77"/>
        <v>1.3180849001744517</v>
      </c>
      <c r="K1001" s="19">
        <f t="shared" si="78"/>
        <v>53.081500000000005</v>
      </c>
      <c r="L1001" s="19">
        <f t="shared" si="76"/>
        <v>53.860399999999991</v>
      </c>
      <c r="M1001" s="19">
        <f>MAX(G788:G1001)</f>
        <v>59.55</v>
      </c>
      <c r="N1001" s="19">
        <f t="shared" si="74"/>
        <v>-12.225020990764055</v>
      </c>
      <c r="O1001" s="9" t="str">
        <f t="shared" si="75"/>
        <v>2024-10</v>
      </c>
    </row>
    <row r="1002" spans="1:15" x14ac:dyDescent="0.25">
      <c r="A1002" s="9" t="s">
        <v>312</v>
      </c>
      <c r="B1002" s="9" t="s">
        <v>313</v>
      </c>
      <c r="C1002" s="25" t="s">
        <v>260</v>
      </c>
      <c r="D1002" s="19">
        <v>52.27</v>
      </c>
      <c r="E1002" s="19">
        <v>52.6</v>
      </c>
      <c r="F1002" s="19">
        <v>52.21</v>
      </c>
      <c r="G1002" s="19">
        <v>52.55</v>
      </c>
      <c r="H1002" s="19">
        <v>52.55</v>
      </c>
      <c r="I1002" s="15">
        <v>2467540</v>
      </c>
      <c r="J1002" s="19">
        <f t="shared" si="77"/>
        <v>0.53568012244115937</v>
      </c>
      <c r="K1002" s="19">
        <f t="shared" si="78"/>
        <v>53.090500000000006</v>
      </c>
      <c r="L1002" s="19">
        <f t="shared" si="76"/>
        <v>53.774999999999999</v>
      </c>
      <c r="M1002" s="19">
        <f>MAX(G788:G1002)</f>
        <v>59.55</v>
      </c>
      <c r="N1002" s="19">
        <f t="shared" si="74"/>
        <v>-11.754827875734678</v>
      </c>
      <c r="O1002" s="9" t="str">
        <f t="shared" si="75"/>
        <v>2024-10</v>
      </c>
    </row>
    <row r="1003" spans="1:15" x14ac:dyDescent="0.25">
      <c r="A1003" s="9" t="s">
        <v>312</v>
      </c>
      <c r="B1003" s="9" t="s">
        <v>313</v>
      </c>
      <c r="C1003" s="25" t="s">
        <v>261</v>
      </c>
      <c r="D1003" s="19">
        <v>52.55</v>
      </c>
      <c r="E1003" s="19">
        <v>52.75</v>
      </c>
      <c r="F1003" s="19">
        <v>52.14</v>
      </c>
      <c r="G1003" s="19">
        <v>52.28</v>
      </c>
      <c r="H1003" s="19">
        <v>52.28</v>
      </c>
      <c r="I1003" s="15">
        <v>6707826</v>
      </c>
      <c r="J1003" s="19">
        <f t="shared" si="77"/>
        <v>-0.51379638439580599</v>
      </c>
      <c r="K1003" s="19">
        <f t="shared" si="78"/>
        <v>53.0505</v>
      </c>
      <c r="L1003" s="19">
        <f t="shared" si="76"/>
        <v>53.676400000000001</v>
      </c>
      <c r="M1003" s="19">
        <f>MAX(G788:G1003)</f>
        <v>59.55</v>
      </c>
      <c r="N1003" s="19">
        <f t="shared" si="74"/>
        <v>-12.20822837951301</v>
      </c>
      <c r="O1003" s="9" t="str">
        <f t="shared" si="75"/>
        <v>2024-10</v>
      </c>
    </row>
    <row r="1004" spans="1:15" x14ac:dyDescent="0.25">
      <c r="A1004" s="9" t="s">
        <v>312</v>
      </c>
      <c r="B1004" s="9" t="s">
        <v>313</v>
      </c>
      <c r="C1004" s="25" t="s">
        <v>262</v>
      </c>
      <c r="D1004" s="19">
        <v>52.28</v>
      </c>
      <c r="E1004" s="19">
        <v>52.72</v>
      </c>
      <c r="F1004" s="19">
        <v>51.5</v>
      </c>
      <c r="G1004" s="19">
        <v>52.04</v>
      </c>
      <c r="H1004" s="19">
        <v>52.04</v>
      </c>
      <c r="I1004" s="15">
        <v>3313995</v>
      </c>
      <c r="J1004" s="19">
        <f t="shared" si="77"/>
        <v>-0.45906656465187828</v>
      </c>
      <c r="K1004" s="19">
        <f t="shared" si="78"/>
        <v>52.974499999999999</v>
      </c>
      <c r="L1004" s="19">
        <f t="shared" si="76"/>
        <v>53.577200000000005</v>
      </c>
      <c r="M1004" s="19">
        <f>MAX(G788:G1004)</f>
        <v>59.55</v>
      </c>
      <c r="N1004" s="19">
        <f t="shared" si="74"/>
        <v>-12.6112510495382</v>
      </c>
      <c r="O1004" s="9" t="str">
        <f t="shared" si="75"/>
        <v>2024-10</v>
      </c>
    </row>
    <row r="1005" spans="1:15" x14ac:dyDescent="0.25">
      <c r="A1005" s="9" t="s">
        <v>312</v>
      </c>
      <c r="B1005" s="9" t="s">
        <v>313</v>
      </c>
      <c r="C1005" s="25" t="s">
        <v>263</v>
      </c>
      <c r="D1005" s="19">
        <v>52.04</v>
      </c>
      <c r="E1005" s="19">
        <v>52.18</v>
      </c>
      <c r="F1005" s="19">
        <v>51.43</v>
      </c>
      <c r="G1005" s="19">
        <v>51.77</v>
      </c>
      <c r="H1005" s="19">
        <v>51.77</v>
      </c>
      <c r="I1005" s="15">
        <v>6119340</v>
      </c>
      <c r="J1005" s="19">
        <f t="shared" si="77"/>
        <v>-0.51883166794772484</v>
      </c>
      <c r="K1005" s="19">
        <f t="shared" si="78"/>
        <v>52.842999999999996</v>
      </c>
      <c r="L1005" s="19">
        <f t="shared" si="76"/>
        <v>53.470600000000005</v>
      </c>
      <c r="M1005" s="19">
        <f>MAX(G788:G1005)</f>
        <v>59.55</v>
      </c>
      <c r="N1005" s="19">
        <f t="shared" si="74"/>
        <v>-13.06465155331653</v>
      </c>
      <c r="O1005" s="9" t="str">
        <f t="shared" si="75"/>
        <v>2024-10</v>
      </c>
    </row>
    <row r="1006" spans="1:15" x14ac:dyDescent="0.25">
      <c r="A1006" s="9" t="s">
        <v>312</v>
      </c>
      <c r="B1006" s="9" t="s">
        <v>313</v>
      </c>
      <c r="C1006" s="25" t="s">
        <v>264</v>
      </c>
      <c r="D1006" s="19">
        <v>51.77</v>
      </c>
      <c r="E1006" s="19">
        <v>52.33</v>
      </c>
      <c r="F1006" s="19">
        <v>51.75</v>
      </c>
      <c r="G1006" s="19">
        <v>52.27</v>
      </c>
      <c r="H1006" s="19">
        <v>52.27</v>
      </c>
      <c r="I1006" s="15">
        <v>3949087</v>
      </c>
      <c r="J1006" s="19">
        <f t="shared" si="77"/>
        <v>0.96581031485416269</v>
      </c>
      <c r="K1006" s="19">
        <f t="shared" si="78"/>
        <v>52.698999999999998</v>
      </c>
      <c r="L1006" s="19">
        <f t="shared" si="76"/>
        <v>53.375799999999998</v>
      </c>
      <c r="M1006" s="19">
        <f>MAX(G788:G1006)</f>
        <v>59.55</v>
      </c>
      <c r="N1006" s="19">
        <f t="shared" si="74"/>
        <v>-12.225020990764055</v>
      </c>
      <c r="O1006" s="9" t="str">
        <f t="shared" si="75"/>
        <v>2024-10</v>
      </c>
    </row>
    <row r="1007" spans="1:15" x14ac:dyDescent="0.25">
      <c r="A1007" s="9" t="s">
        <v>312</v>
      </c>
      <c r="B1007" s="9" t="s">
        <v>313</v>
      </c>
      <c r="C1007" s="25" t="s">
        <v>265</v>
      </c>
      <c r="D1007" s="19">
        <v>52.27</v>
      </c>
      <c r="E1007" s="19">
        <v>52.49</v>
      </c>
      <c r="F1007" s="19">
        <v>51.99</v>
      </c>
      <c r="G1007" s="19">
        <v>52.06</v>
      </c>
      <c r="H1007" s="19">
        <v>52.06</v>
      </c>
      <c r="I1007" s="15">
        <v>2005073</v>
      </c>
      <c r="J1007" s="19">
        <f t="shared" si="77"/>
        <v>-0.40176009183087974</v>
      </c>
      <c r="K1007" s="19">
        <f t="shared" si="78"/>
        <v>52.569500000000005</v>
      </c>
      <c r="L1007" s="19">
        <f t="shared" si="76"/>
        <v>53.293399999999998</v>
      </c>
      <c r="M1007" s="19">
        <f>MAX(G788:G1007)</f>
        <v>59.55</v>
      </c>
      <c r="N1007" s="19">
        <f t="shared" si="74"/>
        <v>-12.577665827036096</v>
      </c>
      <c r="O1007" s="9" t="str">
        <f t="shared" si="75"/>
        <v>2024-11</v>
      </c>
    </row>
    <row r="1008" spans="1:15" x14ac:dyDescent="0.25">
      <c r="A1008" s="9" t="s">
        <v>312</v>
      </c>
      <c r="B1008" s="9" t="s">
        <v>313</v>
      </c>
      <c r="C1008" s="25" t="s">
        <v>266</v>
      </c>
      <c r="D1008" s="19">
        <v>52.06</v>
      </c>
      <c r="E1008" s="19">
        <v>52.3</v>
      </c>
      <c r="F1008" s="19">
        <v>51.7</v>
      </c>
      <c r="G1008" s="19">
        <v>51.92</v>
      </c>
      <c r="H1008" s="19">
        <v>51.92</v>
      </c>
      <c r="I1008" s="15">
        <v>5963735</v>
      </c>
      <c r="J1008" s="19">
        <f t="shared" si="77"/>
        <v>-0.26892047637341637</v>
      </c>
      <c r="K1008" s="19">
        <f t="shared" si="78"/>
        <v>52.439</v>
      </c>
      <c r="L1008" s="19">
        <f t="shared" si="76"/>
        <v>53.206400000000002</v>
      </c>
      <c r="M1008" s="19">
        <f>MAX(G788:G1008)</f>
        <v>59.55</v>
      </c>
      <c r="N1008" s="19">
        <f t="shared" si="74"/>
        <v>-12.812762384550791</v>
      </c>
      <c r="O1008" s="9" t="str">
        <f t="shared" si="75"/>
        <v>2024-11</v>
      </c>
    </row>
    <row r="1009" spans="1:15" x14ac:dyDescent="0.25">
      <c r="A1009" s="9" t="s">
        <v>312</v>
      </c>
      <c r="B1009" s="9" t="s">
        <v>313</v>
      </c>
      <c r="C1009" s="25" t="s">
        <v>267</v>
      </c>
      <c r="D1009" s="19">
        <v>51.92</v>
      </c>
      <c r="E1009" s="19">
        <v>52.2</v>
      </c>
      <c r="F1009" s="19">
        <v>51.69</v>
      </c>
      <c r="G1009" s="19">
        <v>52.14</v>
      </c>
      <c r="H1009" s="19">
        <v>52.14</v>
      </c>
      <c r="I1009" s="15">
        <v>3497687</v>
      </c>
      <c r="J1009" s="19">
        <f t="shared" si="77"/>
        <v>0.42372881355931985</v>
      </c>
      <c r="K1009" s="19">
        <f t="shared" si="78"/>
        <v>52.37149999999999</v>
      </c>
      <c r="L1009" s="19">
        <f t="shared" si="76"/>
        <v>53.140599999999992</v>
      </c>
      <c r="M1009" s="19">
        <f>MAX(G788:G1009)</f>
        <v>59.55</v>
      </c>
      <c r="N1009" s="19">
        <f t="shared" si="74"/>
        <v>-12.443324937027702</v>
      </c>
      <c r="O1009" s="9" t="str">
        <f t="shared" si="75"/>
        <v>2024-11</v>
      </c>
    </row>
    <row r="1010" spans="1:15" x14ac:dyDescent="0.25">
      <c r="A1010" s="9" t="s">
        <v>312</v>
      </c>
      <c r="B1010" s="9" t="s">
        <v>313</v>
      </c>
      <c r="C1010" s="25" t="s">
        <v>268</v>
      </c>
      <c r="D1010" s="19">
        <v>52.14</v>
      </c>
      <c r="E1010" s="19">
        <v>52.23</v>
      </c>
      <c r="F1010" s="19">
        <v>51.59</v>
      </c>
      <c r="G1010" s="19">
        <v>51.83</v>
      </c>
      <c r="H1010" s="19">
        <v>51.83</v>
      </c>
      <c r="I1010" s="15">
        <v>3644017</v>
      </c>
      <c r="J1010" s="19">
        <f t="shared" si="77"/>
        <v>-0.59455312619870015</v>
      </c>
      <c r="K1010" s="19">
        <f t="shared" si="78"/>
        <v>52.335999999999991</v>
      </c>
      <c r="L1010" s="19">
        <f t="shared" si="76"/>
        <v>53.092999999999989</v>
      </c>
      <c r="M1010" s="19">
        <f>MAX(G788:G1010)</f>
        <v>59.55</v>
      </c>
      <c r="N1010" s="19">
        <f t="shared" si="74"/>
        <v>-12.963895885810242</v>
      </c>
      <c r="O1010" s="9" t="str">
        <f t="shared" si="75"/>
        <v>2024-11</v>
      </c>
    </row>
    <row r="1011" spans="1:15" x14ac:dyDescent="0.25">
      <c r="A1011" s="9" t="s">
        <v>312</v>
      </c>
      <c r="B1011" s="9" t="s">
        <v>313</v>
      </c>
      <c r="C1011" s="25" t="s">
        <v>269</v>
      </c>
      <c r="D1011" s="19">
        <v>51.83</v>
      </c>
      <c r="E1011" s="19">
        <v>52.59</v>
      </c>
      <c r="F1011" s="19">
        <v>51.75</v>
      </c>
      <c r="G1011" s="19">
        <v>52.37</v>
      </c>
      <c r="H1011" s="19">
        <v>52.37</v>
      </c>
      <c r="I1011" s="15">
        <v>5856154</v>
      </c>
      <c r="J1011" s="19">
        <f t="shared" si="77"/>
        <v>1.0418676442214918</v>
      </c>
      <c r="K1011" s="19">
        <f t="shared" si="78"/>
        <v>52.323999999999991</v>
      </c>
      <c r="L1011" s="19">
        <f t="shared" si="76"/>
        <v>53.049199999999999</v>
      </c>
      <c r="M1011" s="19">
        <f>MAX(G788:G1011)</f>
        <v>59.55</v>
      </c>
      <c r="N1011" s="19">
        <f t="shared" si="74"/>
        <v>-12.057094878253569</v>
      </c>
      <c r="O1011" s="9" t="str">
        <f t="shared" si="75"/>
        <v>2024-11</v>
      </c>
    </row>
    <row r="1012" spans="1:15" x14ac:dyDescent="0.25">
      <c r="A1012" s="9" t="s">
        <v>312</v>
      </c>
      <c r="B1012" s="9" t="s">
        <v>313</v>
      </c>
      <c r="C1012" s="25" t="s">
        <v>270</v>
      </c>
      <c r="D1012" s="19">
        <v>52.37</v>
      </c>
      <c r="E1012" s="19">
        <v>52.71</v>
      </c>
      <c r="F1012" s="19">
        <v>51.68</v>
      </c>
      <c r="G1012" s="19">
        <v>52.01</v>
      </c>
      <c r="H1012" s="19">
        <v>52.01</v>
      </c>
      <c r="I1012" s="15">
        <v>4545897</v>
      </c>
      <c r="J1012" s="19">
        <f t="shared" si="77"/>
        <v>-0.68741645980523092</v>
      </c>
      <c r="K1012" s="19">
        <f t="shared" si="78"/>
        <v>52.266499999999994</v>
      </c>
      <c r="L1012" s="19">
        <f t="shared" si="76"/>
        <v>53.015000000000001</v>
      </c>
      <c r="M1012" s="19">
        <f>MAX(G788:G1012)</f>
        <v>59.55</v>
      </c>
      <c r="N1012" s="19">
        <f t="shared" si="74"/>
        <v>-12.661628883291351</v>
      </c>
      <c r="O1012" s="9" t="str">
        <f t="shared" si="75"/>
        <v>2024-11</v>
      </c>
    </row>
    <row r="1013" spans="1:15" x14ac:dyDescent="0.25">
      <c r="A1013" s="9" t="s">
        <v>312</v>
      </c>
      <c r="B1013" s="9" t="s">
        <v>313</v>
      </c>
      <c r="C1013" s="25" t="s">
        <v>271</v>
      </c>
      <c r="D1013" s="19">
        <v>52.01</v>
      </c>
      <c r="E1013" s="19">
        <v>52.12</v>
      </c>
      <c r="F1013" s="19">
        <v>51.48</v>
      </c>
      <c r="G1013" s="19">
        <v>51.59</v>
      </c>
      <c r="H1013" s="19">
        <v>51.59</v>
      </c>
      <c r="I1013" s="15">
        <v>4789107</v>
      </c>
      <c r="J1013" s="19">
        <f t="shared" si="77"/>
        <v>-0.80753701211304474</v>
      </c>
      <c r="K1013" s="19">
        <f t="shared" si="78"/>
        <v>52.180999999999997</v>
      </c>
      <c r="L1013" s="19">
        <f t="shared" si="76"/>
        <v>52.971400000000003</v>
      </c>
      <c r="M1013" s="19">
        <f>MAX(G788:G1013)</f>
        <v>59.55</v>
      </c>
      <c r="N1013" s="19">
        <f t="shared" si="74"/>
        <v>-13.366918555835422</v>
      </c>
      <c r="O1013" s="9" t="str">
        <f t="shared" si="75"/>
        <v>2024-11</v>
      </c>
    </row>
    <row r="1014" spans="1:15" x14ac:dyDescent="0.25">
      <c r="A1014" s="9" t="s">
        <v>312</v>
      </c>
      <c r="B1014" s="9" t="s">
        <v>313</v>
      </c>
      <c r="C1014" s="25" t="s">
        <v>272</v>
      </c>
      <c r="D1014" s="19">
        <v>51.59</v>
      </c>
      <c r="E1014" s="19">
        <v>51.99</v>
      </c>
      <c r="F1014" s="19">
        <v>51.42</v>
      </c>
      <c r="G1014" s="19">
        <v>51.65</v>
      </c>
      <c r="H1014" s="19">
        <v>51.65</v>
      </c>
      <c r="I1014" s="15">
        <v>4197282</v>
      </c>
      <c r="J1014" s="19">
        <f t="shared" si="77"/>
        <v>0.1163016088389129</v>
      </c>
      <c r="K1014" s="19">
        <f t="shared" si="78"/>
        <v>52.122500000000002</v>
      </c>
      <c r="L1014" s="19">
        <f t="shared" si="76"/>
        <v>52.930799999999998</v>
      </c>
      <c r="M1014" s="19">
        <f>MAX(G788:G1014)</f>
        <v>59.55</v>
      </c>
      <c r="N1014" s="19">
        <f t="shared" si="74"/>
        <v>-13.266162888329132</v>
      </c>
      <c r="O1014" s="9" t="str">
        <f t="shared" si="75"/>
        <v>2024-11</v>
      </c>
    </row>
    <row r="1015" spans="1:15" x14ac:dyDescent="0.25">
      <c r="A1015" s="9" t="s">
        <v>312</v>
      </c>
      <c r="B1015" s="9" t="s">
        <v>313</v>
      </c>
      <c r="C1015" s="25" t="s">
        <v>273</v>
      </c>
      <c r="D1015" s="19">
        <v>51.65</v>
      </c>
      <c r="E1015" s="19">
        <v>52.47</v>
      </c>
      <c r="F1015" s="19">
        <v>51.42</v>
      </c>
      <c r="G1015" s="19">
        <v>51.84</v>
      </c>
      <c r="H1015" s="19">
        <v>51.84</v>
      </c>
      <c r="I1015" s="15">
        <v>4168512</v>
      </c>
      <c r="J1015" s="19">
        <f t="shared" si="77"/>
        <v>0.36786060019362021</v>
      </c>
      <c r="K1015" s="19">
        <f t="shared" si="78"/>
        <v>52.086500000000001</v>
      </c>
      <c r="L1015" s="19">
        <f t="shared" si="76"/>
        <v>52.896800000000006</v>
      </c>
      <c r="M1015" s="19">
        <f>MAX(G788:G1015)</f>
        <v>59.55</v>
      </c>
      <c r="N1015" s="19">
        <f t="shared" si="74"/>
        <v>-12.947103274559185</v>
      </c>
      <c r="O1015" s="9" t="str">
        <f t="shared" si="75"/>
        <v>2024-11</v>
      </c>
    </row>
    <row r="1016" spans="1:15" x14ac:dyDescent="0.25">
      <c r="A1016" s="9" t="s">
        <v>312</v>
      </c>
      <c r="B1016" s="9" t="s">
        <v>313</v>
      </c>
      <c r="C1016" s="25" t="s">
        <v>274</v>
      </c>
      <c r="D1016" s="19">
        <v>51.84</v>
      </c>
      <c r="E1016" s="19">
        <v>52.2</v>
      </c>
      <c r="F1016" s="19">
        <v>51.8</v>
      </c>
      <c r="G1016" s="19">
        <v>52.03</v>
      </c>
      <c r="H1016" s="19">
        <v>52.03</v>
      </c>
      <c r="I1016" s="15">
        <v>3627369</v>
      </c>
      <c r="J1016" s="19">
        <f t="shared" si="77"/>
        <v>0.36651234567900792</v>
      </c>
      <c r="K1016" s="19">
        <f t="shared" si="78"/>
        <v>52.080000000000005</v>
      </c>
      <c r="L1016" s="19">
        <f t="shared" si="76"/>
        <v>52.861000000000004</v>
      </c>
      <c r="M1016" s="19">
        <f>MAX(G788:G1016)</f>
        <v>59.55</v>
      </c>
      <c r="N1016" s="19">
        <f t="shared" si="74"/>
        <v>-12.628043660789245</v>
      </c>
      <c r="O1016" s="9" t="str">
        <f t="shared" si="75"/>
        <v>2024-11</v>
      </c>
    </row>
    <row r="1017" spans="1:15" x14ac:dyDescent="0.25">
      <c r="A1017" s="9" t="s">
        <v>312</v>
      </c>
      <c r="B1017" s="9" t="s">
        <v>313</v>
      </c>
      <c r="C1017" s="25" t="s">
        <v>275</v>
      </c>
      <c r="D1017" s="19">
        <v>52.03</v>
      </c>
      <c r="E1017" s="19">
        <v>52.23</v>
      </c>
      <c r="F1017" s="19">
        <v>51.9</v>
      </c>
      <c r="G1017" s="19">
        <v>51.92</v>
      </c>
      <c r="H1017" s="19">
        <v>51.92</v>
      </c>
      <c r="I1017" s="15">
        <v>5365434</v>
      </c>
      <c r="J1017" s="19">
        <f t="shared" si="77"/>
        <v>-0.2114164904862568</v>
      </c>
      <c r="K1017" s="19">
        <f t="shared" si="78"/>
        <v>52.070500000000003</v>
      </c>
      <c r="L1017" s="19">
        <f t="shared" si="76"/>
        <v>52.831800000000001</v>
      </c>
      <c r="M1017" s="19">
        <f>MAX(G788:G1017)</f>
        <v>59.55</v>
      </c>
      <c r="N1017" s="19">
        <f t="shared" si="74"/>
        <v>-12.812762384550791</v>
      </c>
      <c r="O1017" s="9" t="str">
        <f t="shared" si="75"/>
        <v>2024-11</v>
      </c>
    </row>
    <row r="1018" spans="1:15" x14ac:dyDescent="0.25">
      <c r="A1018" s="9" t="s">
        <v>312</v>
      </c>
      <c r="B1018" s="9" t="s">
        <v>313</v>
      </c>
      <c r="C1018" s="25" t="s">
        <v>276</v>
      </c>
      <c r="D1018" s="19">
        <v>51.92</v>
      </c>
      <c r="E1018" s="19">
        <v>52</v>
      </c>
      <c r="F1018" s="19">
        <v>51.8</v>
      </c>
      <c r="G1018" s="19">
        <v>51.98</v>
      </c>
      <c r="H1018" s="19">
        <v>51.98</v>
      </c>
      <c r="I1018" s="15">
        <v>4252485</v>
      </c>
      <c r="J1018" s="19">
        <f t="shared" si="77"/>
        <v>0.11556240369798761</v>
      </c>
      <c r="K1018" s="19">
        <f t="shared" si="78"/>
        <v>52.028999999999996</v>
      </c>
      <c r="L1018" s="19">
        <f t="shared" si="76"/>
        <v>52.798200000000008</v>
      </c>
      <c r="M1018" s="19">
        <f>MAX(G788:G1018)</f>
        <v>59.55</v>
      </c>
      <c r="N1018" s="19">
        <f t="shared" si="74"/>
        <v>-12.712006717044503</v>
      </c>
      <c r="O1018" s="9" t="str">
        <f t="shared" si="75"/>
        <v>2024-11</v>
      </c>
    </row>
    <row r="1019" spans="1:15" x14ac:dyDescent="0.25">
      <c r="A1019" s="9" t="s">
        <v>312</v>
      </c>
      <c r="B1019" s="9" t="s">
        <v>313</v>
      </c>
      <c r="C1019" s="25" t="s">
        <v>277</v>
      </c>
      <c r="D1019" s="19">
        <v>51.98</v>
      </c>
      <c r="E1019" s="19">
        <v>52.23</v>
      </c>
      <c r="F1019" s="19">
        <v>51.91</v>
      </c>
      <c r="G1019" s="19">
        <v>51.93</v>
      </c>
      <c r="H1019" s="19">
        <v>51.93</v>
      </c>
      <c r="I1019" s="15">
        <v>6250204</v>
      </c>
      <c r="J1019" s="19">
        <f t="shared" si="77"/>
        <v>-9.6190842631775991E-2</v>
      </c>
      <c r="K1019" s="19">
        <f t="shared" si="78"/>
        <v>52.001999999999995</v>
      </c>
      <c r="L1019" s="19">
        <f t="shared" si="76"/>
        <v>52.761399999999995</v>
      </c>
      <c r="M1019" s="19">
        <f>MAX(G788:G1019)</f>
        <v>59.55</v>
      </c>
      <c r="N1019" s="19">
        <f t="shared" si="74"/>
        <v>-12.795969773299745</v>
      </c>
      <c r="O1019" s="9" t="str">
        <f t="shared" si="75"/>
        <v>2024-11</v>
      </c>
    </row>
    <row r="1020" spans="1:15" x14ac:dyDescent="0.25">
      <c r="A1020" s="9" t="s">
        <v>312</v>
      </c>
      <c r="B1020" s="9" t="s">
        <v>313</v>
      </c>
      <c r="C1020" s="25" t="s">
        <v>278</v>
      </c>
      <c r="D1020" s="19">
        <v>51.93</v>
      </c>
      <c r="E1020" s="19">
        <v>51.97</v>
      </c>
      <c r="F1020" s="19">
        <v>51.41</v>
      </c>
      <c r="G1020" s="19">
        <v>51.57</v>
      </c>
      <c r="H1020" s="19">
        <v>51.57</v>
      </c>
      <c r="I1020" s="15">
        <v>2340665</v>
      </c>
      <c r="J1020" s="19">
        <f t="shared" si="77"/>
        <v>-0.6932409012131705</v>
      </c>
      <c r="K1020" s="19">
        <f t="shared" si="78"/>
        <v>52.000999999999998</v>
      </c>
      <c r="L1020" s="19">
        <f t="shared" si="76"/>
        <v>52.706800000000001</v>
      </c>
      <c r="M1020" s="19">
        <f>MAX(G788:G1020)</f>
        <v>59.55</v>
      </c>
      <c r="N1020" s="19">
        <f t="shared" si="74"/>
        <v>-13.400503778337528</v>
      </c>
      <c r="O1020" s="9" t="str">
        <f t="shared" si="75"/>
        <v>2024-11</v>
      </c>
    </row>
    <row r="1021" spans="1:15" x14ac:dyDescent="0.25">
      <c r="A1021" s="9" t="s">
        <v>312</v>
      </c>
      <c r="B1021" s="9" t="s">
        <v>313</v>
      </c>
      <c r="C1021" s="25" t="s">
        <v>279</v>
      </c>
      <c r="D1021" s="19">
        <v>51.57</v>
      </c>
      <c r="E1021" s="19">
        <v>51.58</v>
      </c>
      <c r="F1021" s="19">
        <v>51.16</v>
      </c>
      <c r="G1021" s="19">
        <v>51.22</v>
      </c>
      <c r="H1021" s="19">
        <v>51.22</v>
      </c>
      <c r="I1021" s="15">
        <v>4619073</v>
      </c>
      <c r="J1021" s="19">
        <f t="shared" si="77"/>
        <v>-0.67868916036455573</v>
      </c>
      <c r="K1021" s="19">
        <f t="shared" si="78"/>
        <v>51.948500000000003</v>
      </c>
      <c r="L1021" s="19">
        <f t="shared" si="76"/>
        <v>52.65740000000001</v>
      </c>
      <c r="M1021" s="19">
        <f>MAX(G788:G1021)</f>
        <v>59.55</v>
      </c>
      <c r="N1021" s="19">
        <f t="shared" si="74"/>
        <v>-13.988245172124264</v>
      </c>
      <c r="O1021" s="9" t="str">
        <f t="shared" si="75"/>
        <v>2024-11</v>
      </c>
    </row>
    <row r="1022" spans="1:15" x14ac:dyDescent="0.25">
      <c r="A1022" s="9" t="s">
        <v>312</v>
      </c>
      <c r="B1022" s="9" t="s">
        <v>313</v>
      </c>
      <c r="C1022" s="25" t="s">
        <v>280</v>
      </c>
      <c r="D1022" s="19">
        <v>51.22</v>
      </c>
      <c r="E1022" s="19">
        <v>51.3</v>
      </c>
      <c r="F1022" s="19">
        <v>50.23</v>
      </c>
      <c r="G1022" s="19">
        <v>50.35</v>
      </c>
      <c r="H1022" s="19">
        <v>50.35</v>
      </c>
      <c r="I1022" s="15">
        <v>4594941</v>
      </c>
      <c r="J1022" s="19">
        <f t="shared" si="77"/>
        <v>-1.6985552518547393</v>
      </c>
      <c r="K1022" s="19">
        <f t="shared" si="78"/>
        <v>51.838499999999996</v>
      </c>
      <c r="L1022" s="19">
        <f t="shared" si="76"/>
        <v>52.589400000000005</v>
      </c>
      <c r="M1022" s="19">
        <f>MAX(G788:G1022)</f>
        <v>59.55</v>
      </c>
      <c r="N1022" s="19">
        <f t="shared" si="74"/>
        <v>-15.449202350965569</v>
      </c>
      <c r="O1022" s="9" t="str">
        <f t="shared" si="75"/>
        <v>2024-11</v>
      </c>
    </row>
    <row r="1023" spans="1:15" x14ac:dyDescent="0.25">
      <c r="A1023" s="9" t="s">
        <v>312</v>
      </c>
      <c r="B1023" s="9" t="s">
        <v>313</v>
      </c>
      <c r="C1023" s="25" t="s">
        <v>281</v>
      </c>
      <c r="D1023" s="19">
        <v>50.35</v>
      </c>
      <c r="E1023" s="19">
        <v>50.87</v>
      </c>
      <c r="F1023" s="19">
        <v>50.12</v>
      </c>
      <c r="G1023" s="19">
        <v>50.71</v>
      </c>
      <c r="H1023" s="19">
        <v>50.71</v>
      </c>
      <c r="I1023" s="15">
        <v>6623851</v>
      </c>
      <c r="J1023" s="19">
        <f t="shared" si="77"/>
        <v>0.7149950347567019</v>
      </c>
      <c r="K1023" s="19">
        <f t="shared" si="78"/>
        <v>51.760000000000005</v>
      </c>
      <c r="L1023" s="19">
        <f t="shared" si="76"/>
        <v>52.521800000000006</v>
      </c>
      <c r="M1023" s="19">
        <f>MAX(G788:G1023)</f>
        <v>59.55</v>
      </c>
      <c r="N1023" s="19">
        <f t="shared" si="74"/>
        <v>-14.844668345927786</v>
      </c>
      <c r="O1023" s="9" t="str">
        <f t="shared" si="75"/>
        <v>2024-11</v>
      </c>
    </row>
    <row r="1024" spans="1:15" x14ac:dyDescent="0.25">
      <c r="A1024" s="9" t="s">
        <v>312</v>
      </c>
      <c r="B1024" s="9" t="s">
        <v>313</v>
      </c>
      <c r="C1024" s="25" t="s">
        <v>282</v>
      </c>
      <c r="D1024" s="19">
        <v>50.71</v>
      </c>
      <c r="E1024" s="19">
        <v>50.81</v>
      </c>
      <c r="F1024" s="19">
        <v>49.95</v>
      </c>
      <c r="G1024" s="19">
        <v>50.01</v>
      </c>
      <c r="H1024" s="19">
        <v>50.01</v>
      </c>
      <c r="I1024" s="15">
        <v>3445494</v>
      </c>
      <c r="J1024" s="19">
        <f t="shared" si="77"/>
        <v>-1.3803983435219933</v>
      </c>
      <c r="K1024" s="19">
        <f t="shared" si="78"/>
        <v>51.658500000000004</v>
      </c>
      <c r="L1024" s="19">
        <f t="shared" si="76"/>
        <v>52.439599999999999</v>
      </c>
      <c r="M1024" s="19">
        <f>MAX(G788:G1024)</f>
        <v>59.55</v>
      </c>
      <c r="N1024" s="19">
        <f t="shared" si="74"/>
        <v>-16.020151133501258</v>
      </c>
      <c r="O1024" s="9" t="str">
        <f t="shared" si="75"/>
        <v>2024-11</v>
      </c>
    </row>
    <row r="1025" spans="1:15" x14ac:dyDescent="0.25">
      <c r="A1025" s="9" t="s">
        <v>312</v>
      </c>
      <c r="B1025" s="9" t="s">
        <v>313</v>
      </c>
      <c r="C1025" s="25" t="s">
        <v>283</v>
      </c>
      <c r="D1025" s="19">
        <v>50.01</v>
      </c>
      <c r="E1025" s="19">
        <v>50.64</v>
      </c>
      <c r="F1025" s="19">
        <v>49.77</v>
      </c>
      <c r="G1025" s="19">
        <v>50.44</v>
      </c>
      <c r="H1025" s="19">
        <v>50.44</v>
      </c>
      <c r="I1025" s="15">
        <v>4772864</v>
      </c>
      <c r="J1025" s="19">
        <f t="shared" si="77"/>
        <v>0.85982803439312083</v>
      </c>
      <c r="K1025" s="19">
        <f t="shared" si="78"/>
        <v>51.591999999999999</v>
      </c>
      <c r="L1025" s="19">
        <f t="shared" si="76"/>
        <v>52.361599999999996</v>
      </c>
      <c r="M1025" s="19">
        <f>MAX(G788:G1025)</f>
        <v>59.55</v>
      </c>
      <c r="N1025" s="19">
        <f t="shared" si="74"/>
        <v>-15.298068849706128</v>
      </c>
      <c r="O1025" s="9" t="str">
        <f t="shared" si="75"/>
        <v>2024-11</v>
      </c>
    </row>
    <row r="1026" spans="1:15" x14ac:dyDescent="0.25">
      <c r="A1026" s="9" t="s">
        <v>312</v>
      </c>
      <c r="B1026" s="9" t="s">
        <v>313</v>
      </c>
      <c r="C1026" s="25" t="s">
        <v>284</v>
      </c>
      <c r="D1026" s="19">
        <v>50.44</v>
      </c>
      <c r="E1026" s="19">
        <v>50.54</v>
      </c>
      <c r="F1026" s="19">
        <v>49.93</v>
      </c>
      <c r="G1026" s="19">
        <v>50.35</v>
      </c>
      <c r="H1026" s="19">
        <v>50.35</v>
      </c>
      <c r="I1026" s="15">
        <v>4898016</v>
      </c>
      <c r="J1026" s="19">
        <f t="shared" si="77"/>
        <v>-0.17842981760506801</v>
      </c>
      <c r="K1026" s="19">
        <f t="shared" si="78"/>
        <v>51.495999999999995</v>
      </c>
      <c r="L1026" s="19">
        <f t="shared" si="76"/>
        <v>52.305999999999997</v>
      </c>
      <c r="M1026" s="19">
        <f>MAX(G788:G1026)</f>
        <v>59.55</v>
      </c>
      <c r="N1026" s="19">
        <f t="shared" ref="N1026:N1089" si="79">(G1026-M1026)/M1026*100</f>
        <v>-15.449202350965569</v>
      </c>
      <c r="O1026" s="9" t="str">
        <f t="shared" ref="O1026:O1089" si="80">TEXT(C1026,"yyyy-mm")</f>
        <v>2024-11</v>
      </c>
    </row>
    <row r="1027" spans="1:15" x14ac:dyDescent="0.25">
      <c r="A1027" s="9" t="s">
        <v>312</v>
      </c>
      <c r="B1027" s="9" t="s">
        <v>313</v>
      </c>
      <c r="C1027" s="25" t="s">
        <v>285</v>
      </c>
      <c r="D1027" s="19">
        <v>50.35</v>
      </c>
      <c r="E1027" s="19">
        <v>51.05</v>
      </c>
      <c r="F1027" s="19">
        <v>50.01</v>
      </c>
      <c r="G1027" s="19">
        <v>50.99</v>
      </c>
      <c r="H1027" s="19">
        <v>50.99</v>
      </c>
      <c r="I1027" s="15">
        <v>4387569</v>
      </c>
      <c r="J1027" s="19">
        <f t="shared" si="77"/>
        <v>1.2711022840119177</v>
      </c>
      <c r="K1027" s="19">
        <f t="shared" si="78"/>
        <v>51.442499999999995</v>
      </c>
      <c r="L1027" s="19">
        <f t="shared" si="76"/>
        <v>52.262399999999985</v>
      </c>
      <c r="M1027" s="19">
        <f>MAX(G788:G1027)</f>
        <v>59.55</v>
      </c>
      <c r="N1027" s="19">
        <f t="shared" si="79"/>
        <v>-14.374475230898398</v>
      </c>
      <c r="O1027" s="9" t="str">
        <f t="shared" si="80"/>
        <v>2024-11</v>
      </c>
    </row>
    <row r="1028" spans="1:15" x14ac:dyDescent="0.25">
      <c r="A1028" s="9" t="s">
        <v>312</v>
      </c>
      <c r="B1028" s="9" t="s">
        <v>313</v>
      </c>
      <c r="C1028" s="25" t="s">
        <v>286</v>
      </c>
      <c r="D1028" s="19">
        <v>50.99</v>
      </c>
      <c r="E1028" s="19">
        <v>51.23</v>
      </c>
      <c r="F1028" s="19">
        <v>50.7</v>
      </c>
      <c r="G1028" s="19">
        <v>50.91</v>
      </c>
      <c r="H1028" s="19">
        <v>50.91</v>
      </c>
      <c r="I1028" s="15">
        <v>1536326</v>
      </c>
      <c r="J1028" s="19">
        <f t="shared" si="77"/>
        <v>-0.1568935085310951</v>
      </c>
      <c r="K1028" s="19">
        <f t="shared" si="78"/>
        <v>51.391999999999996</v>
      </c>
      <c r="L1028" s="19">
        <f t="shared" si="76"/>
        <v>52.225999999999978</v>
      </c>
      <c r="M1028" s="19">
        <f>MAX(G788:G1028)</f>
        <v>59.55</v>
      </c>
      <c r="N1028" s="19">
        <f t="shared" si="79"/>
        <v>-14.508816120906804</v>
      </c>
      <c r="O1028" s="9" t="str">
        <f t="shared" si="80"/>
        <v>2024-12</v>
      </c>
    </row>
    <row r="1029" spans="1:15" x14ac:dyDescent="0.25">
      <c r="A1029" s="9" t="s">
        <v>312</v>
      </c>
      <c r="B1029" s="9" t="s">
        <v>313</v>
      </c>
      <c r="C1029" s="25" t="s">
        <v>287</v>
      </c>
      <c r="D1029" s="19">
        <v>50.91</v>
      </c>
      <c r="E1029" s="19">
        <v>51.67</v>
      </c>
      <c r="F1029" s="19">
        <v>50.76</v>
      </c>
      <c r="G1029" s="19">
        <v>51.63</v>
      </c>
      <c r="H1029" s="19">
        <v>51.63</v>
      </c>
      <c r="I1029" s="15">
        <v>5273500</v>
      </c>
      <c r="J1029" s="19">
        <f t="shared" si="77"/>
        <v>1.4142604596346613</v>
      </c>
      <c r="K1029" s="19">
        <f t="shared" si="78"/>
        <v>51.366500000000009</v>
      </c>
      <c r="L1029" s="19">
        <f t="shared" ref="L1029:L1092" si="81">AVERAGE(G980:G1029)</f>
        <v>52.211799999999982</v>
      </c>
      <c r="M1029" s="19">
        <f>MAX(G788:G1029)</f>
        <v>59.55</v>
      </c>
      <c r="N1029" s="19">
        <f t="shared" si="79"/>
        <v>-13.299748110831224</v>
      </c>
      <c r="O1029" s="9" t="str">
        <f t="shared" si="80"/>
        <v>2024-12</v>
      </c>
    </row>
    <row r="1030" spans="1:15" x14ac:dyDescent="0.25">
      <c r="A1030" s="9" t="s">
        <v>312</v>
      </c>
      <c r="B1030" s="9" t="s">
        <v>313</v>
      </c>
      <c r="C1030" s="25" t="s">
        <v>288</v>
      </c>
      <c r="D1030" s="19">
        <v>51.63</v>
      </c>
      <c r="E1030" s="19">
        <v>52.24</v>
      </c>
      <c r="F1030" s="19">
        <v>51.59</v>
      </c>
      <c r="G1030" s="19">
        <v>52.05</v>
      </c>
      <c r="H1030" s="19">
        <v>52.05</v>
      </c>
      <c r="I1030" s="15">
        <v>2247849</v>
      </c>
      <c r="J1030" s="19">
        <f t="shared" si="77"/>
        <v>0.81348053457291225</v>
      </c>
      <c r="K1030" s="19">
        <f t="shared" si="78"/>
        <v>51.377500000000012</v>
      </c>
      <c r="L1030" s="19">
        <f t="shared" si="81"/>
        <v>52.197599999999994</v>
      </c>
      <c r="M1030" s="19">
        <f>MAX(G788:G1030)</f>
        <v>59.55</v>
      </c>
      <c r="N1030" s="19">
        <f t="shared" si="79"/>
        <v>-12.594458438287154</v>
      </c>
      <c r="O1030" s="9" t="str">
        <f t="shared" si="80"/>
        <v>2024-12</v>
      </c>
    </row>
    <row r="1031" spans="1:15" x14ac:dyDescent="0.25">
      <c r="A1031" s="9" t="s">
        <v>312</v>
      </c>
      <c r="B1031" s="9" t="s">
        <v>313</v>
      </c>
      <c r="C1031" s="25" t="s">
        <v>289</v>
      </c>
      <c r="D1031" s="19">
        <v>52.05</v>
      </c>
      <c r="E1031" s="19">
        <v>52.16</v>
      </c>
      <c r="F1031" s="19">
        <v>47.33</v>
      </c>
      <c r="G1031" s="19">
        <v>47.44</v>
      </c>
      <c r="H1031" s="19">
        <v>47.44</v>
      </c>
      <c r="I1031" s="15">
        <v>12540862</v>
      </c>
      <c r="J1031" s="19">
        <f t="shared" si="77"/>
        <v>-8.8568683957732937</v>
      </c>
      <c r="K1031" s="19">
        <f t="shared" si="78"/>
        <v>51.130999999999993</v>
      </c>
      <c r="L1031" s="19">
        <f t="shared" si="81"/>
        <v>52.1096</v>
      </c>
      <c r="M1031" s="19">
        <f>MAX(G788:G1031)</f>
        <v>59.55</v>
      </c>
      <c r="N1031" s="19">
        <f t="shared" si="79"/>
        <v>-20.335852225020989</v>
      </c>
      <c r="O1031" s="9" t="str">
        <f t="shared" si="80"/>
        <v>2024-12</v>
      </c>
    </row>
    <row r="1032" spans="1:15" x14ac:dyDescent="0.25">
      <c r="A1032" s="9" t="s">
        <v>312</v>
      </c>
      <c r="B1032" s="9" t="s">
        <v>313</v>
      </c>
      <c r="C1032" s="25" t="s">
        <v>290</v>
      </c>
      <c r="D1032" s="19">
        <v>47.44</v>
      </c>
      <c r="E1032" s="19">
        <v>48.18</v>
      </c>
      <c r="F1032" s="19">
        <v>47.41</v>
      </c>
      <c r="G1032" s="19">
        <v>48.03</v>
      </c>
      <c r="H1032" s="19">
        <v>48.03</v>
      </c>
      <c r="I1032" s="15">
        <v>5754060</v>
      </c>
      <c r="J1032" s="19">
        <f t="shared" si="77"/>
        <v>1.243676222596972</v>
      </c>
      <c r="K1032" s="19">
        <f t="shared" si="78"/>
        <v>50.931999999999995</v>
      </c>
      <c r="L1032" s="19">
        <f t="shared" si="81"/>
        <v>52.022800000000004</v>
      </c>
      <c r="M1032" s="19">
        <f>MAX(G788:G1032)</f>
        <v>59.55</v>
      </c>
      <c r="N1032" s="19">
        <f t="shared" si="79"/>
        <v>-19.345088161209063</v>
      </c>
      <c r="O1032" s="9" t="str">
        <f t="shared" si="80"/>
        <v>2024-12</v>
      </c>
    </row>
    <row r="1033" spans="1:15" x14ac:dyDescent="0.25">
      <c r="A1033" s="9" t="s">
        <v>312</v>
      </c>
      <c r="B1033" s="9" t="s">
        <v>313</v>
      </c>
      <c r="C1033" s="25" t="s">
        <v>291</v>
      </c>
      <c r="D1033" s="19">
        <v>48.03</v>
      </c>
      <c r="E1033" s="19">
        <v>48.71</v>
      </c>
      <c r="F1033" s="19">
        <v>47.67</v>
      </c>
      <c r="G1033" s="19">
        <v>48.46</v>
      </c>
      <c r="H1033" s="19">
        <v>48.46</v>
      </c>
      <c r="I1033" s="15">
        <v>1871537</v>
      </c>
      <c r="J1033" s="19">
        <f t="shared" si="77"/>
        <v>0.89527378721632256</v>
      </c>
      <c r="K1033" s="19">
        <f t="shared" si="78"/>
        <v>50.775500000000001</v>
      </c>
      <c r="L1033" s="19">
        <f t="shared" si="81"/>
        <v>51.930399999999999</v>
      </c>
      <c r="M1033" s="19">
        <f>MAX(G788:G1033)</f>
        <v>59.55</v>
      </c>
      <c r="N1033" s="19">
        <f t="shared" si="79"/>
        <v>-18.623005877413931</v>
      </c>
      <c r="O1033" s="9" t="str">
        <f t="shared" si="80"/>
        <v>2024-12</v>
      </c>
    </row>
    <row r="1034" spans="1:15" x14ac:dyDescent="0.25">
      <c r="A1034" s="9" t="s">
        <v>312</v>
      </c>
      <c r="B1034" s="9" t="s">
        <v>313</v>
      </c>
      <c r="C1034" s="25" t="s">
        <v>292</v>
      </c>
      <c r="D1034" s="19">
        <v>48.46</v>
      </c>
      <c r="E1034" s="19">
        <v>49.21</v>
      </c>
      <c r="F1034" s="19">
        <v>48.31</v>
      </c>
      <c r="G1034" s="19">
        <v>49.18</v>
      </c>
      <c r="H1034" s="19">
        <v>49.18</v>
      </c>
      <c r="I1034" s="15">
        <v>4788314</v>
      </c>
      <c r="J1034" s="19">
        <f t="shared" si="77"/>
        <v>1.4857614527445293</v>
      </c>
      <c r="K1034" s="19">
        <f t="shared" si="78"/>
        <v>50.651999999999994</v>
      </c>
      <c r="L1034" s="19">
        <f t="shared" si="81"/>
        <v>51.842799999999997</v>
      </c>
      <c r="M1034" s="19">
        <f>MAX(G788:G1034)</f>
        <v>59.55</v>
      </c>
      <c r="N1034" s="19">
        <f t="shared" si="79"/>
        <v>-17.413937867338365</v>
      </c>
      <c r="O1034" s="9" t="str">
        <f t="shared" si="80"/>
        <v>2024-12</v>
      </c>
    </row>
    <row r="1035" spans="1:15" x14ac:dyDescent="0.25">
      <c r="A1035" s="9" t="s">
        <v>312</v>
      </c>
      <c r="B1035" s="9" t="s">
        <v>313</v>
      </c>
      <c r="C1035" s="25" t="s">
        <v>293</v>
      </c>
      <c r="D1035" s="19">
        <v>49.18</v>
      </c>
      <c r="E1035" s="19">
        <v>50.1</v>
      </c>
      <c r="F1035" s="19">
        <v>49.03</v>
      </c>
      <c r="G1035" s="19">
        <v>49.82</v>
      </c>
      <c r="H1035" s="19">
        <v>49.82</v>
      </c>
      <c r="I1035" s="15">
        <v>4617371</v>
      </c>
      <c r="J1035" s="19">
        <f t="shared" si="77"/>
        <v>1.3013420089467276</v>
      </c>
      <c r="K1035" s="19">
        <f t="shared" si="78"/>
        <v>50.551000000000002</v>
      </c>
      <c r="L1035" s="19">
        <f t="shared" si="81"/>
        <v>51.751199999999997</v>
      </c>
      <c r="M1035" s="19">
        <f>MAX(G788:G1035)</f>
        <v>59.55</v>
      </c>
      <c r="N1035" s="19">
        <f t="shared" si="79"/>
        <v>-16.339210747271196</v>
      </c>
      <c r="O1035" s="9" t="str">
        <f t="shared" si="80"/>
        <v>2024-12</v>
      </c>
    </row>
    <row r="1036" spans="1:15" x14ac:dyDescent="0.25">
      <c r="A1036" s="9" t="s">
        <v>312</v>
      </c>
      <c r="B1036" s="9" t="s">
        <v>313</v>
      </c>
      <c r="C1036" s="25" t="s">
        <v>294</v>
      </c>
      <c r="D1036" s="19">
        <v>49.82</v>
      </c>
      <c r="E1036" s="19">
        <v>50.25</v>
      </c>
      <c r="F1036" s="19">
        <v>49.19</v>
      </c>
      <c r="G1036" s="19">
        <v>49.33</v>
      </c>
      <c r="H1036" s="19">
        <v>49.33</v>
      </c>
      <c r="I1036" s="15">
        <v>5147122</v>
      </c>
      <c r="J1036" s="19">
        <f t="shared" si="77"/>
        <v>-0.98354074668808111</v>
      </c>
      <c r="K1036" s="19">
        <f t="shared" si="78"/>
        <v>50.416000000000004</v>
      </c>
      <c r="L1036" s="19">
        <f t="shared" si="81"/>
        <v>51.634800000000006</v>
      </c>
      <c r="M1036" s="19">
        <f>MAX(G788:G1036)</f>
        <v>59.55</v>
      </c>
      <c r="N1036" s="19">
        <f t="shared" si="79"/>
        <v>-17.162048698572626</v>
      </c>
      <c r="O1036" s="9" t="str">
        <f t="shared" si="80"/>
        <v>2024-12</v>
      </c>
    </row>
    <row r="1037" spans="1:15" x14ac:dyDescent="0.25">
      <c r="A1037" s="9" t="s">
        <v>312</v>
      </c>
      <c r="B1037" s="9" t="s">
        <v>313</v>
      </c>
      <c r="C1037" s="25" t="s">
        <v>295</v>
      </c>
      <c r="D1037" s="19">
        <v>49.33</v>
      </c>
      <c r="E1037" s="19">
        <v>50.1</v>
      </c>
      <c r="F1037" s="19">
        <v>49.23</v>
      </c>
      <c r="G1037" s="19">
        <v>49.87</v>
      </c>
      <c r="H1037" s="19">
        <v>49.87</v>
      </c>
      <c r="I1037" s="15">
        <v>2944433</v>
      </c>
      <c r="J1037" s="19">
        <f t="shared" si="77"/>
        <v>1.094668558686396</v>
      </c>
      <c r="K1037" s="19">
        <f t="shared" si="78"/>
        <v>50.313499999999998</v>
      </c>
      <c r="L1037" s="19">
        <f t="shared" si="81"/>
        <v>51.539200000000001</v>
      </c>
      <c r="M1037" s="19">
        <f>MAX(G788:G1037)</f>
        <v>59.55</v>
      </c>
      <c r="N1037" s="19">
        <f t="shared" si="79"/>
        <v>-16.255247691015953</v>
      </c>
      <c r="O1037" s="9" t="str">
        <f t="shared" si="80"/>
        <v>2024-12</v>
      </c>
    </row>
    <row r="1038" spans="1:15" x14ac:dyDescent="0.25">
      <c r="A1038" s="9" t="s">
        <v>312</v>
      </c>
      <c r="B1038" s="9" t="s">
        <v>313</v>
      </c>
      <c r="C1038" s="25" t="s">
        <v>296</v>
      </c>
      <c r="D1038" s="19">
        <v>49.87</v>
      </c>
      <c r="E1038" s="19">
        <v>50.14</v>
      </c>
      <c r="F1038" s="19">
        <v>49.73</v>
      </c>
      <c r="G1038" s="19">
        <v>50.01</v>
      </c>
      <c r="H1038" s="19">
        <v>50.01</v>
      </c>
      <c r="I1038" s="15">
        <v>3147836</v>
      </c>
      <c r="J1038" s="19">
        <f t="shared" si="77"/>
        <v>0.28072989773410983</v>
      </c>
      <c r="K1038" s="19">
        <f t="shared" si="78"/>
        <v>50.214999999999996</v>
      </c>
      <c r="L1038" s="19">
        <f t="shared" si="81"/>
        <v>51.448800000000013</v>
      </c>
      <c r="M1038" s="19">
        <f>MAX(G788:G1038)</f>
        <v>59.55</v>
      </c>
      <c r="N1038" s="19">
        <f t="shared" si="79"/>
        <v>-16.020151133501258</v>
      </c>
      <c r="O1038" s="9" t="str">
        <f t="shared" si="80"/>
        <v>2024-12</v>
      </c>
    </row>
    <row r="1039" spans="1:15" x14ac:dyDescent="0.25">
      <c r="A1039" s="9" t="s">
        <v>312</v>
      </c>
      <c r="B1039" s="9" t="s">
        <v>313</v>
      </c>
      <c r="C1039" s="25" t="s">
        <v>297</v>
      </c>
      <c r="D1039" s="19">
        <v>50.01</v>
      </c>
      <c r="E1039" s="19">
        <v>50.1</v>
      </c>
      <c r="F1039" s="19">
        <v>48.76</v>
      </c>
      <c r="G1039" s="19">
        <v>49.07</v>
      </c>
      <c r="H1039" s="19">
        <v>49.07</v>
      </c>
      <c r="I1039" s="15">
        <v>5583306</v>
      </c>
      <c r="J1039" s="19">
        <f t="shared" si="77"/>
        <v>-1.8796240751849584</v>
      </c>
      <c r="K1039" s="19">
        <f t="shared" si="78"/>
        <v>50.071999999999996</v>
      </c>
      <c r="L1039" s="19">
        <f t="shared" si="81"/>
        <v>51.360400000000006</v>
      </c>
      <c r="M1039" s="19">
        <f>MAX(G788:G1039)</f>
        <v>59.55</v>
      </c>
      <c r="N1039" s="19">
        <f t="shared" si="79"/>
        <v>-17.59865659109991</v>
      </c>
      <c r="O1039" s="9" t="str">
        <f t="shared" si="80"/>
        <v>2024-12</v>
      </c>
    </row>
    <row r="1040" spans="1:15" x14ac:dyDescent="0.25">
      <c r="A1040" s="9" t="s">
        <v>312</v>
      </c>
      <c r="B1040" s="9" t="s">
        <v>313</v>
      </c>
      <c r="C1040" s="25" t="s">
        <v>298</v>
      </c>
      <c r="D1040" s="19">
        <v>49.07</v>
      </c>
      <c r="E1040" s="19">
        <v>49.67</v>
      </c>
      <c r="F1040" s="19">
        <v>48.82</v>
      </c>
      <c r="G1040" s="19">
        <v>49.61</v>
      </c>
      <c r="H1040" s="19">
        <v>49.61</v>
      </c>
      <c r="I1040" s="15">
        <v>5425256</v>
      </c>
      <c r="J1040" s="19">
        <f t="shared" si="77"/>
        <v>1.1004687181577322</v>
      </c>
      <c r="K1040" s="19">
        <f t="shared" si="78"/>
        <v>49.974000000000004</v>
      </c>
      <c r="L1040" s="19">
        <f t="shared" si="81"/>
        <v>51.301800000000014</v>
      </c>
      <c r="M1040" s="19">
        <f>MAX(G788:G1040)</f>
        <v>59.55</v>
      </c>
      <c r="N1040" s="19">
        <f t="shared" si="79"/>
        <v>-16.691855583543237</v>
      </c>
      <c r="O1040" s="9" t="str">
        <f t="shared" si="80"/>
        <v>2024-12</v>
      </c>
    </row>
    <row r="1041" spans="1:15" x14ac:dyDescent="0.25">
      <c r="A1041" s="9" t="s">
        <v>312</v>
      </c>
      <c r="B1041" s="9" t="s">
        <v>313</v>
      </c>
      <c r="C1041" s="25" t="s">
        <v>299</v>
      </c>
      <c r="D1041" s="19">
        <v>49.61</v>
      </c>
      <c r="E1041" s="19">
        <v>49.83</v>
      </c>
      <c r="F1041" s="19">
        <v>49.1</v>
      </c>
      <c r="G1041" s="19">
        <v>49.25</v>
      </c>
      <c r="H1041" s="19">
        <v>49.25</v>
      </c>
      <c r="I1041" s="15">
        <v>5377079</v>
      </c>
      <c r="J1041" s="19">
        <f t="shared" si="77"/>
        <v>-0.72566014916347399</v>
      </c>
      <c r="K1041" s="19">
        <f t="shared" si="78"/>
        <v>49.875500000000002</v>
      </c>
      <c r="L1041" s="19">
        <f t="shared" si="81"/>
        <v>51.234600000000007</v>
      </c>
      <c r="M1041" s="19">
        <f>MAX(G788:G1041)</f>
        <v>59.55</v>
      </c>
      <c r="N1041" s="19">
        <f t="shared" si="79"/>
        <v>-17.296389588581022</v>
      </c>
      <c r="O1041" s="9" t="str">
        <f t="shared" si="80"/>
        <v>2024-12</v>
      </c>
    </row>
    <row r="1042" spans="1:15" x14ac:dyDescent="0.25">
      <c r="A1042" s="9" t="s">
        <v>312</v>
      </c>
      <c r="B1042" s="9" t="s">
        <v>313</v>
      </c>
      <c r="C1042" s="25" t="s">
        <v>300</v>
      </c>
      <c r="D1042" s="19">
        <v>49.25</v>
      </c>
      <c r="E1042" s="19">
        <v>49.26</v>
      </c>
      <c r="F1042" s="19">
        <v>48.77</v>
      </c>
      <c r="G1042" s="19">
        <v>48.94</v>
      </c>
      <c r="H1042" s="19">
        <v>48.94</v>
      </c>
      <c r="I1042" s="15">
        <v>3964373</v>
      </c>
      <c r="J1042" s="19">
        <f t="shared" si="77"/>
        <v>-0.6294416243654869</v>
      </c>
      <c r="K1042" s="19">
        <f t="shared" si="78"/>
        <v>49.805000000000007</v>
      </c>
      <c r="L1042" s="19">
        <f t="shared" si="81"/>
        <v>51.150200000000012</v>
      </c>
      <c r="M1042" s="19">
        <f>MAX(G788:G1042)</f>
        <v>59.55</v>
      </c>
      <c r="N1042" s="19">
        <f t="shared" si="79"/>
        <v>-17.81696053736356</v>
      </c>
      <c r="O1042" s="9" t="str">
        <f t="shared" si="80"/>
        <v>2024-12</v>
      </c>
    </row>
    <row r="1043" spans="1:15" x14ac:dyDescent="0.25">
      <c r="A1043" s="9" t="s">
        <v>312</v>
      </c>
      <c r="B1043" s="9" t="s">
        <v>313</v>
      </c>
      <c r="C1043" s="25" t="s">
        <v>301</v>
      </c>
      <c r="D1043" s="19">
        <v>48.94</v>
      </c>
      <c r="E1043" s="19">
        <v>49.32</v>
      </c>
      <c r="F1043" s="19">
        <v>48.87</v>
      </c>
      <c r="G1043" s="19">
        <v>49.17</v>
      </c>
      <c r="H1043" s="19">
        <v>49.17</v>
      </c>
      <c r="I1043" s="15">
        <v>4189877</v>
      </c>
      <c r="J1043" s="19">
        <f t="shared" si="77"/>
        <v>0.46996322026972615</v>
      </c>
      <c r="K1043" s="19">
        <f t="shared" si="78"/>
        <v>49.728000000000002</v>
      </c>
      <c r="L1043" s="19">
        <f t="shared" si="81"/>
        <v>51.067600000000013</v>
      </c>
      <c r="M1043" s="19">
        <f>MAX(G788:G1043)</f>
        <v>59.55</v>
      </c>
      <c r="N1043" s="19">
        <f t="shared" si="79"/>
        <v>-17.430730478589414</v>
      </c>
      <c r="O1043" s="9" t="str">
        <f t="shared" si="80"/>
        <v>2024-12</v>
      </c>
    </row>
    <row r="1044" spans="1:15" x14ac:dyDescent="0.25">
      <c r="A1044" s="9" t="s">
        <v>312</v>
      </c>
      <c r="B1044" s="9" t="s">
        <v>313</v>
      </c>
      <c r="C1044" s="25" t="s">
        <v>302</v>
      </c>
      <c r="D1044" s="19">
        <v>49.17</v>
      </c>
      <c r="E1044" s="19">
        <v>50.36</v>
      </c>
      <c r="F1044" s="19">
        <v>49.12</v>
      </c>
      <c r="G1044" s="19">
        <v>50.12</v>
      </c>
      <c r="H1044" s="19">
        <v>50.12</v>
      </c>
      <c r="I1044" s="15">
        <v>4097549</v>
      </c>
      <c r="J1044" s="19">
        <f t="shared" si="77"/>
        <v>1.9320724018710509</v>
      </c>
      <c r="K1044" s="19">
        <f t="shared" si="78"/>
        <v>49.733500000000006</v>
      </c>
      <c r="L1044" s="19">
        <f t="shared" si="81"/>
        <v>51.013600000000018</v>
      </c>
      <c r="M1044" s="19">
        <f>MAX(G788:G1044)</f>
        <v>59.55</v>
      </c>
      <c r="N1044" s="19">
        <f t="shared" si="79"/>
        <v>-15.835432409739713</v>
      </c>
      <c r="O1044" s="9" t="str">
        <f t="shared" si="80"/>
        <v>2024-12</v>
      </c>
    </row>
    <row r="1045" spans="1:15" x14ac:dyDescent="0.25">
      <c r="A1045" s="9" t="s">
        <v>312</v>
      </c>
      <c r="B1045" s="9" t="s">
        <v>313</v>
      </c>
      <c r="C1045" s="25" t="s">
        <v>303</v>
      </c>
      <c r="D1045" s="19">
        <v>50.12</v>
      </c>
      <c r="E1045" s="19">
        <v>50.41</v>
      </c>
      <c r="F1045" s="19">
        <v>49.77</v>
      </c>
      <c r="G1045" s="19">
        <v>50.35</v>
      </c>
      <c r="H1045" s="19">
        <v>50.35</v>
      </c>
      <c r="I1045" s="15">
        <v>5035705</v>
      </c>
      <c r="J1045" s="19">
        <f t="shared" si="77"/>
        <v>0.45889864325619312</v>
      </c>
      <c r="K1045" s="19">
        <f t="shared" si="78"/>
        <v>49.728999999999999</v>
      </c>
      <c r="L1045" s="19">
        <f t="shared" si="81"/>
        <v>50.969400000000014</v>
      </c>
      <c r="M1045" s="19">
        <f>MAX(G788:G1045)</f>
        <v>59.55</v>
      </c>
      <c r="N1045" s="19">
        <f t="shared" si="79"/>
        <v>-15.449202350965569</v>
      </c>
      <c r="O1045" s="9" t="str">
        <f t="shared" si="80"/>
        <v>2024-12</v>
      </c>
    </row>
    <row r="1046" spans="1:15" x14ac:dyDescent="0.25">
      <c r="A1046" s="9" t="s">
        <v>312</v>
      </c>
      <c r="B1046" s="9" t="s">
        <v>313</v>
      </c>
      <c r="C1046" s="25" t="s">
        <v>304</v>
      </c>
      <c r="D1046" s="19">
        <v>50.35</v>
      </c>
      <c r="E1046" s="19">
        <v>50.54</v>
      </c>
      <c r="F1046" s="19">
        <v>49.59</v>
      </c>
      <c r="G1046" s="19">
        <v>49.81</v>
      </c>
      <c r="H1046" s="19">
        <v>49.81</v>
      </c>
      <c r="I1046" s="15">
        <v>4403016</v>
      </c>
      <c r="J1046" s="19">
        <f t="shared" si="77"/>
        <v>-1.0724925521350528</v>
      </c>
      <c r="K1046" s="19">
        <f t="shared" si="78"/>
        <v>49.701999999999998</v>
      </c>
      <c r="L1046" s="19">
        <f t="shared" si="81"/>
        <v>50.922400000000017</v>
      </c>
      <c r="M1046" s="19">
        <f>MAX(G788:G1046)</f>
        <v>59.55</v>
      </c>
      <c r="N1046" s="19">
        <f t="shared" si="79"/>
        <v>-16.356003358522241</v>
      </c>
      <c r="O1046" s="9" t="str">
        <f t="shared" si="80"/>
        <v>2024-12</v>
      </c>
    </row>
    <row r="1047" spans="1:15" x14ac:dyDescent="0.25">
      <c r="A1047" s="9" t="s">
        <v>312</v>
      </c>
      <c r="B1047" s="9" t="s">
        <v>313</v>
      </c>
      <c r="C1047" s="25" t="s">
        <v>305</v>
      </c>
      <c r="D1047" s="19">
        <v>49.81</v>
      </c>
      <c r="E1047" s="19">
        <v>50.3</v>
      </c>
      <c r="F1047" s="19">
        <v>49.66</v>
      </c>
      <c r="G1047" s="19">
        <v>50.05</v>
      </c>
      <c r="H1047" s="19">
        <v>50.05</v>
      </c>
      <c r="I1047" s="15">
        <v>3384004</v>
      </c>
      <c r="J1047" s="19">
        <f t="shared" si="77"/>
        <v>0.48183095763901801</v>
      </c>
      <c r="K1047" s="19">
        <f t="shared" si="78"/>
        <v>49.655000000000008</v>
      </c>
      <c r="L1047" s="19">
        <f t="shared" si="81"/>
        <v>50.881200000000007</v>
      </c>
      <c r="M1047" s="19">
        <f>MAX(G788:G1047)</f>
        <v>59.55</v>
      </c>
      <c r="N1047" s="19">
        <f t="shared" si="79"/>
        <v>-15.952980688497062</v>
      </c>
      <c r="O1047" s="9" t="str">
        <f t="shared" si="80"/>
        <v>2024-12</v>
      </c>
    </row>
    <row r="1048" spans="1:15" x14ac:dyDescent="0.25">
      <c r="A1048" s="9" t="s">
        <v>312</v>
      </c>
      <c r="B1048" s="9" t="s">
        <v>313</v>
      </c>
      <c r="C1048" s="25" t="s">
        <v>306</v>
      </c>
      <c r="D1048" s="19">
        <v>50.05</v>
      </c>
      <c r="E1048" s="19">
        <v>50.46</v>
      </c>
      <c r="F1048" s="19">
        <v>49.88</v>
      </c>
      <c r="G1048" s="19">
        <v>49.99</v>
      </c>
      <c r="H1048" s="19">
        <v>49.99</v>
      </c>
      <c r="I1048" s="15">
        <v>2380420</v>
      </c>
      <c r="J1048" s="19">
        <f t="shared" si="77"/>
        <v>-0.11988011988011023</v>
      </c>
      <c r="K1048" s="19">
        <f t="shared" si="78"/>
        <v>49.609000000000002</v>
      </c>
      <c r="L1048" s="19">
        <f t="shared" si="81"/>
        <v>50.824799999999996</v>
      </c>
      <c r="M1048" s="19">
        <f>MAX(G788:G1048)</f>
        <v>59.55</v>
      </c>
      <c r="N1048" s="19">
        <f t="shared" si="79"/>
        <v>-16.053736356003352</v>
      </c>
      <c r="O1048" s="9" t="str">
        <f t="shared" si="80"/>
        <v>2024-12</v>
      </c>
    </row>
    <row r="1049" spans="1:15" x14ac:dyDescent="0.25">
      <c r="A1049" s="9" t="s">
        <v>312</v>
      </c>
      <c r="B1049" s="9" t="s">
        <v>313</v>
      </c>
      <c r="C1049" s="25" t="s">
        <v>307</v>
      </c>
      <c r="D1049" s="19">
        <v>49.99</v>
      </c>
      <c r="E1049" s="19">
        <v>50.76</v>
      </c>
      <c r="F1049" s="19">
        <v>49.98</v>
      </c>
      <c r="G1049" s="19">
        <v>50.64</v>
      </c>
      <c r="H1049" s="19">
        <v>50.64</v>
      </c>
      <c r="I1049" s="15">
        <v>4082556</v>
      </c>
      <c r="J1049" s="19">
        <f t="shared" si="77"/>
        <v>1.3002600520103993</v>
      </c>
      <c r="K1049" s="19">
        <f t="shared" si="78"/>
        <v>49.5595</v>
      </c>
      <c r="L1049" s="19">
        <f t="shared" si="81"/>
        <v>50.788199999999989</v>
      </c>
      <c r="M1049" s="19">
        <f>MAX(G788:G1049)</f>
        <v>59.55</v>
      </c>
      <c r="N1049" s="19">
        <f t="shared" si="79"/>
        <v>-14.962216624685135</v>
      </c>
      <c r="O1049" s="9" t="str">
        <f t="shared" si="80"/>
        <v>2024-12</v>
      </c>
    </row>
    <row r="1050" spans="1:15" x14ac:dyDescent="0.25">
      <c r="A1050" s="9" t="s">
        <v>314</v>
      </c>
      <c r="B1050" s="9" t="s">
        <v>45</v>
      </c>
      <c r="C1050" s="25" t="s">
        <v>46</v>
      </c>
      <c r="D1050" s="19">
        <v>330</v>
      </c>
      <c r="E1050" s="19">
        <v>336.09</v>
      </c>
      <c r="F1050" s="19">
        <v>329.3</v>
      </c>
      <c r="G1050" s="19">
        <v>335.27</v>
      </c>
      <c r="H1050" s="19">
        <v>335.27</v>
      </c>
      <c r="I1050" s="15">
        <v>4622854</v>
      </c>
      <c r="J1050" s="19"/>
      <c r="K1050" s="19"/>
      <c r="L1050" s="19"/>
      <c r="M1050" s="19">
        <f>MAX(G1050:G1050)</f>
        <v>335.27</v>
      </c>
      <c r="N1050" s="19">
        <f t="shared" si="79"/>
        <v>0</v>
      </c>
      <c r="O1050" s="9" t="str">
        <f t="shared" si="80"/>
        <v>2024-01</v>
      </c>
    </row>
    <row r="1051" spans="1:15" x14ac:dyDescent="0.25">
      <c r="A1051" s="9" t="s">
        <v>314</v>
      </c>
      <c r="B1051" s="9" t="s">
        <v>45</v>
      </c>
      <c r="C1051" s="25" t="s">
        <v>47</v>
      </c>
      <c r="D1051" s="19">
        <v>335.27</v>
      </c>
      <c r="E1051" s="19">
        <v>336.9</v>
      </c>
      <c r="F1051" s="19">
        <v>332.16</v>
      </c>
      <c r="G1051" s="19">
        <v>335.85</v>
      </c>
      <c r="H1051" s="19">
        <v>335.85</v>
      </c>
      <c r="I1051" s="15">
        <v>8943962</v>
      </c>
      <c r="J1051" s="19">
        <f t="shared" ref="J1051:J1114" si="82">IFERROR((G1051-G1050)/G1050*100,"")</f>
        <v>0.17299489963314374</v>
      </c>
      <c r="K1051" s="19"/>
      <c r="L1051" s="19"/>
      <c r="M1051" s="19">
        <f>MAX(G1050:G1051)</f>
        <v>335.85</v>
      </c>
      <c r="N1051" s="19">
        <f t="shared" si="79"/>
        <v>0</v>
      </c>
      <c r="O1051" s="9" t="str">
        <f t="shared" si="80"/>
        <v>2024-01</v>
      </c>
    </row>
    <row r="1052" spans="1:15" x14ac:dyDescent="0.25">
      <c r="A1052" s="9" t="s">
        <v>314</v>
      </c>
      <c r="B1052" s="9" t="s">
        <v>45</v>
      </c>
      <c r="C1052" s="25" t="s">
        <v>48</v>
      </c>
      <c r="D1052" s="19">
        <v>335.85</v>
      </c>
      <c r="E1052" s="19">
        <v>337.4</v>
      </c>
      <c r="F1052" s="19">
        <v>335.17</v>
      </c>
      <c r="G1052" s="19">
        <v>336.99</v>
      </c>
      <c r="H1052" s="19">
        <v>336.99</v>
      </c>
      <c r="I1052" s="15">
        <v>9397750</v>
      </c>
      <c r="J1052" s="19">
        <f t="shared" si="82"/>
        <v>0.33943724877176901</v>
      </c>
      <c r="K1052" s="19"/>
      <c r="L1052" s="19"/>
      <c r="M1052" s="19">
        <f>MAX(G1050:G1052)</f>
        <v>336.99</v>
      </c>
      <c r="N1052" s="19">
        <f t="shared" si="79"/>
        <v>0</v>
      </c>
      <c r="O1052" s="9" t="str">
        <f t="shared" si="80"/>
        <v>2024-01</v>
      </c>
    </row>
    <row r="1053" spans="1:15" x14ac:dyDescent="0.25">
      <c r="A1053" s="9" t="s">
        <v>314</v>
      </c>
      <c r="B1053" s="9" t="s">
        <v>45</v>
      </c>
      <c r="C1053" s="25" t="s">
        <v>49</v>
      </c>
      <c r="D1053" s="19">
        <v>336.99</v>
      </c>
      <c r="E1053" s="19">
        <v>338.19</v>
      </c>
      <c r="F1053" s="19">
        <v>329.73</v>
      </c>
      <c r="G1053" s="19">
        <v>332.17</v>
      </c>
      <c r="H1053" s="19">
        <v>332.17</v>
      </c>
      <c r="I1053" s="15">
        <v>9219179</v>
      </c>
      <c r="J1053" s="19">
        <f t="shared" si="82"/>
        <v>-1.4303095047330761</v>
      </c>
      <c r="K1053" s="19"/>
      <c r="L1053" s="19"/>
      <c r="M1053" s="19">
        <f>MAX(G1050:G1053)</f>
        <v>336.99</v>
      </c>
      <c r="N1053" s="19">
        <f t="shared" si="79"/>
        <v>-1.4303095047330761</v>
      </c>
      <c r="O1053" s="9" t="str">
        <f t="shared" si="80"/>
        <v>2024-01</v>
      </c>
    </row>
    <row r="1054" spans="1:15" x14ac:dyDescent="0.25">
      <c r="A1054" s="9" t="s">
        <v>314</v>
      </c>
      <c r="B1054" s="9" t="s">
        <v>45</v>
      </c>
      <c r="C1054" s="25" t="s">
        <v>50</v>
      </c>
      <c r="D1054" s="19">
        <v>332.17</v>
      </c>
      <c r="E1054" s="19">
        <v>335.03</v>
      </c>
      <c r="F1054" s="19">
        <v>326.18</v>
      </c>
      <c r="G1054" s="19">
        <v>327.27</v>
      </c>
      <c r="H1054" s="19">
        <v>327.27</v>
      </c>
      <c r="I1054" s="15">
        <v>8075040</v>
      </c>
      <c r="J1054" s="19">
        <f t="shared" si="82"/>
        <v>-1.4751482674534226</v>
      </c>
      <c r="K1054" s="19"/>
      <c r="L1054" s="19"/>
      <c r="M1054" s="19">
        <f>MAX(G1050:G1054)</f>
        <v>336.99</v>
      </c>
      <c r="N1054" s="19">
        <f t="shared" si="79"/>
        <v>-2.8843585863082071</v>
      </c>
      <c r="O1054" s="9" t="str">
        <f t="shared" si="80"/>
        <v>2024-01</v>
      </c>
    </row>
    <row r="1055" spans="1:15" x14ac:dyDescent="0.25">
      <c r="A1055" s="9" t="s">
        <v>314</v>
      </c>
      <c r="B1055" s="9" t="s">
        <v>45</v>
      </c>
      <c r="C1055" s="25" t="s">
        <v>51</v>
      </c>
      <c r="D1055" s="19">
        <v>327.27</v>
      </c>
      <c r="E1055" s="19">
        <v>328.66</v>
      </c>
      <c r="F1055" s="19">
        <v>327.17</v>
      </c>
      <c r="G1055" s="19">
        <v>328.66</v>
      </c>
      <c r="H1055" s="19">
        <v>328.66</v>
      </c>
      <c r="I1055" s="15">
        <v>7762664</v>
      </c>
      <c r="J1055" s="19">
        <f t="shared" si="82"/>
        <v>0.42472576160358211</v>
      </c>
      <c r="K1055" s="19"/>
      <c r="L1055" s="19"/>
      <c r="M1055" s="19">
        <f>MAX(G1050:G1055)</f>
        <v>336.99</v>
      </c>
      <c r="N1055" s="19">
        <f t="shared" si="79"/>
        <v>-2.4718834386777009</v>
      </c>
      <c r="O1055" s="9" t="str">
        <f t="shared" si="80"/>
        <v>2024-01</v>
      </c>
    </row>
    <row r="1056" spans="1:15" x14ac:dyDescent="0.25">
      <c r="A1056" s="9" t="s">
        <v>314</v>
      </c>
      <c r="B1056" s="9" t="s">
        <v>45</v>
      </c>
      <c r="C1056" s="25" t="s">
        <v>52</v>
      </c>
      <c r="D1056" s="19">
        <v>328.66</v>
      </c>
      <c r="E1056" s="19">
        <v>333.5</v>
      </c>
      <c r="F1056" s="19">
        <v>327.91</v>
      </c>
      <c r="G1056" s="19">
        <v>333.11</v>
      </c>
      <c r="H1056" s="19">
        <v>333.11</v>
      </c>
      <c r="I1056" s="15">
        <v>9439025</v>
      </c>
      <c r="J1056" s="19">
        <f t="shared" si="82"/>
        <v>1.3539828394085038</v>
      </c>
      <c r="K1056" s="19"/>
      <c r="L1056" s="19"/>
      <c r="M1056" s="19">
        <f>MAX(G1050:G1056)</f>
        <v>336.99</v>
      </c>
      <c r="N1056" s="19">
        <f t="shared" si="79"/>
        <v>-1.1513694768390739</v>
      </c>
      <c r="O1056" s="9" t="str">
        <f t="shared" si="80"/>
        <v>2024-01</v>
      </c>
    </row>
    <row r="1057" spans="1:15" x14ac:dyDescent="0.25">
      <c r="A1057" s="9" t="s">
        <v>314</v>
      </c>
      <c r="B1057" s="9" t="s">
        <v>45</v>
      </c>
      <c r="C1057" s="25" t="s">
        <v>53</v>
      </c>
      <c r="D1057" s="19">
        <v>333.11</v>
      </c>
      <c r="E1057" s="19">
        <v>333.43</v>
      </c>
      <c r="F1057" s="19">
        <v>330.27</v>
      </c>
      <c r="G1057" s="19">
        <v>330.98</v>
      </c>
      <c r="H1057" s="19">
        <v>330.98</v>
      </c>
      <c r="I1057" s="15">
        <v>5843676</v>
      </c>
      <c r="J1057" s="19">
        <f t="shared" si="82"/>
        <v>-0.639428417039415</v>
      </c>
      <c r="K1057" s="19"/>
      <c r="L1057" s="19"/>
      <c r="M1057" s="19">
        <f>MAX(G1050:G1057)</f>
        <v>336.99</v>
      </c>
      <c r="N1057" s="19">
        <f t="shared" si="79"/>
        <v>-1.7834357102584619</v>
      </c>
      <c r="O1057" s="9" t="str">
        <f t="shared" si="80"/>
        <v>2024-01</v>
      </c>
    </row>
    <row r="1058" spans="1:15" x14ac:dyDescent="0.25">
      <c r="A1058" s="9" t="s">
        <v>314</v>
      </c>
      <c r="B1058" s="9" t="s">
        <v>45</v>
      </c>
      <c r="C1058" s="25" t="s">
        <v>54</v>
      </c>
      <c r="D1058" s="19">
        <v>330.98</v>
      </c>
      <c r="E1058" s="19">
        <v>331.36</v>
      </c>
      <c r="F1058" s="19">
        <v>330.68</v>
      </c>
      <c r="G1058" s="19">
        <v>331.34</v>
      </c>
      <c r="H1058" s="19">
        <v>331.34</v>
      </c>
      <c r="I1058" s="15">
        <v>8474189</v>
      </c>
      <c r="J1058" s="19">
        <f t="shared" si="82"/>
        <v>0.10876790138375635</v>
      </c>
      <c r="K1058" s="19"/>
      <c r="L1058" s="19"/>
      <c r="M1058" s="19">
        <f>MAX(G1050:G1058)</f>
        <v>336.99</v>
      </c>
      <c r="N1058" s="19">
        <f t="shared" si="79"/>
        <v>-1.6766076144692821</v>
      </c>
      <c r="O1058" s="9" t="str">
        <f t="shared" si="80"/>
        <v>2024-01</v>
      </c>
    </row>
    <row r="1059" spans="1:15" x14ac:dyDescent="0.25">
      <c r="A1059" s="9" t="s">
        <v>314</v>
      </c>
      <c r="B1059" s="9" t="s">
        <v>45</v>
      </c>
      <c r="C1059" s="25" t="s">
        <v>55</v>
      </c>
      <c r="D1059" s="19">
        <v>331.34</v>
      </c>
      <c r="E1059" s="19">
        <v>343.42</v>
      </c>
      <c r="F1059" s="19">
        <v>331.33</v>
      </c>
      <c r="G1059" s="19">
        <v>343.01</v>
      </c>
      <c r="H1059" s="19">
        <v>343.01</v>
      </c>
      <c r="I1059" s="15">
        <v>4851593</v>
      </c>
      <c r="J1059" s="19">
        <f t="shared" si="82"/>
        <v>3.522061930343459</v>
      </c>
      <c r="K1059" s="19"/>
      <c r="L1059" s="19"/>
      <c r="M1059" s="19">
        <f>MAX(G1050:G1059)</f>
        <v>343.01</v>
      </c>
      <c r="N1059" s="19">
        <f t="shared" si="79"/>
        <v>0</v>
      </c>
      <c r="O1059" s="9" t="str">
        <f t="shared" si="80"/>
        <v>2024-01</v>
      </c>
    </row>
    <row r="1060" spans="1:15" x14ac:dyDescent="0.25">
      <c r="A1060" s="9" t="s">
        <v>314</v>
      </c>
      <c r="B1060" s="9" t="s">
        <v>45</v>
      </c>
      <c r="C1060" s="25" t="s">
        <v>56</v>
      </c>
      <c r="D1060" s="19">
        <v>343.01</v>
      </c>
      <c r="E1060" s="19">
        <v>343.43</v>
      </c>
      <c r="F1060" s="19">
        <v>337.45</v>
      </c>
      <c r="G1060" s="19">
        <v>338.14</v>
      </c>
      <c r="H1060" s="19">
        <v>338.14</v>
      </c>
      <c r="I1060" s="15">
        <v>8129572</v>
      </c>
      <c r="J1060" s="19">
        <f t="shared" si="82"/>
        <v>-1.4197836797761012</v>
      </c>
      <c r="K1060" s="19"/>
      <c r="L1060" s="19"/>
      <c r="M1060" s="19">
        <f>MAX(G1050:G1060)</f>
        <v>343.01</v>
      </c>
      <c r="N1060" s="19">
        <f t="shared" si="79"/>
        <v>-1.4197836797761012</v>
      </c>
      <c r="O1060" s="9" t="str">
        <f t="shared" si="80"/>
        <v>2024-01</v>
      </c>
    </row>
    <row r="1061" spans="1:15" x14ac:dyDescent="0.25">
      <c r="A1061" s="9" t="s">
        <v>314</v>
      </c>
      <c r="B1061" s="9" t="s">
        <v>45</v>
      </c>
      <c r="C1061" s="25" t="s">
        <v>57</v>
      </c>
      <c r="D1061" s="19">
        <v>338.14</v>
      </c>
      <c r="E1061" s="19">
        <v>339.01</v>
      </c>
      <c r="F1061" s="19">
        <v>328.6</v>
      </c>
      <c r="G1061" s="19">
        <v>329.84</v>
      </c>
      <c r="H1061" s="19">
        <v>329.84</v>
      </c>
      <c r="I1061" s="15">
        <v>7654189</v>
      </c>
      <c r="J1061" s="19">
        <f t="shared" si="82"/>
        <v>-2.4546046016442928</v>
      </c>
      <c r="K1061" s="19"/>
      <c r="L1061" s="19"/>
      <c r="M1061" s="19">
        <f>MAX(G1050:G1061)</f>
        <v>343.01</v>
      </c>
      <c r="N1061" s="19">
        <f t="shared" si="79"/>
        <v>-3.8395382058832155</v>
      </c>
      <c r="O1061" s="9" t="str">
        <f t="shared" si="80"/>
        <v>2024-01</v>
      </c>
    </row>
    <row r="1062" spans="1:15" x14ac:dyDescent="0.25">
      <c r="A1062" s="9" t="s">
        <v>314</v>
      </c>
      <c r="B1062" s="9" t="s">
        <v>45</v>
      </c>
      <c r="C1062" s="25" t="s">
        <v>58</v>
      </c>
      <c r="D1062" s="19">
        <v>329.84</v>
      </c>
      <c r="E1062" s="19">
        <v>330.63</v>
      </c>
      <c r="F1062" s="19">
        <v>323.23</v>
      </c>
      <c r="G1062" s="19">
        <v>324.48</v>
      </c>
      <c r="H1062" s="19">
        <v>324.48</v>
      </c>
      <c r="I1062" s="15">
        <v>9001257</v>
      </c>
      <c r="J1062" s="19">
        <f t="shared" si="82"/>
        <v>-1.6250303177297956</v>
      </c>
      <c r="K1062" s="19"/>
      <c r="L1062" s="19"/>
      <c r="M1062" s="19">
        <f>MAX(G1050:G1062)</f>
        <v>343.01</v>
      </c>
      <c r="N1062" s="19">
        <f t="shared" si="79"/>
        <v>-5.4021748637065894</v>
      </c>
      <c r="O1062" s="9" t="str">
        <f t="shared" si="80"/>
        <v>2024-01</v>
      </c>
    </row>
    <row r="1063" spans="1:15" x14ac:dyDescent="0.25">
      <c r="A1063" s="9" t="s">
        <v>314</v>
      </c>
      <c r="B1063" s="9" t="s">
        <v>45</v>
      </c>
      <c r="C1063" s="25" t="s">
        <v>59</v>
      </c>
      <c r="D1063" s="19">
        <v>324.48</v>
      </c>
      <c r="E1063" s="19">
        <v>324.57</v>
      </c>
      <c r="F1063" s="19">
        <v>321.39</v>
      </c>
      <c r="G1063" s="19">
        <v>321.58</v>
      </c>
      <c r="H1063" s="19">
        <v>321.58</v>
      </c>
      <c r="I1063" s="15">
        <v>7190993</v>
      </c>
      <c r="J1063" s="19">
        <f t="shared" si="82"/>
        <v>-0.89373767258383685</v>
      </c>
      <c r="K1063" s="19"/>
      <c r="L1063" s="19"/>
      <c r="M1063" s="19">
        <f>MAX(G1050:G1063)</f>
        <v>343.01</v>
      </c>
      <c r="N1063" s="19">
        <f t="shared" si="79"/>
        <v>-6.2476312643946263</v>
      </c>
      <c r="O1063" s="9" t="str">
        <f t="shared" si="80"/>
        <v>2024-01</v>
      </c>
    </row>
    <row r="1064" spans="1:15" x14ac:dyDescent="0.25">
      <c r="A1064" s="9" t="s">
        <v>314</v>
      </c>
      <c r="B1064" s="9" t="s">
        <v>45</v>
      </c>
      <c r="C1064" s="25" t="s">
        <v>60</v>
      </c>
      <c r="D1064" s="19">
        <v>321.58</v>
      </c>
      <c r="E1064" s="19">
        <v>321.97000000000003</v>
      </c>
      <c r="F1064" s="19">
        <v>319.02999999999997</v>
      </c>
      <c r="G1064" s="19">
        <v>319.05</v>
      </c>
      <c r="H1064" s="19">
        <v>319.05</v>
      </c>
      <c r="I1064" s="15">
        <v>6251043</v>
      </c>
      <c r="J1064" s="19">
        <f t="shared" si="82"/>
        <v>-0.78674046893462668</v>
      </c>
      <c r="K1064" s="19"/>
      <c r="L1064" s="19"/>
      <c r="M1064" s="19">
        <f>MAX(G1050:G1064)</f>
        <v>343.01</v>
      </c>
      <c r="N1064" s="19">
        <f t="shared" si="79"/>
        <v>-6.9852190898224489</v>
      </c>
      <c r="O1064" s="9" t="str">
        <f t="shared" si="80"/>
        <v>2024-01</v>
      </c>
    </row>
    <row r="1065" spans="1:15" x14ac:dyDescent="0.25">
      <c r="A1065" s="9" t="s">
        <v>314</v>
      </c>
      <c r="B1065" s="9" t="s">
        <v>45</v>
      </c>
      <c r="C1065" s="25" t="s">
        <v>61</v>
      </c>
      <c r="D1065" s="19">
        <v>319.05</v>
      </c>
      <c r="E1065" s="19">
        <v>320.20999999999998</v>
      </c>
      <c r="F1065" s="19">
        <v>309.23</v>
      </c>
      <c r="G1065" s="19">
        <v>312.42</v>
      </c>
      <c r="H1065" s="19">
        <v>312.42</v>
      </c>
      <c r="I1065" s="15">
        <v>10242367</v>
      </c>
      <c r="J1065" s="19">
        <f t="shared" si="82"/>
        <v>-2.0780441937000456</v>
      </c>
      <c r="K1065" s="19"/>
      <c r="L1065" s="19"/>
      <c r="M1065" s="19">
        <f>MAX(G1050:G1065)</f>
        <v>343.01</v>
      </c>
      <c r="N1065" s="19">
        <f t="shared" si="79"/>
        <v>-8.9181073438092113</v>
      </c>
      <c r="O1065" s="9" t="str">
        <f t="shared" si="80"/>
        <v>2024-01</v>
      </c>
    </row>
    <row r="1066" spans="1:15" x14ac:dyDescent="0.25">
      <c r="A1066" s="9" t="s">
        <v>314</v>
      </c>
      <c r="B1066" s="9" t="s">
        <v>45</v>
      </c>
      <c r="C1066" s="25" t="s">
        <v>62</v>
      </c>
      <c r="D1066" s="19">
        <v>312.42</v>
      </c>
      <c r="E1066" s="19">
        <v>312.7</v>
      </c>
      <c r="F1066" s="19">
        <v>305.18</v>
      </c>
      <c r="G1066" s="19">
        <v>306.66000000000003</v>
      </c>
      <c r="H1066" s="19">
        <v>306.66000000000003</v>
      </c>
      <c r="I1066" s="15">
        <v>7240039</v>
      </c>
      <c r="J1066" s="19">
        <f t="shared" si="82"/>
        <v>-1.8436719800268837</v>
      </c>
      <c r="K1066" s="19"/>
      <c r="L1066" s="19"/>
      <c r="M1066" s="19">
        <f>MAX(G1050:G1066)</f>
        <v>343.01</v>
      </c>
      <c r="N1066" s="19">
        <f t="shared" si="79"/>
        <v>-10.597358677589565</v>
      </c>
      <c r="O1066" s="9" t="str">
        <f t="shared" si="80"/>
        <v>2024-01</v>
      </c>
    </row>
    <row r="1067" spans="1:15" x14ac:dyDescent="0.25">
      <c r="A1067" s="9" t="s">
        <v>314</v>
      </c>
      <c r="B1067" s="9" t="s">
        <v>45</v>
      </c>
      <c r="C1067" s="25" t="s">
        <v>63</v>
      </c>
      <c r="D1067" s="19">
        <v>306.66000000000003</v>
      </c>
      <c r="E1067" s="19">
        <v>328.62</v>
      </c>
      <c r="F1067" s="19">
        <v>304.98</v>
      </c>
      <c r="G1067" s="19">
        <v>327.62</v>
      </c>
      <c r="H1067" s="19">
        <v>327.62</v>
      </c>
      <c r="I1067" s="15">
        <v>22397909</v>
      </c>
      <c r="J1067" s="19">
        <f t="shared" si="82"/>
        <v>6.8349311941563879</v>
      </c>
      <c r="K1067" s="19"/>
      <c r="L1067" s="19"/>
      <c r="M1067" s="19">
        <f>MAX(G1050:G1067)</f>
        <v>343.01</v>
      </c>
      <c r="N1067" s="19">
        <f t="shared" si="79"/>
        <v>-4.4867496574443857</v>
      </c>
      <c r="O1067" s="9" t="str">
        <f t="shared" si="80"/>
        <v>2024-01</v>
      </c>
    </row>
    <row r="1068" spans="1:15" x14ac:dyDescent="0.25">
      <c r="A1068" s="9" t="s">
        <v>314</v>
      </c>
      <c r="B1068" s="9" t="s">
        <v>45</v>
      </c>
      <c r="C1068" s="25" t="s">
        <v>64</v>
      </c>
      <c r="D1068" s="19">
        <v>327.62</v>
      </c>
      <c r="E1068" s="19">
        <v>328.38</v>
      </c>
      <c r="F1068" s="19">
        <v>322.08</v>
      </c>
      <c r="G1068" s="19">
        <v>323.29000000000002</v>
      </c>
      <c r="H1068" s="19">
        <v>323.29000000000002</v>
      </c>
      <c r="I1068" s="15">
        <v>6814950</v>
      </c>
      <c r="J1068" s="19">
        <f t="shared" si="82"/>
        <v>-1.3216531347292546</v>
      </c>
      <c r="K1068" s="19"/>
      <c r="L1068" s="19"/>
      <c r="M1068" s="19">
        <f>MAX(G1050:G1068)</f>
        <v>343.01</v>
      </c>
      <c r="N1068" s="19">
        <f t="shared" si="79"/>
        <v>-5.7491035246785724</v>
      </c>
      <c r="O1068" s="9" t="str">
        <f t="shared" si="80"/>
        <v>2024-01</v>
      </c>
    </row>
    <row r="1069" spans="1:15" x14ac:dyDescent="0.25">
      <c r="A1069" s="9" t="s">
        <v>314</v>
      </c>
      <c r="B1069" s="9" t="s">
        <v>45</v>
      </c>
      <c r="C1069" s="25" t="s">
        <v>65</v>
      </c>
      <c r="D1069" s="19">
        <v>323.29000000000002</v>
      </c>
      <c r="E1069" s="19">
        <v>323.95</v>
      </c>
      <c r="F1069" s="19">
        <v>317.95999999999998</v>
      </c>
      <c r="G1069" s="19">
        <v>318.11</v>
      </c>
      <c r="H1069" s="19">
        <v>318.11</v>
      </c>
      <c r="I1069" s="15">
        <v>6955624</v>
      </c>
      <c r="J1069" s="19">
        <f t="shared" si="82"/>
        <v>-1.602276593770301</v>
      </c>
      <c r="K1069" s="19">
        <f t="shared" ref="K1069:K1132" si="83">AVERAGE(G1050:G1069)</f>
        <v>327.79200000000003</v>
      </c>
      <c r="L1069" s="19"/>
      <c r="M1069" s="19">
        <f>MAX(G1050:G1069)</f>
        <v>343.01</v>
      </c>
      <c r="N1069" s="19">
        <f t="shared" si="79"/>
        <v>-7.2592635783213249</v>
      </c>
      <c r="O1069" s="9" t="str">
        <f t="shared" si="80"/>
        <v>2024-01</v>
      </c>
    </row>
    <row r="1070" spans="1:15" x14ac:dyDescent="0.25">
      <c r="A1070" s="9" t="s">
        <v>314</v>
      </c>
      <c r="B1070" s="9" t="s">
        <v>45</v>
      </c>
      <c r="C1070" s="25" t="s">
        <v>66</v>
      </c>
      <c r="D1070" s="19">
        <v>318.11</v>
      </c>
      <c r="E1070" s="19">
        <v>323.64999999999998</v>
      </c>
      <c r="F1070" s="19">
        <v>317.24</v>
      </c>
      <c r="G1070" s="19">
        <v>321.97000000000003</v>
      </c>
      <c r="H1070" s="19">
        <v>321.97000000000003</v>
      </c>
      <c r="I1070" s="15">
        <v>6900280</v>
      </c>
      <c r="J1070" s="19">
        <f t="shared" si="82"/>
        <v>1.2134167426361993</v>
      </c>
      <c r="K1070" s="19">
        <f t="shared" si="83"/>
        <v>327.12700000000001</v>
      </c>
      <c r="L1070" s="19"/>
      <c r="M1070" s="19">
        <f>MAX(G1050:G1070)</f>
        <v>343.01</v>
      </c>
      <c r="N1070" s="19">
        <f t="shared" si="79"/>
        <v>-6.1339319553365694</v>
      </c>
      <c r="O1070" s="9" t="str">
        <f t="shared" si="80"/>
        <v>2024-01</v>
      </c>
    </row>
    <row r="1071" spans="1:15" x14ac:dyDescent="0.25">
      <c r="A1071" s="9" t="s">
        <v>314</v>
      </c>
      <c r="B1071" s="9" t="s">
        <v>45</v>
      </c>
      <c r="C1071" s="25" t="s">
        <v>67</v>
      </c>
      <c r="D1071" s="19">
        <v>321.97000000000003</v>
      </c>
      <c r="E1071" s="19">
        <v>327.11</v>
      </c>
      <c r="F1071" s="19">
        <v>320.67</v>
      </c>
      <c r="G1071" s="19">
        <v>325.5</v>
      </c>
      <c r="H1071" s="19">
        <v>325.5</v>
      </c>
      <c r="I1071" s="15">
        <v>8770525</v>
      </c>
      <c r="J1071" s="19">
        <f t="shared" si="82"/>
        <v>1.0963754387054607</v>
      </c>
      <c r="K1071" s="19">
        <f t="shared" si="83"/>
        <v>326.60950000000003</v>
      </c>
      <c r="L1071" s="19"/>
      <c r="M1071" s="19">
        <f>MAX(G1050:G1071)</f>
        <v>343.01</v>
      </c>
      <c r="N1071" s="19">
        <f t="shared" si="79"/>
        <v>-5.104807440016323</v>
      </c>
      <c r="O1071" s="9" t="str">
        <f t="shared" si="80"/>
        <v>2024-01</v>
      </c>
    </row>
    <row r="1072" spans="1:15" x14ac:dyDescent="0.25">
      <c r="A1072" s="9" t="s">
        <v>314</v>
      </c>
      <c r="B1072" s="9" t="s">
        <v>45</v>
      </c>
      <c r="C1072" s="25" t="s">
        <v>68</v>
      </c>
      <c r="D1072" s="19">
        <v>325.5</v>
      </c>
      <c r="E1072" s="19">
        <v>328.13</v>
      </c>
      <c r="F1072" s="19">
        <v>325.12</v>
      </c>
      <c r="G1072" s="19">
        <v>327.98</v>
      </c>
      <c r="H1072" s="19">
        <v>327.98</v>
      </c>
      <c r="I1072" s="15">
        <v>6246363</v>
      </c>
      <c r="J1072" s="19">
        <f t="shared" si="82"/>
        <v>0.76190476190476741</v>
      </c>
      <c r="K1072" s="19">
        <f t="shared" si="83"/>
        <v>326.15899999999999</v>
      </c>
      <c r="L1072" s="19"/>
      <c r="M1072" s="19">
        <f>MAX(G1050:G1072)</f>
        <v>343.01</v>
      </c>
      <c r="N1072" s="19">
        <f t="shared" si="79"/>
        <v>-4.3817964490831089</v>
      </c>
      <c r="O1072" s="9" t="str">
        <f t="shared" si="80"/>
        <v>2024-01</v>
      </c>
    </row>
    <row r="1073" spans="1:15" x14ac:dyDescent="0.25">
      <c r="A1073" s="9" t="s">
        <v>314</v>
      </c>
      <c r="B1073" s="9" t="s">
        <v>45</v>
      </c>
      <c r="C1073" s="25" t="s">
        <v>69</v>
      </c>
      <c r="D1073" s="19">
        <v>327.98</v>
      </c>
      <c r="E1073" s="19">
        <v>328.47</v>
      </c>
      <c r="F1073" s="19">
        <v>326.24</v>
      </c>
      <c r="G1073" s="19">
        <v>327.3</v>
      </c>
      <c r="H1073" s="19">
        <v>327.3</v>
      </c>
      <c r="I1073" s="15">
        <v>6294913</v>
      </c>
      <c r="J1073" s="19">
        <f t="shared" si="82"/>
        <v>-0.20732971522654026</v>
      </c>
      <c r="K1073" s="19">
        <f t="shared" si="83"/>
        <v>325.91550000000001</v>
      </c>
      <c r="L1073" s="19"/>
      <c r="M1073" s="19">
        <f>MAX(G1050:G1073)</f>
        <v>343.01</v>
      </c>
      <c r="N1073" s="19">
        <f t="shared" si="79"/>
        <v>-4.5800413982099588</v>
      </c>
      <c r="O1073" s="9" t="str">
        <f t="shared" si="80"/>
        <v>2024-02</v>
      </c>
    </row>
    <row r="1074" spans="1:15" x14ac:dyDescent="0.25">
      <c r="A1074" s="9" t="s">
        <v>314</v>
      </c>
      <c r="B1074" s="9" t="s">
        <v>45</v>
      </c>
      <c r="C1074" s="25" t="s">
        <v>70</v>
      </c>
      <c r="D1074" s="19">
        <v>327.3</v>
      </c>
      <c r="E1074" s="19">
        <v>329.16</v>
      </c>
      <c r="F1074" s="19">
        <v>325.32</v>
      </c>
      <c r="G1074" s="19">
        <v>327.44</v>
      </c>
      <c r="H1074" s="19">
        <v>327.44</v>
      </c>
      <c r="I1074" s="15">
        <v>7338254</v>
      </c>
      <c r="J1074" s="19">
        <f t="shared" si="82"/>
        <v>4.2774213260001942E-2</v>
      </c>
      <c r="K1074" s="19">
        <f t="shared" si="83"/>
        <v>325.92399999999998</v>
      </c>
      <c r="L1074" s="19"/>
      <c r="M1074" s="19">
        <f>MAX(G1050:G1074)</f>
        <v>343.01</v>
      </c>
      <c r="N1074" s="19">
        <f t="shared" si="79"/>
        <v>-4.5392262616250232</v>
      </c>
      <c r="O1074" s="9" t="str">
        <f t="shared" si="80"/>
        <v>2024-02</v>
      </c>
    </row>
    <row r="1075" spans="1:15" x14ac:dyDescent="0.25">
      <c r="A1075" s="9" t="s">
        <v>314</v>
      </c>
      <c r="B1075" s="9" t="s">
        <v>45</v>
      </c>
      <c r="C1075" s="25" t="s">
        <v>71</v>
      </c>
      <c r="D1075" s="19">
        <v>327.44</v>
      </c>
      <c r="E1075" s="19">
        <v>328.72</v>
      </c>
      <c r="F1075" s="19">
        <v>326.31</v>
      </c>
      <c r="G1075" s="19">
        <v>327.10000000000002</v>
      </c>
      <c r="H1075" s="19">
        <v>327.10000000000002</v>
      </c>
      <c r="I1075" s="15">
        <v>7818038</v>
      </c>
      <c r="J1075" s="19">
        <f t="shared" si="82"/>
        <v>-0.10383581724895401</v>
      </c>
      <c r="K1075" s="19">
        <f t="shared" si="83"/>
        <v>325.846</v>
      </c>
      <c r="L1075" s="19"/>
      <c r="M1075" s="19">
        <f>MAX(G1050:G1075)</f>
        <v>343.01</v>
      </c>
      <c r="N1075" s="19">
        <f t="shared" si="79"/>
        <v>-4.6383487361884397</v>
      </c>
      <c r="O1075" s="9" t="str">
        <f t="shared" si="80"/>
        <v>2024-02</v>
      </c>
    </row>
    <row r="1076" spans="1:15" x14ac:dyDescent="0.25">
      <c r="A1076" s="9" t="s">
        <v>314</v>
      </c>
      <c r="B1076" s="9" t="s">
        <v>45</v>
      </c>
      <c r="C1076" s="25" t="s">
        <v>72</v>
      </c>
      <c r="D1076" s="19">
        <v>327.10000000000002</v>
      </c>
      <c r="E1076" s="19">
        <v>333.1</v>
      </c>
      <c r="F1076" s="19">
        <v>327.08999999999997</v>
      </c>
      <c r="G1076" s="19">
        <v>332.34</v>
      </c>
      <c r="H1076" s="19">
        <v>332.34</v>
      </c>
      <c r="I1076" s="15">
        <v>6697762</v>
      </c>
      <c r="J1076" s="19">
        <f t="shared" si="82"/>
        <v>1.6019565881993127</v>
      </c>
      <c r="K1076" s="19">
        <f t="shared" si="83"/>
        <v>325.8075</v>
      </c>
      <c r="L1076" s="19"/>
      <c r="M1076" s="19">
        <f>MAX(G1050:G1076)</f>
        <v>343.01</v>
      </c>
      <c r="N1076" s="19">
        <f t="shared" si="79"/>
        <v>-3.1106964811521576</v>
      </c>
      <c r="O1076" s="9" t="str">
        <f t="shared" si="80"/>
        <v>2024-02</v>
      </c>
    </row>
    <row r="1077" spans="1:15" x14ac:dyDescent="0.25">
      <c r="A1077" s="9" t="s">
        <v>314</v>
      </c>
      <c r="B1077" s="9" t="s">
        <v>45</v>
      </c>
      <c r="C1077" s="25" t="s">
        <v>73</v>
      </c>
      <c r="D1077" s="19">
        <v>332.34</v>
      </c>
      <c r="E1077" s="19">
        <v>335.36</v>
      </c>
      <c r="F1077" s="19">
        <v>328.19</v>
      </c>
      <c r="G1077" s="19">
        <v>328.99</v>
      </c>
      <c r="H1077" s="19">
        <v>328.99</v>
      </c>
      <c r="I1077" s="15">
        <v>10866876</v>
      </c>
      <c r="J1077" s="19">
        <f t="shared" si="82"/>
        <v>-1.0080038514773924</v>
      </c>
      <c r="K1077" s="19">
        <f t="shared" si="83"/>
        <v>325.70799999999997</v>
      </c>
      <c r="L1077" s="19"/>
      <c r="M1077" s="19">
        <f>MAX(G1050:G1077)</f>
        <v>343.01</v>
      </c>
      <c r="N1077" s="19">
        <f t="shared" si="79"/>
        <v>-4.0873443922917652</v>
      </c>
      <c r="O1077" s="9" t="str">
        <f t="shared" si="80"/>
        <v>2024-02</v>
      </c>
    </row>
    <row r="1078" spans="1:15" x14ac:dyDescent="0.25">
      <c r="A1078" s="9" t="s">
        <v>314</v>
      </c>
      <c r="B1078" s="9" t="s">
        <v>45</v>
      </c>
      <c r="C1078" s="25" t="s">
        <v>74</v>
      </c>
      <c r="D1078" s="19">
        <v>328.99</v>
      </c>
      <c r="E1078" s="19">
        <v>337.91</v>
      </c>
      <c r="F1078" s="19">
        <v>328.83</v>
      </c>
      <c r="G1078" s="19">
        <v>334.95</v>
      </c>
      <c r="H1078" s="19">
        <v>334.95</v>
      </c>
      <c r="I1078" s="15">
        <v>6278035</v>
      </c>
      <c r="J1078" s="19">
        <f t="shared" si="82"/>
        <v>1.8116052159640048</v>
      </c>
      <c r="K1078" s="19">
        <f t="shared" si="83"/>
        <v>325.88849999999996</v>
      </c>
      <c r="L1078" s="19"/>
      <c r="M1078" s="19">
        <f>MAX(G1050:G1078)</f>
        <v>343.01</v>
      </c>
      <c r="N1078" s="19">
        <f t="shared" si="79"/>
        <v>-2.34978572053293</v>
      </c>
      <c r="O1078" s="9" t="str">
        <f t="shared" si="80"/>
        <v>2024-02</v>
      </c>
    </row>
    <row r="1079" spans="1:15" x14ac:dyDescent="0.25">
      <c r="A1079" s="9" t="s">
        <v>314</v>
      </c>
      <c r="B1079" s="9" t="s">
        <v>45</v>
      </c>
      <c r="C1079" s="25" t="s">
        <v>75</v>
      </c>
      <c r="D1079" s="19">
        <v>334.95</v>
      </c>
      <c r="E1079" s="19">
        <v>336.47</v>
      </c>
      <c r="F1079" s="19">
        <v>334.04</v>
      </c>
      <c r="G1079" s="19">
        <v>335.33</v>
      </c>
      <c r="H1079" s="19">
        <v>335.33</v>
      </c>
      <c r="I1079" s="15">
        <v>9702880</v>
      </c>
      <c r="J1079" s="19">
        <f t="shared" si="82"/>
        <v>0.11344976862218106</v>
      </c>
      <c r="K1079" s="19">
        <f t="shared" si="83"/>
        <v>325.50449999999995</v>
      </c>
      <c r="L1079" s="19"/>
      <c r="M1079" s="19">
        <f>MAX(G1050:G1079)</f>
        <v>343.01</v>
      </c>
      <c r="N1079" s="19">
        <f t="shared" si="79"/>
        <v>-2.2390017783738103</v>
      </c>
      <c r="O1079" s="9" t="str">
        <f t="shared" si="80"/>
        <v>2024-02</v>
      </c>
    </row>
    <row r="1080" spans="1:15" x14ac:dyDescent="0.25">
      <c r="A1080" s="9" t="s">
        <v>314</v>
      </c>
      <c r="B1080" s="9" t="s">
        <v>45</v>
      </c>
      <c r="C1080" s="25" t="s">
        <v>76</v>
      </c>
      <c r="D1080" s="19">
        <v>335.33</v>
      </c>
      <c r="E1080" s="19">
        <v>335.49</v>
      </c>
      <c r="F1080" s="19">
        <v>333.28</v>
      </c>
      <c r="G1080" s="19">
        <v>334.57</v>
      </c>
      <c r="H1080" s="19">
        <v>334.57</v>
      </c>
      <c r="I1080" s="15">
        <v>7873136</v>
      </c>
      <c r="J1080" s="19">
        <f t="shared" si="82"/>
        <v>-0.2266424119524024</v>
      </c>
      <c r="K1080" s="19">
        <f t="shared" si="83"/>
        <v>325.32599999999996</v>
      </c>
      <c r="L1080" s="19"/>
      <c r="M1080" s="19">
        <f>MAX(G1050:G1080)</f>
        <v>343.01</v>
      </c>
      <c r="N1080" s="19">
        <f t="shared" si="79"/>
        <v>-2.4605696626920492</v>
      </c>
      <c r="O1080" s="9" t="str">
        <f t="shared" si="80"/>
        <v>2024-02</v>
      </c>
    </row>
    <row r="1081" spans="1:15" x14ac:dyDescent="0.25">
      <c r="A1081" s="9" t="s">
        <v>314</v>
      </c>
      <c r="B1081" s="9" t="s">
        <v>45</v>
      </c>
      <c r="C1081" s="25" t="s">
        <v>77</v>
      </c>
      <c r="D1081" s="19">
        <v>334.57</v>
      </c>
      <c r="E1081" s="19">
        <v>335.07</v>
      </c>
      <c r="F1081" s="19">
        <v>331.1</v>
      </c>
      <c r="G1081" s="19">
        <v>331.15</v>
      </c>
      <c r="H1081" s="19">
        <v>331.15</v>
      </c>
      <c r="I1081" s="15">
        <v>5563487</v>
      </c>
      <c r="J1081" s="19">
        <f t="shared" si="82"/>
        <v>-1.0222076097677664</v>
      </c>
      <c r="K1081" s="19">
        <f t="shared" si="83"/>
        <v>325.39150000000001</v>
      </c>
      <c r="L1081" s="19"/>
      <c r="M1081" s="19">
        <f>MAX(G1050:G1081)</f>
        <v>343.01</v>
      </c>
      <c r="N1081" s="19">
        <f t="shared" si="79"/>
        <v>-3.4576251421241406</v>
      </c>
      <c r="O1081" s="9" t="str">
        <f t="shared" si="80"/>
        <v>2024-02</v>
      </c>
    </row>
    <row r="1082" spans="1:15" x14ac:dyDescent="0.25">
      <c r="A1082" s="9" t="s">
        <v>314</v>
      </c>
      <c r="B1082" s="9" t="s">
        <v>45</v>
      </c>
      <c r="C1082" s="25" t="s">
        <v>78</v>
      </c>
      <c r="D1082" s="19">
        <v>331.15</v>
      </c>
      <c r="E1082" s="19">
        <v>332.67</v>
      </c>
      <c r="F1082" s="19">
        <v>330.84</v>
      </c>
      <c r="G1082" s="19">
        <v>331.57</v>
      </c>
      <c r="H1082" s="19">
        <v>331.57</v>
      </c>
      <c r="I1082" s="15">
        <v>5820074</v>
      </c>
      <c r="J1082" s="19">
        <f t="shared" si="82"/>
        <v>0.12683074135588585</v>
      </c>
      <c r="K1082" s="19">
        <f t="shared" si="83"/>
        <v>325.74599999999998</v>
      </c>
      <c r="L1082" s="19"/>
      <c r="M1082" s="19">
        <f>MAX(G1050:G1082)</f>
        <v>343.01</v>
      </c>
      <c r="N1082" s="19">
        <f t="shared" si="79"/>
        <v>-3.3351797323693178</v>
      </c>
      <c r="O1082" s="9" t="str">
        <f t="shared" si="80"/>
        <v>2024-02</v>
      </c>
    </row>
    <row r="1083" spans="1:15" x14ac:dyDescent="0.25">
      <c r="A1083" s="9" t="s">
        <v>314</v>
      </c>
      <c r="B1083" s="9" t="s">
        <v>45</v>
      </c>
      <c r="C1083" s="25" t="s">
        <v>79</v>
      </c>
      <c r="D1083" s="19">
        <v>331.57</v>
      </c>
      <c r="E1083" s="19">
        <v>332.6</v>
      </c>
      <c r="F1083" s="19">
        <v>329.22</v>
      </c>
      <c r="G1083" s="19">
        <v>330.69</v>
      </c>
      <c r="H1083" s="19">
        <v>330.69</v>
      </c>
      <c r="I1083" s="15">
        <v>7114449</v>
      </c>
      <c r="J1083" s="19">
        <f t="shared" si="82"/>
        <v>-0.26540398709171381</v>
      </c>
      <c r="K1083" s="19">
        <f t="shared" si="83"/>
        <v>326.2014999999999</v>
      </c>
      <c r="L1083" s="19"/>
      <c r="M1083" s="19">
        <f>MAX(G1050:G1083)</f>
        <v>343.01</v>
      </c>
      <c r="N1083" s="19">
        <f t="shared" si="79"/>
        <v>-3.5917320194746494</v>
      </c>
      <c r="O1083" s="9" t="str">
        <f t="shared" si="80"/>
        <v>2024-02</v>
      </c>
    </row>
    <row r="1084" spans="1:15" x14ac:dyDescent="0.25">
      <c r="A1084" s="9" t="s">
        <v>314</v>
      </c>
      <c r="B1084" s="9" t="s">
        <v>45</v>
      </c>
      <c r="C1084" s="25" t="s">
        <v>80</v>
      </c>
      <c r="D1084" s="19">
        <v>330.69</v>
      </c>
      <c r="E1084" s="19">
        <v>332.6</v>
      </c>
      <c r="F1084" s="19">
        <v>330.27</v>
      </c>
      <c r="G1084" s="19">
        <v>332.38</v>
      </c>
      <c r="H1084" s="19">
        <v>332.38</v>
      </c>
      <c r="I1084" s="15">
        <v>7993755</v>
      </c>
      <c r="J1084" s="19">
        <f t="shared" si="82"/>
        <v>0.51105264749463175</v>
      </c>
      <c r="K1084" s="19">
        <f t="shared" si="83"/>
        <v>326.86799999999994</v>
      </c>
      <c r="L1084" s="19"/>
      <c r="M1084" s="19">
        <f>MAX(G1050:G1084)</f>
        <v>343.01</v>
      </c>
      <c r="N1084" s="19">
        <f t="shared" si="79"/>
        <v>-3.0990350135564548</v>
      </c>
      <c r="O1084" s="9" t="str">
        <f t="shared" si="80"/>
        <v>2024-02</v>
      </c>
    </row>
    <row r="1085" spans="1:15" x14ac:dyDescent="0.25">
      <c r="A1085" s="9" t="s">
        <v>314</v>
      </c>
      <c r="B1085" s="9" t="s">
        <v>45</v>
      </c>
      <c r="C1085" s="25" t="s">
        <v>81</v>
      </c>
      <c r="D1085" s="19">
        <v>332.38</v>
      </c>
      <c r="E1085" s="19">
        <v>336.57</v>
      </c>
      <c r="F1085" s="19">
        <v>329.55</v>
      </c>
      <c r="G1085" s="19">
        <v>336.09</v>
      </c>
      <c r="H1085" s="19">
        <v>336.09</v>
      </c>
      <c r="I1085" s="15">
        <v>9652827</v>
      </c>
      <c r="J1085" s="19">
        <f t="shared" si="82"/>
        <v>1.1161923100066129</v>
      </c>
      <c r="K1085" s="19">
        <f t="shared" si="83"/>
        <v>328.05149999999992</v>
      </c>
      <c r="L1085" s="19"/>
      <c r="M1085" s="19">
        <f>MAX(G1050:G1085)</f>
        <v>343.01</v>
      </c>
      <c r="N1085" s="19">
        <f t="shared" si="79"/>
        <v>-2.0174338940555718</v>
      </c>
      <c r="O1085" s="9" t="str">
        <f t="shared" si="80"/>
        <v>2024-02</v>
      </c>
    </row>
    <row r="1086" spans="1:15" x14ac:dyDescent="0.25">
      <c r="A1086" s="9" t="s">
        <v>314</v>
      </c>
      <c r="B1086" s="9" t="s">
        <v>45</v>
      </c>
      <c r="C1086" s="25" t="s">
        <v>82</v>
      </c>
      <c r="D1086" s="19">
        <v>336.09</v>
      </c>
      <c r="E1086" s="19">
        <v>340.24</v>
      </c>
      <c r="F1086" s="19">
        <v>335.89</v>
      </c>
      <c r="G1086" s="19">
        <v>338.08</v>
      </c>
      <c r="H1086" s="19">
        <v>338.08</v>
      </c>
      <c r="I1086" s="15">
        <v>7125278</v>
      </c>
      <c r="J1086" s="19">
        <f t="shared" si="82"/>
        <v>0.5921033056621765</v>
      </c>
      <c r="K1086" s="19">
        <f t="shared" si="83"/>
        <v>329.62249999999995</v>
      </c>
      <c r="L1086" s="19"/>
      <c r="M1086" s="19">
        <f>MAX(G1050:G1086)</f>
        <v>343.01</v>
      </c>
      <c r="N1086" s="19">
        <f t="shared" si="79"/>
        <v>-1.4372758811696471</v>
      </c>
      <c r="O1086" s="9" t="str">
        <f t="shared" si="80"/>
        <v>2024-02</v>
      </c>
    </row>
    <row r="1087" spans="1:15" x14ac:dyDescent="0.25">
      <c r="A1087" s="9" t="s">
        <v>314</v>
      </c>
      <c r="B1087" s="9" t="s">
        <v>45</v>
      </c>
      <c r="C1087" s="25" t="s">
        <v>83</v>
      </c>
      <c r="D1087" s="19">
        <v>338.08</v>
      </c>
      <c r="E1087" s="19">
        <v>339.31</v>
      </c>
      <c r="F1087" s="19">
        <v>333.67</v>
      </c>
      <c r="G1087" s="19">
        <v>334.39</v>
      </c>
      <c r="H1087" s="19">
        <v>334.39</v>
      </c>
      <c r="I1087" s="15">
        <v>8753727</v>
      </c>
      <c r="J1087" s="19">
        <f t="shared" si="82"/>
        <v>-1.0914576431613814</v>
      </c>
      <c r="K1087" s="19">
        <f t="shared" si="83"/>
        <v>329.96099999999996</v>
      </c>
      <c r="L1087" s="19"/>
      <c r="M1087" s="19">
        <f>MAX(G1050:G1087)</f>
        <v>343.01</v>
      </c>
      <c r="N1087" s="19">
        <f t="shared" si="79"/>
        <v>-2.5130462668726872</v>
      </c>
      <c r="O1087" s="9" t="str">
        <f t="shared" si="80"/>
        <v>2024-02</v>
      </c>
    </row>
    <row r="1088" spans="1:15" x14ac:dyDescent="0.25">
      <c r="A1088" s="9" t="s">
        <v>314</v>
      </c>
      <c r="B1088" s="9" t="s">
        <v>45</v>
      </c>
      <c r="C1088" s="25" t="s">
        <v>84</v>
      </c>
      <c r="D1088" s="19">
        <v>334.39</v>
      </c>
      <c r="E1088" s="19">
        <v>334.76</v>
      </c>
      <c r="F1088" s="19">
        <v>330.22</v>
      </c>
      <c r="G1088" s="19">
        <v>331.81</v>
      </c>
      <c r="H1088" s="19">
        <v>331.81</v>
      </c>
      <c r="I1088" s="15">
        <v>7904626</v>
      </c>
      <c r="J1088" s="19">
        <f t="shared" si="82"/>
        <v>-0.77155417327072706</v>
      </c>
      <c r="K1088" s="19">
        <f t="shared" si="83"/>
        <v>330.38700000000006</v>
      </c>
      <c r="L1088" s="19"/>
      <c r="M1088" s="19">
        <f>MAX(G1050:G1088)</f>
        <v>343.01</v>
      </c>
      <c r="N1088" s="19">
        <f t="shared" si="79"/>
        <v>-3.2652109267951341</v>
      </c>
      <c r="O1088" s="9" t="str">
        <f t="shared" si="80"/>
        <v>2024-02</v>
      </c>
    </row>
    <row r="1089" spans="1:15" x14ac:dyDescent="0.25">
      <c r="A1089" s="9" t="s">
        <v>314</v>
      </c>
      <c r="B1089" s="9" t="s">
        <v>45</v>
      </c>
      <c r="C1089" s="25" t="s">
        <v>85</v>
      </c>
      <c r="D1089" s="19">
        <v>331.81</v>
      </c>
      <c r="E1089" s="19">
        <v>334.16</v>
      </c>
      <c r="F1089" s="19">
        <v>326.64999999999998</v>
      </c>
      <c r="G1089" s="19">
        <v>327.52</v>
      </c>
      <c r="H1089" s="19">
        <v>327.52</v>
      </c>
      <c r="I1089" s="15">
        <v>11444592</v>
      </c>
      <c r="J1089" s="19">
        <f t="shared" si="82"/>
        <v>-1.2929085922666648</v>
      </c>
      <c r="K1089" s="19">
        <f t="shared" si="83"/>
        <v>330.85749999999996</v>
      </c>
      <c r="L1089" s="19"/>
      <c r="M1089" s="19">
        <f>MAX(G1050:G1089)</f>
        <v>343.01</v>
      </c>
      <c r="N1089" s="19">
        <f t="shared" si="79"/>
        <v>-4.5159033264336346</v>
      </c>
      <c r="O1089" s="9" t="str">
        <f t="shared" si="80"/>
        <v>2024-02</v>
      </c>
    </row>
    <row r="1090" spans="1:15" x14ac:dyDescent="0.25">
      <c r="A1090" s="9" t="s">
        <v>314</v>
      </c>
      <c r="B1090" s="9" t="s">
        <v>45</v>
      </c>
      <c r="C1090" s="25" t="s">
        <v>86</v>
      </c>
      <c r="D1090" s="19">
        <v>327.52</v>
      </c>
      <c r="E1090" s="19">
        <v>329.62</v>
      </c>
      <c r="F1090" s="19">
        <v>325.95</v>
      </c>
      <c r="G1090" s="19">
        <v>328.49</v>
      </c>
      <c r="H1090" s="19">
        <v>328.49</v>
      </c>
      <c r="I1090" s="15">
        <v>7441055</v>
      </c>
      <c r="J1090" s="19">
        <f t="shared" si="82"/>
        <v>0.2961651196873557</v>
      </c>
      <c r="K1090" s="19">
        <f t="shared" si="83"/>
        <v>331.18349999999998</v>
      </c>
      <c r="L1090" s="19"/>
      <c r="M1090" s="19">
        <f>MAX(G1050:G1090)</f>
        <v>343.01</v>
      </c>
      <c r="N1090" s="19">
        <f t="shared" ref="N1090:N1153" si="84">(G1090-M1090)/M1090*100</f>
        <v>-4.2331127372379758</v>
      </c>
      <c r="O1090" s="9" t="str">
        <f t="shared" ref="O1090:O1153" si="85">TEXT(C1090,"yyyy-mm")</f>
        <v>2024-02</v>
      </c>
    </row>
    <row r="1091" spans="1:15" x14ac:dyDescent="0.25">
      <c r="A1091" s="9" t="s">
        <v>314</v>
      </c>
      <c r="B1091" s="9" t="s">
        <v>45</v>
      </c>
      <c r="C1091" s="25" t="s">
        <v>87</v>
      </c>
      <c r="D1091" s="19">
        <v>328.49</v>
      </c>
      <c r="E1091" s="19">
        <v>335.15</v>
      </c>
      <c r="F1091" s="19">
        <v>328.02</v>
      </c>
      <c r="G1091" s="19">
        <v>334.82</v>
      </c>
      <c r="H1091" s="19">
        <v>334.82</v>
      </c>
      <c r="I1091" s="15">
        <v>9464586</v>
      </c>
      <c r="J1091" s="19">
        <f t="shared" si="82"/>
        <v>1.9269992998264738</v>
      </c>
      <c r="K1091" s="19">
        <f t="shared" si="83"/>
        <v>331.64949999999999</v>
      </c>
      <c r="L1091" s="19"/>
      <c r="M1091" s="19">
        <f>MAX(G1050:G1091)</f>
        <v>343.01</v>
      </c>
      <c r="N1091" s="19">
        <f t="shared" si="84"/>
        <v>-2.3876854902189435</v>
      </c>
      <c r="O1091" s="9" t="str">
        <f t="shared" si="85"/>
        <v>2024-02</v>
      </c>
    </row>
    <row r="1092" spans="1:15" x14ac:dyDescent="0.25">
      <c r="A1092" s="9" t="s">
        <v>314</v>
      </c>
      <c r="B1092" s="9" t="s">
        <v>45</v>
      </c>
      <c r="C1092" s="25" t="s">
        <v>88</v>
      </c>
      <c r="D1092" s="19">
        <v>334.82</v>
      </c>
      <c r="E1092" s="19">
        <v>336.47</v>
      </c>
      <c r="F1092" s="19">
        <v>333.35</v>
      </c>
      <c r="G1092" s="19">
        <v>336.21</v>
      </c>
      <c r="H1092" s="19">
        <v>336.21</v>
      </c>
      <c r="I1092" s="15">
        <v>5940546</v>
      </c>
      <c r="J1092" s="19">
        <f t="shared" si="82"/>
        <v>0.41514843796666456</v>
      </c>
      <c r="K1092" s="19">
        <f t="shared" si="83"/>
        <v>332.06100000000004</v>
      </c>
      <c r="L1092" s="19"/>
      <c r="M1092" s="19">
        <f>MAX(G1050:G1092)</f>
        <v>343.01</v>
      </c>
      <c r="N1092" s="19">
        <f t="shared" si="84"/>
        <v>-1.9824494912684794</v>
      </c>
      <c r="O1092" s="9" t="str">
        <f t="shared" si="85"/>
        <v>2024-02</v>
      </c>
    </row>
    <row r="1093" spans="1:15" x14ac:dyDescent="0.25">
      <c r="A1093" s="9" t="s">
        <v>314</v>
      </c>
      <c r="B1093" s="9" t="s">
        <v>45</v>
      </c>
      <c r="C1093" s="25" t="s">
        <v>89</v>
      </c>
      <c r="D1093" s="19">
        <v>336.21</v>
      </c>
      <c r="E1093" s="19">
        <v>340.09</v>
      </c>
      <c r="F1093" s="19">
        <v>335.28</v>
      </c>
      <c r="G1093" s="19">
        <v>338.48</v>
      </c>
      <c r="H1093" s="19">
        <v>338.48</v>
      </c>
      <c r="I1093" s="15">
        <v>2688254</v>
      </c>
      <c r="J1093" s="19">
        <f t="shared" si="82"/>
        <v>0.67517325481099277</v>
      </c>
      <c r="K1093" s="19">
        <f t="shared" si="83"/>
        <v>332.62000000000006</v>
      </c>
      <c r="L1093" s="19"/>
      <c r="M1093" s="19">
        <f>MAX(G1050:G1093)</f>
        <v>343.01</v>
      </c>
      <c r="N1093" s="19">
        <f t="shared" si="84"/>
        <v>-1.3206612052126681</v>
      </c>
      <c r="O1093" s="9" t="str">
        <f t="shared" si="85"/>
        <v>2024-02</v>
      </c>
    </row>
    <row r="1094" spans="1:15" x14ac:dyDescent="0.25">
      <c r="A1094" s="9" t="s">
        <v>314</v>
      </c>
      <c r="B1094" s="9" t="s">
        <v>45</v>
      </c>
      <c r="C1094" s="25" t="s">
        <v>90</v>
      </c>
      <c r="D1094" s="19">
        <v>338.48</v>
      </c>
      <c r="E1094" s="19">
        <v>344.5</v>
      </c>
      <c r="F1094" s="19">
        <v>337.36</v>
      </c>
      <c r="G1094" s="19">
        <v>344.39</v>
      </c>
      <c r="H1094" s="19">
        <v>344.39</v>
      </c>
      <c r="I1094" s="15">
        <v>9914726</v>
      </c>
      <c r="J1094" s="19">
        <f t="shared" si="82"/>
        <v>1.7460411250295342</v>
      </c>
      <c r="K1094" s="19">
        <f t="shared" si="83"/>
        <v>333.46750000000009</v>
      </c>
      <c r="L1094" s="19"/>
      <c r="M1094" s="19">
        <f>MAX(G1050:G1094)</f>
        <v>344.39</v>
      </c>
      <c r="N1094" s="19">
        <f t="shared" si="84"/>
        <v>0</v>
      </c>
      <c r="O1094" s="9" t="str">
        <f t="shared" si="85"/>
        <v>2024-03</v>
      </c>
    </row>
    <row r="1095" spans="1:15" x14ac:dyDescent="0.25">
      <c r="A1095" s="9" t="s">
        <v>314</v>
      </c>
      <c r="B1095" s="9" t="s">
        <v>45</v>
      </c>
      <c r="C1095" s="25" t="s">
        <v>91</v>
      </c>
      <c r="D1095" s="19">
        <v>344.39</v>
      </c>
      <c r="E1095" s="19">
        <v>351.16</v>
      </c>
      <c r="F1095" s="19">
        <v>344.07</v>
      </c>
      <c r="G1095" s="19">
        <v>350.06</v>
      </c>
      <c r="H1095" s="19">
        <v>350.06</v>
      </c>
      <c r="I1095" s="15">
        <v>100000</v>
      </c>
      <c r="J1095" s="19">
        <f t="shared" si="82"/>
        <v>1.6463892679810725</v>
      </c>
      <c r="K1095" s="19">
        <f t="shared" si="83"/>
        <v>334.61550000000005</v>
      </c>
      <c r="L1095" s="19"/>
      <c r="M1095" s="19">
        <f>MAX(G1050:G1095)</f>
        <v>350.06</v>
      </c>
      <c r="N1095" s="19">
        <f t="shared" si="84"/>
        <v>0</v>
      </c>
      <c r="O1095" s="9" t="str">
        <f t="shared" si="85"/>
        <v>2024-03</v>
      </c>
    </row>
    <row r="1096" spans="1:15" x14ac:dyDescent="0.25">
      <c r="A1096" s="9" t="s">
        <v>314</v>
      </c>
      <c r="B1096" s="9" t="s">
        <v>45</v>
      </c>
      <c r="C1096" s="25" t="s">
        <v>92</v>
      </c>
      <c r="D1096" s="19">
        <v>350.06</v>
      </c>
      <c r="E1096" s="19">
        <v>351.38</v>
      </c>
      <c r="F1096" s="19">
        <v>347.95</v>
      </c>
      <c r="G1096" s="19">
        <v>348.9</v>
      </c>
      <c r="H1096" s="19">
        <v>348.9</v>
      </c>
      <c r="I1096" s="15">
        <v>9612193</v>
      </c>
      <c r="J1096" s="19">
        <f t="shared" si="82"/>
        <v>-0.33137176484032022</v>
      </c>
      <c r="K1096" s="19">
        <f t="shared" si="83"/>
        <v>335.44349999999997</v>
      </c>
      <c r="L1096" s="19"/>
      <c r="M1096" s="19">
        <f>MAX(G1050:G1096)</f>
        <v>350.06</v>
      </c>
      <c r="N1096" s="19">
        <f t="shared" si="84"/>
        <v>-0.33137176484032022</v>
      </c>
      <c r="O1096" s="9" t="str">
        <f t="shared" si="85"/>
        <v>2024-03</v>
      </c>
    </row>
    <row r="1097" spans="1:15" x14ac:dyDescent="0.25">
      <c r="A1097" s="9" t="s">
        <v>314</v>
      </c>
      <c r="B1097" s="9" t="s">
        <v>45</v>
      </c>
      <c r="C1097" s="25" t="s">
        <v>93</v>
      </c>
      <c r="D1097" s="19">
        <v>348.9</v>
      </c>
      <c r="E1097" s="19">
        <v>350.12</v>
      </c>
      <c r="F1097" s="19">
        <v>331.54</v>
      </c>
      <c r="G1097" s="19">
        <v>333.57</v>
      </c>
      <c r="H1097" s="19">
        <v>333.57</v>
      </c>
      <c r="I1097" s="15">
        <v>11030201</v>
      </c>
      <c r="J1097" s="19">
        <f t="shared" si="82"/>
        <v>-4.3938091143594109</v>
      </c>
      <c r="K1097" s="19">
        <f t="shared" si="83"/>
        <v>335.67249999999996</v>
      </c>
      <c r="L1097" s="19"/>
      <c r="M1097" s="19">
        <f>MAX(G1050:G1097)</f>
        <v>350.06</v>
      </c>
      <c r="N1097" s="19">
        <f t="shared" si="84"/>
        <v>-4.7106210363937642</v>
      </c>
      <c r="O1097" s="9" t="str">
        <f t="shared" si="85"/>
        <v>2024-03</v>
      </c>
    </row>
    <row r="1098" spans="1:15" x14ac:dyDescent="0.25">
      <c r="A1098" s="9" t="s">
        <v>314</v>
      </c>
      <c r="B1098" s="9" t="s">
        <v>45</v>
      </c>
      <c r="C1098" s="25" t="s">
        <v>94</v>
      </c>
      <c r="D1098" s="19">
        <v>333.57</v>
      </c>
      <c r="E1098" s="19">
        <v>336.99</v>
      </c>
      <c r="F1098" s="19">
        <v>331.06</v>
      </c>
      <c r="G1098" s="19">
        <v>331.23</v>
      </c>
      <c r="H1098" s="19">
        <v>331.23</v>
      </c>
      <c r="I1098" s="15">
        <v>6348950</v>
      </c>
      <c r="J1098" s="19">
        <f t="shared" si="82"/>
        <v>-0.70150193362711721</v>
      </c>
      <c r="K1098" s="19">
        <f t="shared" si="83"/>
        <v>335.48649999999998</v>
      </c>
      <c r="L1098" s="19"/>
      <c r="M1098" s="19">
        <f>MAX(G1050:G1098)</f>
        <v>350.06</v>
      </c>
      <c r="N1098" s="19">
        <f t="shared" si="84"/>
        <v>-5.379077872364733</v>
      </c>
      <c r="O1098" s="9" t="str">
        <f t="shared" si="85"/>
        <v>2024-03</v>
      </c>
    </row>
    <row r="1099" spans="1:15" x14ac:dyDescent="0.25">
      <c r="A1099" s="9" t="s">
        <v>314</v>
      </c>
      <c r="B1099" s="9" t="s">
        <v>45</v>
      </c>
      <c r="C1099" s="25" t="s">
        <v>95</v>
      </c>
      <c r="D1099" s="19">
        <v>331.23</v>
      </c>
      <c r="E1099" s="19">
        <v>342.66</v>
      </c>
      <c r="F1099" s="19">
        <v>329.87</v>
      </c>
      <c r="G1099" s="19">
        <v>340.09</v>
      </c>
      <c r="H1099" s="19">
        <v>340.09</v>
      </c>
      <c r="I1099" s="15">
        <v>9422064</v>
      </c>
      <c r="J1099" s="19">
        <f t="shared" si="82"/>
        <v>2.674878483229163</v>
      </c>
      <c r="K1099" s="19">
        <f t="shared" si="83"/>
        <v>335.72449999999998</v>
      </c>
      <c r="L1099" s="19">
        <f t="shared" ref="L1099:L1162" si="86">AVERAGE(G1050:G1099)</f>
        <v>331.18459999999993</v>
      </c>
      <c r="M1099" s="19">
        <f>MAX(G1050:G1099)</f>
        <v>350.06</v>
      </c>
      <c r="N1099" s="19">
        <f t="shared" si="84"/>
        <v>-2.8480831857395956</v>
      </c>
      <c r="O1099" s="9" t="str">
        <f t="shared" si="85"/>
        <v>2024-03</v>
      </c>
    </row>
    <row r="1100" spans="1:15" x14ac:dyDescent="0.25">
      <c r="A1100" s="9" t="s">
        <v>314</v>
      </c>
      <c r="B1100" s="9" t="s">
        <v>45</v>
      </c>
      <c r="C1100" s="25" t="s">
        <v>96</v>
      </c>
      <c r="D1100" s="19">
        <v>340.09</v>
      </c>
      <c r="E1100" s="19">
        <v>344.8</v>
      </c>
      <c r="F1100" s="19">
        <v>338.58</v>
      </c>
      <c r="G1100" s="19">
        <v>344.04</v>
      </c>
      <c r="H1100" s="19">
        <v>344.04</v>
      </c>
      <c r="I1100" s="15">
        <v>6441762</v>
      </c>
      <c r="J1100" s="19">
        <f t="shared" si="82"/>
        <v>1.1614572613131953</v>
      </c>
      <c r="K1100" s="19">
        <f t="shared" si="83"/>
        <v>336.19799999999998</v>
      </c>
      <c r="L1100" s="19">
        <f t="shared" si="86"/>
        <v>331.3599999999999</v>
      </c>
      <c r="M1100" s="19">
        <f>MAX(G1050:G1100)</f>
        <v>350.06</v>
      </c>
      <c r="N1100" s="19">
        <f t="shared" si="84"/>
        <v>-1.7197051933954128</v>
      </c>
      <c r="O1100" s="9" t="str">
        <f t="shared" si="85"/>
        <v>2024-03</v>
      </c>
    </row>
    <row r="1101" spans="1:15" x14ac:dyDescent="0.25">
      <c r="A1101" s="9" t="s">
        <v>314</v>
      </c>
      <c r="B1101" s="9" t="s">
        <v>45</v>
      </c>
      <c r="C1101" s="25" t="s">
        <v>97</v>
      </c>
      <c r="D1101" s="19">
        <v>344.04</v>
      </c>
      <c r="E1101" s="19">
        <v>349.8</v>
      </c>
      <c r="F1101" s="19">
        <v>342.47</v>
      </c>
      <c r="G1101" s="19">
        <v>348.84</v>
      </c>
      <c r="H1101" s="19">
        <v>348.84</v>
      </c>
      <c r="I1101" s="15">
        <v>7535217</v>
      </c>
      <c r="J1101" s="19">
        <f t="shared" si="82"/>
        <v>1.3951866062085669</v>
      </c>
      <c r="K1101" s="19">
        <f t="shared" si="83"/>
        <v>337.08250000000004</v>
      </c>
      <c r="L1101" s="19">
        <f t="shared" si="86"/>
        <v>331.61979999999988</v>
      </c>
      <c r="M1101" s="19">
        <f>MAX(G1050:G1101)</f>
        <v>350.06</v>
      </c>
      <c r="N1101" s="19">
        <f t="shared" si="84"/>
        <v>-0.34851168371137153</v>
      </c>
      <c r="O1101" s="9" t="str">
        <f t="shared" si="85"/>
        <v>2024-03</v>
      </c>
    </row>
    <row r="1102" spans="1:15" x14ac:dyDescent="0.25">
      <c r="A1102" s="9" t="s">
        <v>314</v>
      </c>
      <c r="B1102" s="9" t="s">
        <v>45</v>
      </c>
      <c r="C1102" s="25" t="s">
        <v>98</v>
      </c>
      <c r="D1102" s="19">
        <v>348.84</v>
      </c>
      <c r="E1102" s="19">
        <v>351.45</v>
      </c>
      <c r="F1102" s="19">
        <v>344.92</v>
      </c>
      <c r="G1102" s="19">
        <v>345.59</v>
      </c>
      <c r="H1102" s="19">
        <v>345.59</v>
      </c>
      <c r="I1102" s="15">
        <v>4722891</v>
      </c>
      <c r="J1102" s="19">
        <f t="shared" si="82"/>
        <v>-0.93165921339295954</v>
      </c>
      <c r="K1102" s="19">
        <f t="shared" si="83"/>
        <v>337.78349999999995</v>
      </c>
      <c r="L1102" s="19">
        <f t="shared" si="86"/>
        <v>331.79179999999991</v>
      </c>
      <c r="M1102" s="19">
        <f>MAX(G1050:G1102)</f>
        <v>350.06</v>
      </c>
      <c r="N1102" s="19">
        <f t="shared" si="84"/>
        <v>-1.2769239558932832</v>
      </c>
      <c r="O1102" s="9" t="str">
        <f t="shared" si="85"/>
        <v>2024-03</v>
      </c>
    </row>
    <row r="1103" spans="1:15" x14ac:dyDescent="0.25">
      <c r="A1103" s="9" t="s">
        <v>314</v>
      </c>
      <c r="B1103" s="9" t="s">
        <v>45</v>
      </c>
      <c r="C1103" s="25" t="s">
        <v>99</v>
      </c>
      <c r="D1103" s="19">
        <v>345.59</v>
      </c>
      <c r="E1103" s="19">
        <v>347.55</v>
      </c>
      <c r="F1103" s="19">
        <v>343.9</v>
      </c>
      <c r="G1103" s="19">
        <v>346.75</v>
      </c>
      <c r="H1103" s="19">
        <v>346.75</v>
      </c>
      <c r="I1103" s="15">
        <v>9397034</v>
      </c>
      <c r="J1103" s="19">
        <f t="shared" si="82"/>
        <v>0.33565786047050694</v>
      </c>
      <c r="K1103" s="19">
        <f t="shared" si="83"/>
        <v>338.5865</v>
      </c>
      <c r="L1103" s="19">
        <f t="shared" si="86"/>
        <v>332.08339999999998</v>
      </c>
      <c r="M1103" s="19">
        <f>MAX(G1050:G1103)</f>
        <v>350.06</v>
      </c>
      <c r="N1103" s="19">
        <f t="shared" si="84"/>
        <v>-0.94555219105296306</v>
      </c>
      <c r="O1103" s="9" t="str">
        <f t="shared" si="85"/>
        <v>2024-03</v>
      </c>
    </row>
    <row r="1104" spans="1:15" x14ac:dyDescent="0.25">
      <c r="A1104" s="9" t="s">
        <v>314</v>
      </c>
      <c r="B1104" s="9" t="s">
        <v>45</v>
      </c>
      <c r="C1104" s="25" t="s">
        <v>100</v>
      </c>
      <c r="D1104" s="19">
        <v>346.75</v>
      </c>
      <c r="E1104" s="19">
        <v>348.08</v>
      </c>
      <c r="F1104" s="19">
        <v>344.23</v>
      </c>
      <c r="G1104" s="19">
        <v>345.89</v>
      </c>
      <c r="H1104" s="19">
        <v>345.89</v>
      </c>
      <c r="I1104" s="15">
        <v>3350330</v>
      </c>
      <c r="J1104" s="19">
        <f t="shared" si="82"/>
        <v>-0.24801730353280854</v>
      </c>
      <c r="K1104" s="19">
        <f t="shared" si="83"/>
        <v>339.262</v>
      </c>
      <c r="L1104" s="19">
        <f t="shared" si="86"/>
        <v>332.45579999999995</v>
      </c>
      <c r="M1104" s="19">
        <f>MAX(G1050:G1104)</f>
        <v>350.06</v>
      </c>
      <c r="N1104" s="19">
        <f t="shared" si="84"/>
        <v>-1.1912243615380265</v>
      </c>
      <c r="O1104" s="9" t="str">
        <f t="shared" si="85"/>
        <v>2024-03</v>
      </c>
    </row>
    <row r="1105" spans="1:15" x14ac:dyDescent="0.25">
      <c r="A1105" s="9" t="s">
        <v>314</v>
      </c>
      <c r="B1105" s="9" t="s">
        <v>45</v>
      </c>
      <c r="C1105" s="25" t="s">
        <v>101</v>
      </c>
      <c r="D1105" s="19">
        <v>345.89</v>
      </c>
      <c r="E1105" s="19">
        <v>346.37</v>
      </c>
      <c r="F1105" s="19">
        <v>339.87</v>
      </c>
      <c r="G1105" s="19">
        <v>340.06</v>
      </c>
      <c r="H1105" s="19">
        <v>340.06</v>
      </c>
      <c r="I1105" s="15">
        <v>3755745</v>
      </c>
      <c r="J1105" s="19">
        <f t="shared" si="82"/>
        <v>-1.6855069530775635</v>
      </c>
      <c r="K1105" s="19">
        <f t="shared" si="83"/>
        <v>339.46050000000002</v>
      </c>
      <c r="L1105" s="19">
        <f t="shared" si="86"/>
        <v>332.68379999999991</v>
      </c>
      <c r="M1105" s="19">
        <f>MAX(G1050:G1105)</f>
        <v>350.06</v>
      </c>
      <c r="N1105" s="19">
        <f t="shared" si="84"/>
        <v>-2.8566531451751129</v>
      </c>
      <c r="O1105" s="9" t="str">
        <f t="shared" si="85"/>
        <v>2024-03</v>
      </c>
    </row>
    <row r="1106" spans="1:15" x14ac:dyDescent="0.25">
      <c r="A1106" s="9" t="s">
        <v>314</v>
      </c>
      <c r="B1106" s="9" t="s">
        <v>45</v>
      </c>
      <c r="C1106" s="25" t="s">
        <v>102</v>
      </c>
      <c r="D1106" s="19">
        <v>340.06</v>
      </c>
      <c r="E1106" s="19">
        <v>342.04</v>
      </c>
      <c r="F1106" s="19">
        <v>338.66</v>
      </c>
      <c r="G1106" s="19">
        <v>341.84</v>
      </c>
      <c r="H1106" s="19">
        <v>341.84</v>
      </c>
      <c r="I1106" s="15">
        <v>7532131</v>
      </c>
      <c r="J1106" s="19">
        <f t="shared" si="82"/>
        <v>0.52343704052225282</v>
      </c>
      <c r="K1106" s="19">
        <f t="shared" si="83"/>
        <v>339.64850000000007</v>
      </c>
      <c r="L1106" s="19">
        <f t="shared" si="86"/>
        <v>332.8583999999999</v>
      </c>
      <c r="M1106" s="19">
        <f>MAX(G1050:G1106)</f>
        <v>350.06</v>
      </c>
      <c r="N1106" s="19">
        <f t="shared" si="84"/>
        <v>-2.3481688853339504</v>
      </c>
      <c r="O1106" s="9" t="str">
        <f t="shared" si="85"/>
        <v>2024-03</v>
      </c>
    </row>
    <row r="1107" spans="1:15" x14ac:dyDescent="0.25">
      <c r="A1107" s="9" t="s">
        <v>314</v>
      </c>
      <c r="B1107" s="9" t="s">
        <v>45</v>
      </c>
      <c r="C1107" s="25" t="s">
        <v>103</v>
      </c>
      <c r="D1107" s="19">
        <v>341.84</v>
      </c>
      <c r="E1107" s="19">
        <v>342.39</v>
      </c>
      <c r="F1107" s="19">
        <v>338.72</v>
      </c>
      <c r="G1107" s="19">
        <v>340.31</v>
      </c>
      <c r="H1107" s="19">
        <v>340.31</v>
      </c>
      <c r="I1107" s="15">
        <v>1106570</v>
      </c>
      <c r="J1107" s="19">
        <f t="shared" si="82"/>
        <v>-0.44757781418206555</v>
      </c>
      <c r="K1107" s="19">
        <f t="shared" si="83"/>
        <v>339.94450000000012</v>
      </c>
      <c r="L1107" s="19">
        <f t="shared" si="86"/>
        <v>333.04499999999985</v>
      </c>
      <c r="M1107" s="19">
        <f>MAX(G1050:G1107)</f>
        <v>350.06</v>
      </c>
      <c r="N1107" s="19">
        <f t="shared" si="84"/>
        <v>-2.7852368165457353</v>
      </c>
      <c r="O1107" s="9" t="str">
        <f t="shared" si="85"/>
        <v>2024-03</v>
      </c>
    </row>
    <row r="1108" spans="1:15" x14ac:dyDescent="0.25">
      <c r="A1108" s="9" t="s">
        <v>314</v>
      </c>
      <c r="B1108" s="9" t="s">
        <v>45</v>
      </c>
      <c r="C1108" s="25" t="s">
        <v>104</v>
      </c>
      <c r="D1108" s="19">
        <v>340.31</v>
      </c>
      <c r="E1108" s="19">
        <v>342.83</v>
      </c>
      <c r="F1108" s="19">
        <v>339.09</v>
      </c>
      <c r="G1108" s="19">
        <v>340.42</v>
      </c>
      <c r="H1108" s="19">
        <v>340.42</v>
      </c>
      <c r="I1108" s="15">
        <v>9867462</v>
      </c>
      <c r="J1108" s="19">
        <f t="shared" si="82"/>
        <v>3.2323469777559767E-2</v>
      </c>
      <c r="K1108" s="19">
        <f t="shared" si="83"/>
        <v>340.37500000000011</v>
      </c>
      <c r="L1108" s="19">
        <f t="shared" si="86"/>
        <v>333.22659999999979</v>
      </c>
      <c r="M1108" s="19">
        <f>MAX(G1050:G1108)</f>
        <v>350.06</v>
      </c>
      <c r="N1108" s="19">
        <f t="shared" si="84"/>
        <v>-2.7538136319488049</v>
      </c>
      <c r="O1108" s="9" t="str">
        <f t="shared" si="85"/>
        <v>2024-03</v>
      </c>
    </row>
    <row r="1109" spans="1:15" x14ac:dyDescent="0.25">
      <c r="A1109" s="9" t="s">
        <v>314</v>
      </c>
      <c r="B1109" s="9" t="s">
        <v>45</v>
      </c>
      <c r="C1109" s="25" t="s">
        <v>105</v>
      </c>
      <c r="D1109" s="19">
        <v>340.42</v>
      </c>
      <c r="E1109" s="19">
        <v>343.85</v>
      </c>
      <c r="F1109" s="19">
        <v>339.38</v>
      </c>
      <c r="G1109" s="19">
        <v>342.35</v>
      </c>
      <c r="H1109" s="19">
        <v>342.35</v>
      </c>
      <c r="I1109" s="15">
        <v>10944639</v>
      </c>
      <c r="J1109" s="19">
        <f t="shared" si="82"/>
        <v>0.56694671288408638</v>
      </c>
      <c r="K1109" s="19">
        <f t="shared" si="83"/>
        <v>341.11650000000009</v>
      </c>
      <c r="L1109" s="19">
        <f t="shared" si="86"/>
        <v>333.21339999999981</v>
      </c>
      <c r="M1109" s="19">
        <f>MAX(G1050:G1109)</f>
        <v>350.06</v>
      </c>
      <c r="N1109" s="19">
        <f t="shared" si="84"/>
        <v>-2.2024795749300061</v>
      </c>
      <c r="O1109" s="9" t="str">
        <f t="shared" si="85"/>
        <v>2024-03</v>
      </c>
    </row>
    <row r="1110" spans="1:15" x14ac:dyDescent="0.25">
      <c r="A1110" s="9" t="s">
        <v>314</v>
      </c>
      <c r="B1110" s="9" t="s">
        <v>45</v>
      </c>
      <c r="C1110" s="25" t="s">
        <v>106</v>
      </c>
      <c r="D1110" s="19">
        <v>342.35</v>
      </c>
      <c r="E1110" s="19">
        <v>342.63</v>
      </c>
      <c r="F1110" s="19">
        <v>341.62</v>
      </c>
      <c r="G1110" s="19">
        <v>342.11</v>
      </c>
      <c r="H1110" s="19">
        <v>342.11</v>
      </c>
      <c r="I1110" s="15">
        <v>7469328</v>
      </c>
      <c r="J1110" s="19">
        <f t="shared" si="82"/>
        <v>-7.0103695048929188E-2</v>
      </c>
      <c r="K1110" s="19">
        <f t="shared" si="83"/>
        <v>341.79750000000007</v>
      </c>
      <c r="L1110" s="19">
        <f t="shared" si="86"/>
        <v>333.29279999999994</v>
      </c>
      <c r="M1110" s="19">
        <f>MAX(G1050:G1110)</f>
        <v>350.06</v>
      </c>
      <c r="N1110" s="19">
        <f t="shared" si="84"/>
        <v>-2.2710392504142112</v>
      </c>
      <c r="O1110" s="9" t="str">
        <f t="shared" si="85"/>
        <v>2024-03</v>
      </c>
    </row>
    <row r="1111" spans="1:15" x14ac:dyDescent="0.25">
      <c r="A1111" s="9" t="s">
        <v>314</v>
      </c>
      <c r="B1111" s="9" t="s">
        <v>45</v>
      </c>
      <c r="C1111" s="25" t="s">
        <v>107</v>
      </c>
      <c r="D1111" s="19">
        <v>342.11</v>
      </c>
      <c r="E1111" s="19">
        <v>343.37</v>
      </c>
      <c r="F1111" s="19">
        <v>336.31</v>
      </c>
      <c r="G1111" s="19">
        <v>338.33</v>
      </c>
      <c r="H1111" s="19">
        <v>338.33</v>
      </c>
      <c r="I1111" s="15">
        <v>7349303</v>
      </c>
      <c r="J1111" s="19">
        <f t="shared" si="82"/>
        <v>-1.1049077782000027</v>
      </c>
      <c r="K1111" s="19">
        <f t="shared" si="83"/>
        <v>341.97300000000007</v>
      </c>
      <c r="L1111" s="19">
        <f t="shared" si="86"/>
        <v>333.46259999999995</v>
      </c>
      <c r="M1111" s="19">
        <f>MAX(G1050:G1111)</f>
        <v>350.06</v>
      </c>
      <c r="N1111" s="19">
        <f t="shared" si="84"/>
        <v>-3.350854139290413</v>
      </c>
      <c r="O1111" s="9" t="str">
        <f t="shared" si="85"/>
        <v>2024-03</v>
      </c>
    </row>
    <row r="1112" spans="1:15" x14ac:dyDescent="0.25">
      <c r="A1112" s="9" t="s">
        <v>314</v>
      </c>
      <c r="B1112" s="9" t="s">
        <v>45</v>
      </c>
      <c r="C1112" s="25" t="s">
        <v>108</v>
      </c>
      <c r="D1112" s="19">
        <v>338.33</v>
      </c>
      <c r="E1112" s="19">
        <v>339.47</v>
      </c>
      <c r="F1112" s="19">
        <v>338.19</v>
      </c>
      <c r="G1112" s="19">
        <v>338.46</v>
      </c>
      <c r="H1112" s="19">
        <v>338.46</v>
      </c>
      <c r="I1112" s="15">
        <v>5285536</v>
      </c>
      <c r="J1112" s="19">
        <f t="shared" si="82"/>
        <v>3.8424023882007344E-2</v>
      </c>
      <c r="K1112" s="19">
        <f t="shared" si="83"/>
        <v>342.08550000000002</v>
      </c>
      <c r="L1112" s="19">
        <f t="shared" si="86"/>
        <v>333.74219999999991</v>
      </c>
      <c r="M1112" s="19">
        <f>MAX(G1050:G1112)</f>
        <v>350.06</v>
      </c>
      <c r="N1112" s="19">
        <f t="shared" si="84"/>
        <v>-3.3137176484031374</v>
      </c>
      <c r="O1112" s="9" t="str">
        <f t="shared" si="85"/>
        <v>2024-03</v>
      </c>
    </row>
    <row r="1113" spans="1:15" x14ac:dyDescent="0.25">
      <c r="A1113" s="9" t="s">
        <v>314</v>
      </c>
      <c r="B1113" s="9" t="s">
        <v>45</v>
      </c>
      <c r="C1113" s="25" t="s">
        <v>109</v>
      </c>
      <c r="D1113" s="19">
        <v>338.46</v>
      </c>
      <c r="E1113" s="19">
        <v>339.85</v>
      </c>
      <c r="F1113" s="19">
        <v>330.26</v>
      </c>
      <c r="G1113" s="19">
        <v>330.34</v>
      </c>
      <c r="H1113" s="19">
        <v>330.34</v>
      </c>
      <c r="I1113" s="15">
        <v>9238254</v>
      </c>
      <c r="J1113" s="19">
        <f t="shared" si="82"/>
        <v>-2.3991018140991565</v>
      </c>
      <c r="K1113" s="19">
        <f t="shared" si="83"/>
        <v>341.67850000000004</v>
      </c>
      <c r="L1113" s="19">
        <f t="shared" si="86"/>
        <v>333.91739999999993</v>
      </c>
      <c r="M1113" s="19">
        <f>MAX(G1050:G1113)</f>
        <v>350.06</v>
      </c>
      <c r="N1113" s="19">
        <f t="shared" si="84"/>
        <v>-5.6333200022853305</v>
      </c>
      <c r="O1113" s="9" t="str">
        <f t="shared" si="85"/>
        <v>2024-03</v>
      </c>
    </row>
    <row r="1114" spans="1:15" x14ac:dyDescent="0.25">
      <c r="A1114" s="9" t="s">
        <v>314</v>
      </c>
      <c r="B1114" s="9" t="s">
        <v>45</v>
      </c>
      <c r="C1114" s="25" t="s">
        <v>110</v>
      </c>
      <c r="D1114" s="19">
        <v>330.34</v>
      </c>
      <c r="E1114" s="19">
        <v>331.04</v>
      </c>
      <c r="F1114" s="19">
        <v>321.91000000000003</v>
      </c>
      <c r="G1114" s="19">
        <v>323.35000000000002</v>
      </c>
      <c r="H1114" s="19">
        <v>323.35000000000002</v>
      </c>
      <c r="I1114" s="15">
        <v>9360933</v>
      </c>
      <c r="J1114" s="19">
        <f t="shared" si="82"/>
        <v>-2.1160016952230891</v>
      </c>
      <c r="K1114" s="19">
        <f t="shared" si="83"/>
        <v>340.62650000000002</v>
      </c>
      <c r="L1114" s="19">
        <f t="shared" si="86"/>
        <v>334.00339999999989</v>
      </c>
      <c r="M1114" s="19">
        <f>MAX(G1050:G1114)</f>
        <v>350.06</v>
      </c>
      <c r="N1114" s="19">
        <f t="shared" si="84"/>
        <v>-7.6301205507627206</v>
      </c>
      <c r="O1114" s="9" t="str">
        <f t="shared" si="85"/>
        <v>2024-03</v>
      </c>
    </row>
    <row r="1115" spans="1:15" x14ac:dyDescent="0.25">
      <c r="A1115" s="9" t="s">
        <v>314</v>
      </c>
      <c r="B1115" s="9" t="s">
        <v>45</v>
      </c>
      <c r="C1115" s="25" t="s">
        <v>111</v>
      </c>
      <c r="D1115" s="19">
        <v>323.35000000000002</v>
      </c>
      <c r="E1115" s="19">
        <v>326.47000000000003</v>
      </c>
      <c r="F1115" s="19">
        <v>315.49</v>
      </c>
      <c r="G1115" s="19">
        <v>317.54000000000002</v>
      </c>
      <c r="H1115" s="19">
        <v>317.54000000000002</v>
      </c>
      <c r="I1115" s="15">
        <v>10795374</v>
      </c>
      <c r="J1115" s="19">
        <f t="shared" ref="J1115:J1178" si="87">IFERROR((G1115-G1114)/G1114*100,"")</f>
        <v>-1.7968145971857128</v>
      </c>
      <c r="K1115" s="19">
        <f t="shared" si="83"/>
        <v>339.00049999999999</v>
      </c>
      <c r="L1115" s="19">
        <f t="shared" si="86"/>
        <v>334.10579999999993</v>
      </c>
      <c r="M1115" s="19">
        <f>MAX(G1050:G1115)</f>
        <v>350.06</v>
      </c>
      <c r="N1115" s="19">
        <f t="shared" si="84"/>
        <v>-9.2898360281094625</v>
      </c>
      <c r="O1115" s="9" t="str">
        <f t="shared" si="85"/>
        <v>2024-04</v>
      </c>
    </row>
    <row r="1116" spans="1:15" x14ac:dyDescent="0.25">
      <c r="A1116" s="9" t="s">
        <v>314</v>
      </c>
      <c r="B1116" s="9" t="s">
        <v>45</v>
      </c>
      <c r="C1116" s="25" t="s">
        <v>112</v>
      </c>
      <c r="D1116" s="19">
        <v>317.54000000000002</v>
      </c>
      <c r="E1116" s="19">
        <v>318.57</v>
      </c>
      <c r="F1116" s="19">
        <v>313.22000000000003</v>
      </c>
      <c r="G1116" s="19">
        <v>314.5</v>
      </c>
      <c r="H1116" s="19">
        <v>314.5</v>
      </c>
      <c r="I1116" s="15">
        <v>14391637</v>
      </c>
      <c r="J1116" s="19">
        <f t="shared" si="87"/>
        <v>-0.957359702714625</v>
      </c>
      <c r="K1116" s="19">
        <f t="shared" si="83"/>
        <v>337.28049999999996</v>
      </c>
      <c r="L1116" s="19">
        <f t="shared" si="86"/>
        <v>334.26259999999996</v>
      </c>
      <c r="M1116" s="19">
        <f>MAX(G1050:G1116)</f>
        <v>350.06</v>
      </c>
      <c r="N1116" s="19">
        <f t="shared" si="84"/>
        <v>-10.158258584242702</v>
      </c>
      <c r="O1116" s="9" t="str">
        <f t="shared" si="85"/>
        <v>2024-04</v>
      </c>
    </row>
    <row r="1117" spans="1:15" x14ac:dyDescent="0.25">
      <c r="A1117" s="9" t="s">
        <v>314</v>
      </c>
      <c r="B1117" s="9" t="s">
        <v>45</v>
      </c>
      <c r="C1117" s="25" t="s">
        <v>113</v>
      </c>
      <c r="D1117" s="19">
        <v>314.5</v>
      </c>
      <c r="E1117" s="19">
        <v>314.69</v>
      </c>
      <c r="F1117" s="19">
        <v>312.38</v>
      </c>
      <c r="G1117" s="19">
        <v>313.42</v>
      </c>
      <c r="H1117" s="19">
        <v>313.42</v>
      </c>
      <c r="I1117" s="15">
        <v>8206745</v>
      </c>
      <c r="J1117" s="19">
        <f t="shared" si="87"/>
        <v>-0.34340222575516188</v>
      </c>
      <c r="K1117" s="19">
        <f t="shared" si="83"/>
        <v>336.27300000000002</v>
      </c>
      <c r="L1117" s="19">
        <f t="shared" si="86"/>
        <v>333.97859999999986</v>
      </c>
      <c r="M1117" s="19">
        <f>MAX(G1050:G1117)</f>
        <v>350.06</v>
      </c>
      <c r="N1117" s="19">
        <f t="shared" si="84"/>
        <v>-10.466777123921609</v>
      </c>
      <c r="O1117" s="9" t="str">
        <f t="shared" si="85"/>
        <v>2024-04</v>
      </c>
    </row>
    <row r="1118" spans="1:15" x14ac:dyDescent="0.25">
      <c r="A1118" s="9" t="s">
        <v>314</v>
      </c>
      <c r="B1118" s="9" t="s">
        <v>45</v>
      </c>
      <c r="C1118" s="25" t="s">
        <v>114</v>
      </c>
      <c r="D1118" s="19">
        <v>313.42</v>
      </c>
      <c r="E1118" s="19">
        <v>317.08</v>
      </c>
      <c r="F1118" s="19">
        <v>308.38</v>
      </c>
      <c r="G1118" s="19">
        <v>308.93</v>
      </c>
      <c r="H1118" s="19">
        <v>308.93</v>
      </c>
      <c r="I1118" s="15">
        <v>12824022</v>
      </c>
      <c r="J1118" s="19">
        <f t="shared" si="87"/>
        <v>-1.4325824771871638</v>
      </c>
      <c r="K1118" s="19">
        <f t="shared" si="83"/>
        <v>335.15800000000002</v>
      </c>
      <c r="L1118" s="19">
        <f t="shared" si="86"/>
        <v>333.69139999999999</v>
      </c>
      <c r="M1118" s="19">
        <f>MAX(G1050:G1118)</f>
        <v>350.06</v>
      </c>
      <c r="N1118" s="19">
        <f t="shared" si="84"/>
        <v>-11.749414386105238</v>
      </c>
      <c r="O1118" s="9" t="str">
        <f t="shared" si="85"/>
        <v>2024-04</v>
      </c>
    </row>
    <row r="1119" spans="1:15" x14ac:dyDescent="0.25">
      <c r="A1119" s="9" t="s">
        <v>314</v>
      </c>
      <c r="B1119" s="9" t="s">
        <v>45</v>
      </c>
      <c r="C1119" s="25" t="s">
        <v>115</v>
      </c>
      <c r="D1119" s="19">
        <v>308.93</v>
      </c>
      <c r="E1119" s="19">
        <v>318.11</v>
      </c>
      <c r="F1119" s="19">
        <v>308.91000000000003</v>
      </c>
      <c r="G1119" s="19">
        <v>316.8</v>
      </c>
      <c r="H1119" s="19">
        <v>316.8</v>
      </c>
      <c r="I1119" s="15">
        <v>6252792</v>
      </c>
      <c r="J1119" s="19">
        <f t="shared" si="87"/>
        <v>2.5475026705078831</v>
      </c>
      <c r="K1119" s="19">
        <f t="shared" si="83"/>
        <v>333.9935000000001</v>
      </c>
      <c r="L1119" s="19">
        <f t="shared" si="86"/>
        <v>333.66519999999997</v>
      </c>
      <c r="M1119" s="19">
        <f>MAX(G1050:G1119)</f>
        <v>350.06</v>
      </c>
      <c r="N1119" s="19">
        <f t="shared" si="84"/>
        <v>-9.5012283608524228</v>
      </c>
      <c r="O1119" s="9" t="str">
        <f t="shared" si="85"/>
        <v>2024-04</v>
      </c>
    </row>
    <row r="1120" spans="1:15" x14ac:dyDescent="0.25">
      <c r="A1120" s="9" t="s">
        <v>314</v>
      </c>
      <c r="B1120" s="9" t="s">
        <v>45</v>
      </c>
      <c r="C1120" s="25" t="s">
        <v>116</v>
      </c>
      <c r="D1120" s="19">
        <v>316.8</v>
      </c>
      <c r="E1120" s="19">
        <v>318.54000000000002</v>
      </c>
      <c r="F1120" s="19">
        <v>315.42</v>
      </c>
      <c r="G1120" s="19">
        <v>316.20999999999998</v>
      </c>
      <c r="H1120" s="19">
        <v>316.20999999999998</v>
      </c>
      <c r="I1120" s="15">
        <v>9445945</v>
      </c>
      <c r="J1120" s="19">
        <f t="shared" si="87"/>
        <v>-0.18623737373738378</v>
      </c>
      <c r="K1120" s="19">
        <f t="shared" si="83"/>
        <v>332.60200000000003</v>
      </c>
      <c r="L1120" s="19">
        <f t="shared" si="86"/>
        <v>333.55</v>
      </c>
      <c r="M1120" s="19">
        <f>MAX(G1050:G1120)</f>
        <v>350.06</v>
      </c>
      <c r="N1120" s="19">
        <f t="shared" si="84"/>
        <v>-9.6697708964177629</v>
      </c>
      <c r="O1120" s="9" t="str">
        <f t="shared" si="85"/>
        <v>2024-04</v>
      </c>
    </row>
    <row r="1121" spans="1:15" x14ac:dyDescent="0.25">
      <c r="A1121" s="9" t="s">
        <v>314</v>
      </c>
      <c r="B1121" s="9" t="s">
        <v>45</v>
      </c>
      <c r="C1121" s="25" t="s">
        <v>117</v>
      </c>
      <c r="D1121" s="19">
        <v>316.20999999999998</v>
      </c>
      <c r="E1121" s="19">
        <v>316.86</v>
      </c>
      <c r="F1121" s="19">
        <v>313.14</v>
      </c>
      <c r="G1121" s="19">
        <v>313.3</v>
      </c>
      <c r="H1121" s="19">
        <v>313.3</v>
      </c>
      <c r="I1121" s="15">
        <v>11899228</v>
      </c>
      <c r="J1121" s="19">
        <f t="shared" si="87"/>
        <v>-0.92027450112266174</v>
      </c>
      <c r="K1121" s="19">
        <f t="shared" si="83"/>
        <v>330.82500000000005</v>
      </c>
      <c r="L1121" s="19">
        <f t="shared" si="86"/>
        <v>333.30599999999998</v>
      </c>
      <c r="M1121" s="19">
        <f>MAX(G1050:G1121)</f>
        <v>350.06</v>
      </c>
      <c r="N1121" s="19">
        <f t="shared" si="84"/>
        <v>-10.501056961663711</v>
      </c>
      <c r="O1121" s="9" t="str">
        <f t="shared" si="85"/>
        <v>2024-04</v>
      </c>
    </row>
    <row r="1122" spans="1:15" x14ac:dyDescent="0.25">
      <c r="A1122" s="9" t="s">
        <v>314</v>
      </c>
      <c r="B1122" s="9" t="s">
        <v>45</v>
      </c>
      <c r="C1122" s="25" t="s">
        <v>118</v>
      </c>
      <c r="D1122" s="19">
        <v>313.3</v>
      </c>
      <c r="E1122" s="19">
        <v>315.25</v>
      </c>
      <c r="F1122" s="19">
        <v>312.83999999999997</v>
      </c>
      <c r="G1122" s="19">
        <v>314.93</v>
      </c>
      <c r="H1122" s="19">
        <v>314.93</v>
      </c>
      <c r="I1122" s="15">
        <v>9227397</v>
      </c>
      <c r="J1122" s="19">
        <f t="shared" si="87"/>
        <v>0.52026811362910796</v>
      </c>
      <c r="K1122" s="19">
        <f t="shared" si="83"/>
        <v>329.29200000000003</v>
      </c>
      <c r="L1122" s="19">
        <f t="shared" si="86"/>
        <v>333.04500000000002</v>
      </c>
      <c r="M1122" s="19">
        <f>MAX(G1050:G1122)</f>
        <v>350.06</v>
      </c>
      <c r="N1122" s="19">
        <f t="shared" si="84"/>
        <v>-10.03542249900017</v>
      </c>
      <c r="O1122" s="9" t="str">
        <f t="shared" si="85"/>
        <v>2024-04</v>
      </c>
    </row>
    <row r="1123" spans="1:15" x14ac:dyDescent="0.25">
      <c r="A1123" s="9" t="s">
        <v>314</v>
      </c>
      <c r="B1123" s="9" t="s">
        <v>45</v>
      </c>
      <c r="C1123" s="25" t="s">
        <v>119</v>
      </c>
      <c r="D1123" s="19">
        <v>314.93</v>
      </c>
      <c r="E1123" s="19">
        <v>316.58999999999997</v>
      </c>
      <c r="F1123" s="19">
        <v>313.82</v>
      </c>
      <c r="G1123" s="19">
        <v>316.55</v>
      </c>
      <c r="H1123" s="19">
        <v>316.55</v>
      </c>
      <c r="I1123" s="15">
        <v>7813190</v>
      </c>
      <c r="J1123" s="19">
        <f t="shared" si="87"/>
        <v>0.51440002540247176</v>
      </c>
      <c r="K1123" s="19">
        <f t="shared" si="83"/>
        <v>327.78200000000004</v>
      </c>
      <c r="L1123" s="19">
        <f t="shared" si="86"/>
        <v>332.83</v>
      </c>
      <c r="M1123" s="19">
        <f>MAX(G1050:G1123)</f>
        <v>350.06</v>
      </c>
      <c r="N1123" s="19">
        <f t="shared" si="84"/>
        <v>-9.5726446894818</v>
      </c>
      <c r="O1123" s="9" t="str">
        <f t="shared" si="85"/>
        <v>2024-04</v>
      </c>
    </row>
    <row r="1124" spans="1:15" x14ac:dyDescent="0.25">
      <c r="A1124" s="9" t="s">
        <v>314</v>
      </c>
      <c r="B1124" s="9" t="s">
        <v>45</v>
      </c>
      <c r="C1124" s="25" t="s">
        <v>120</v>
      </c>
      <c r="D1124" s="19">
        <v>316.55</v>
      </c>
      <c r="E1124" s="19">
        <v>320.60000000000002</v>
      </c>
      <c r="F1124" s="19">
        <v>314.66000000000003</v>
      </c>
      <c r="G1124" s="19">
        <v>315.97000000000003</v>
      </c>
      <c r="H1124" s="19">
        <v>315.97000000000003</v>
      </c>
      <c r="I1124" s="15">
        <v>9213017</v>
      </c>
      <c r="J1124" s="19">
        <f t="shared" si="87"/>
        <v>-0.18322539883114328</v>
      </c>
      <c r="K1124" s="19">
        <f t="shared" si="83"/>
        <v>326.28600000000006</v>
      </c>
      <c r="L1124" s="19">
        <f t="shared" si="86"/>
        <v>332.60059999999999</v>
      </c>
      <c r="M1124" s="19">
        <f>MAX(G1050:G1124)</f>
        <v>350.06</v>
      </c>
      <c r="N1124" s="19">
        <f t="shared" si="84"/>
        <v>-9.7383305719019528</v>
      </c>
      <c r="O1124" s="9" t="str">
        <f t="shared" si="85"/>
        <v>2024-04</v>
      </c>
    </row>
    <row r="1125" spans="1:15" x14ac:dyDescent="0.25">
      <c r="A1125" s="9" t="s">
        <v>314</v>
      </c>
      <c r="B1125" s="9" t="s">
        <v>45</v>
      </c>
      <c r="C1125" s="25" t="s">
        <v>121</v>
      </c>
      <c r="D1125" s="19">
        <v>315.97000000000003</v>
      </c>
      <c r="E1125" s="19">
        <v>322.72000000000003</v>
      </c>
      <c r="F1125" s="19">
        <v>315.83</v>
      </c>
      <c r="G1125" s="19">
        <v>321.99</v>
      </c>
      <c r="H1125" s="19">
        <v>321.99</v>
      </c>
      <c r="I1125" s="15">
        <v>4548132</v>
      </c>
      <c r="J1125" s="19">
        <f t="shared" si="87"/>
        <v>1.905244168750192</v>
      </c>
      <c r="K1125" s="19">
        <f t="shared" si="83"/>
        <v>325.38250000000005</v>
      </c>
      <c r="L1125" s="19">
        <f t="shared" si="86"/>
        <v>332.49839999999995</v>
      </c>
      <c r="M1125" s="19">
        <f>MAX(G1050:G1125)</f>
        <v>350.06</v>
      </c>
      <c r="N1125" s="19">
        <f t="shared" si="84"/>
        <v>-8.01862537850654</v>
      </c>
      <c r="O1125" s="9" t="str">
        <f t="shared" si="85"/>
        <v>2024-04</v>
      </c>
    </row>
    <row r="1126" spans="1:15" x14ac:dyDescent="0.25">
      <c r="A1126" s="9" t="s">
        <v>314</v>
      </c>
      <c r="B1126" s="9" t="s">
        <v>45</v>
      </c>
      <c r="C1126" s="25" t="s">
        <v>122</v>
      </c>
      <c r="D1126" s="19">
        <v>321.99</v>
      </c>
      <c r="E1126" s="19">
        <v>327.23</v>
      </c>
      <c r="F1126" s="19">
        <v>320.45999999999998</v>
      </c>
      <c r="G1126" s="19">
        <v>326.36</v>
      </c>
      <c r="H1126" s="19">
        <v>326.36</v>
      </c>
      <c r="I1126" s="15">
        <v>9288184</v>
      </c>
      <c r="J1126" s="19">
        <f t="shared" si="87"/>
        <v>1.3571850057455215</v>
      </c>
      <c r="K1126" s="19">
        <f t="shared" si="83"/>
        <v>324.60849999999999</v>
      </c>
      <c r="L1126" s="19">
        <f t="shared" si="86"/>
        <v>332.3787999999999</v>
      </c>
      <c r="M1126" s="19">
        <f>MAX(G1050:G1126)</f>
        <v>350.06</v>
      </c>
      <c r="N1126" s="19">
        <f t="shared" si="84"/>
        <v>-6.7702679540650141</v>
      </c>
      <c r="O1126" s="9" t="str">
        <f t="shared" si="85"/>
        <v>2024-04</v>
      </c>
    </row>
    <row r="1127" spans="1:15" x14ac:dyDescent="0.25">
      <c r="A1127" s="9" t="s">
        <v>314</v>
      </c>
      <c r="B1127" s="9" t="s">
        <v>45</v>
      </c>
      <c r="C1127" s="25" t="s">
        <v>123</v>
      </c>
      <c r="D1127" s="19">
        <v>326.36</v>
      </c>
      <c r="E1127" s="19">
        <v>330.34</v>
      </c>
      <c r="F1127" s="19">
        <v>325.72000000000003</v>
      </c>
      <c r="G1127" s="19">
        <v>330.08</v>
      </c>
      <c r="H1127" s="19">
        <v>330.08</v>
      </c>
      <c r="I1127" s="15">
        <v>5968744</v>
      </c>
      <c r="J1127" s="19">
        <f t="shared" si="87"/>
        <v>1.1398455693099554</v>
      </c>
      <c r="K1127" s="19">
        <f t="shared" si="83"/>
        <v>324.09700000000004</v>
      </c>
      <c r="L1127" s="19">
        <f t="shared" si="86"/>
        <v>332.40059999999988</v>
      </c>
      <c r="M1127" s="19">
        <f>MAX(G1050:G1127)</f>
        <v>350.06</v>
      </c>
      <c r="N1127" s="19">
        <f t="shared" si="84"/>
        <v>-5.7075929840598807</v>
      </c>
      <c r="O1127" s="9" t="str">
        <f t="shared" si="85"/>
        <v>2024-04</v>
      </c>
    </row>
    <row r="1128" spans="1:15" x14ac:dyDescent="0.25">
      <c r="A1128" s="9" t="s">
        <v>314</v>
      </c>
      <c r="B1128" s="9" t="s">
        <v>45</v>
      </c>
      <c r="C1128" s="25" t="s">
        <v>124</v>
      </c>
      <c r="D1128" s="19">
        <v>330.08</v>
      </c>
      <c r="E1128" s="19">
        <v>331.44</v>
      </c>
      <c r="F1128" s="19">
        <v>326.99</v>
      </c>
      <c r="G1128" s="19">
        <v>327.33999999999997</v>
      </c>
      <c r="H1128" s="19">
        <v>327.33999999999997</v>
      </c>
      <c r="I1128" s="15">
        <v>9160221</v>
      </c>
      <c r="J1128" s="19">
        <f t="shared" si="87"/>
        <v>-0.83010179350460778</v>
      </c>
      <c r="K1128" s="19">
        <f t="shared" si="83"/>
        <v>323.44300000000004</v>
      </c>
      <c r="L1128" s="19">
        <f t="shared" si="86"/>
        <v>332.24839999999995</v>
      </c>
      <c r="M1128" s="19">
        <f>MAX(G1050:G1128)</f>
        <v>350.06</v>
      </c>
      <c r="N1128" s="19">
        <f t="shared" si="84"/>
        <v>-6.4903159458378639</v>
      </c>
      <c r="O1128" s="9" t="str">
        <f t="shared" si="85"/>
        <v>2024-04</v>
      </c>
    </row>
    <row r="1129" spans="1:15" x14ac:dyDescent="0.25">
      <c r="A1129" s="9" t="s">
        <v>314</v>
      </c>
      <c r="B1129" s="9" t="s">
        <v>45</v>
      </c>
      <c r="C1129" s="25" t="s">
        <v>125</v>
      </c>
      <c r="D1129" s="19">
        <v>327.33999999999997</v>
      </c>
      <c r="E1129" s="19">
        <v>328.01</v>
      </c>
      <c r="F1129" s="19">
        <v>323.82</v>
      </c>
      <c r="G1129" s="19">
        <v>325.06</v>
      </c>
      <c r="H1129" s="19">
        <v>325.06</v>
      </c>
      <c r="I1129" s="15">
        <v>9016637</v>
      </c>
      <c r="J1129" s="19">
        <f t="shared" si="87"/>
        <v>-0.69652349239322198</v>
      </c>
      <c r="K1129" s="19">
        <f t="shared" si="83"/>
        <v>322.57850000000002</v>
      </c>
      <c r="L1129" s="19">
        <f t="shared" si="86"/>
        <v>332.04299999999995</v>
      </c>
      <c r="M1129" s="19">
        <f>MAX(G1050:G1129)</f>
        <v>350.06</v>
      </c>
      <c r="N1129" s="19">
        <f t="shared" si="84"/>
        <v>-7.1416328629377812</v>
      </c>
      <c r="O1129" s="9" t="str">
        <f t="shared" si="85"/>
        <v>2024-04</v>
      </c>
    </row>
    <row r="1130" spans="1:15" x14ac:dyDescent="0.25">
      <c r="A1130" s="9" t="s">
        <v>314</v>
      </c>
      <c r="B1130" s="9" t="s">
        <v>45</v>
      </c>
      <c r="C1130" s="25" t="s">
        <v>126</v>
      </c>
      <c r="D1130" s="19">
        <v>325.06</v>
      </c>
      <c r="E1130" s="19">
        <v>336.11</v>
      </c>
      <c r="F1130" s="19">
        <v>324.81</v>
      </c>
      <c r="G1130" s="19">
        <v>334.68</v>
      </c>
      <c r="H1130" s="19">
        <v>334.68</v>
      </c>
      <c r="I1130" s="15">
        <v>8578971</v>
      </c>
      <c r="J1130" s="19">
        <f t="shared" si="87"/>
        <v>2.9594536393281254</v>
      </c>
      <c r="K1130" s="19">
        <f t="shared" si="83"/>
        <v>322.20699999999999</v>
      </c>
      <c r="L1130" s="19">
        <f t="shared" si="86"/>
        <v>332.04519999999997</v>
      </c>
      <c r="M1130" s="19">
        <f>MAX(G1050:G1130)</f>
        <v>350.06</v>
      </c>
      <c r="N1130" s="19">
        <f t="shared" si="84"/>
        <v>-4.3935325372793228</v>
      </c>
      <c r="O1130" s="9" t="str">
        <f t="shared" si="85"/>
        <v>2024-04</v>
      </c>
    </row>
    <row r="1131" spans="1:15" x14ac:dyDescent="0.25">
      <c r="A1131" s="9" t="s">
        <v>314</v>
      </c>
      <c r="B1131" s="9" t="s">
        <v>45</v>
      </c>
      <c r="C1131" s="25" t="s">
        <v>127</v>
      </c>
      <c r="D1131" s="19">
        <v>334.68</v>
      </c>
      <c r="E1131" s="19">
        <v>337.36</v>
      </c>
      <c r="F1131" s="19">
        <v>333.26</v>
      </c>
      <c r="G1131" s="19">
        <v>337.35</v>
      </c>
      <c r="H1131" s="19">
        <v>337.35</v>
      </c>
      <c r="I1131" s="15">
        <v>9027937</v>
      </c>
      <c r="J1131" s="19">
        <f t="shared" si="87"/>
        <v>0.79777698099677774</v>
      </c>
      <c r="K1131" s="19">
        <f t="shared" si="83"/>
        <v>322.15800000000002</v>
      </c>
      <c r="L1131" s="19">
        <f t="shared" si="86"/>
        <v>332.16919999999999</v>
      </c>
      <c r="M1131" s="19">
        <f>MAX(G1050:G1131)</f>
        <v>350.06</v>
      </c>
      <c r="N1131" s="19">
        <f t="shared" si="84"/>
        <v>-3.6308061475175624</v>
      </c>
      <c r="O1131" s="9" t="str">
        <f t="shared" si="85"/>
        <v>2024-04</v>
      </c>
    </row>
    <row r="1132" spans="1:15" x14ac:dyDescent="0.25">
      <c r="A1132" s="9" t="s">
        <v>314</v>
      </c>
      <c r="B1132" s="9" t="s">
        <v>45</v>
      </c>
      <c r="C1132" s="25" t="s">
        <v>128</v>
      </c>
      <c r="D1132" s="19">
        <v>337.35</v>
      </c>
      <c r="E1132" s="19">
        <v>338.68</v>
      </c>
      <c r="F1132" s="19">
        <v>336.66</v>
      </c>
      <c r="G1132" s="19">
        <v>336.71</v>
      </c>
      <c r="H1132" s="19">
        <v>336.71</v>
      </c>
      <c r="I1132" s="15">
        <v>7359404</v>
      </c>
      <c r="J1132" s="19">
        <f t="shared" si="87"/>
        <v>-0.18971394693939325</v>
      </c>
      <c r="K1132" s="19">
        <f t="shared" si="83"/>
        <v>322.07050000000004</v>
      </c>
      <c r="L1132" s="19">
        <f t="shared" si="86"/>
        <v>332.27199999999999</v>
      </c>
      <c r="M1132" s="19">
        <f>MAX(G1050:G1132)</f>
        <v>350.06</v>
      </c>
      <c r="N1132" s="19">
        <f t="shared" si="84"/>
        <v>-3.8136319488087822</v>
      </c>
      <c r="O1132" s="9" t="str">
        <f t="shared" si="85"/>
        <v>2024-04</v>
      </c>
    </row>
    <row r="1133" spans="1:15" x14ac:dyDescent="0.25">
      <c r="A1133" s="9" t="s">
        <v>314</v>
      </c>
      <c r="B1133" s="9" t="s">
        <v>45</v>
      </c>
      <c r="C1133" s="25" t="s">
        <v>129</v>
      </c>
      <c r="D1133" s="19">
        <v>336.71</v>
      </c>
      <c r="E1133" s="19">
        <v>345.7</v>
      </c>
      <c r="F1133" s="19">
        <v>336.44</v>
      </c>
      <c r="G1133" s="19">
        <v>345.39</v>
      </c>
      <c r="H1133" s="19">
        <v>345.39</v>
      </c>
      <c r="I1133" s="15">
        <v>7152400</v>
      </c>
      <c r="J1133" s="19">
        <f t="shared" si="87"/>
        <v>2.5778860146713813</v>
      </c>
      <c r="K1133" s="19">
        <f t="shared" ref="K1133:K1196" si="88">AVERAGE(G1114:G1133)</f>
        <v>322.82300000000004</v>
      </c>
      <c r="L1133" s="19">
        <f t="shared" si="86"/>
        <v>332.56599999999997</v>
      </c>
      <c r="M1133" s="19">
        <f>MAX(G1050:G1133)</f>
        <v>350.06</v>
      </c>
      <c r="N1133" s="19">
        <f t="shared" si="84"/>
        <v>-1.3340570187967824</v>
      </c>
      <c r="O1133" s="9" t="str">
        <f t="shared" si="85"/>
        <v>2024-04</v>
      </c>
    </row>
    <row r="1134" spans="1:15" x14ac:dyDescent="0.25">
      <c r="A1134" s="9" t="s">
        <v>314</v>
      </c>
      <c r="B1134" s="9" t="s">
        <v>45</v>
      </c>
      <c r="C1134" s="25" t="s">
        <v>130</v>
      </c>
      <c r="D1134" s="19">
        <v>345.39</v>
      </c>
      <c r="E1134" s="19">
        <v>347.68</v>
      </c>
      <c r="F1134" s="19">
        <v>342.9</v>
      </c>
      <c r="G1134" s="19">
        <v>347.27</v>
      </c>
      <c r="H1134" s="19">
        <v>347.27</v>
      </c>
      <c r="I1134" s="15">
        <v>8841884</v>
      </c>
      <c r="J1134" s="19">
        <f t="shared" si="87"/>
        <v>0.54431222675815616</v>
      </c>
      <c r="K1134" s="19">
        <f t="shared" si="88"/>
        <v>324.01900000000012</v>
      </c>
      <c r="L1134" s="19">
        <f t="shared" si="86"/>
        <v>332.86379999999997</v>
      </c>
      <c r="M1134" s="19">
        <f>MAX(G1050:G1134)</f>
        <v>350.06</v>
      </c>
      <c r="N1134" s="19">
        <f t="shared" si="84"/>
        <v>-0.79700622750386241</v>
      </c>
      <c r="O1134" s="9" t="str">
        <f t="shared" si="85"/>
        <v>2024-04</v>
      </c>
    </row>
    <row r="1135" spans="1:15" x14ac:dyDescent="0.25">
      <c r="A1135" s="9" t="s">
        <v>314</v>
      </c>
      <c r="B1135" s="9" t="s">
        <v>45</v>
      </c>
      <c r="C1135" s="25" t="s">
        <v>131</v>
      </c>
      <c r="D1135" s="19">
        <v>347.27</v>
      </c>
      <c r="E1135" s="19">
        <v>349.99</v>
      </c>
      <c r="F1135" s="19">
        <v>343.1</v>
      </c>
      <c r="G1135" s="19">
        <v>346.04</v>
      </c>
      <c r="H1135" s="19">
        <v>346.04</v>
      </c>
      <c r="I1135" s="15">
        <v>6541227</v>
      </c>
      <c r="J1135" s="19">
        <f t="shared" si="87"/>
        <v>-0.35419126328216127</v>
      </c>
      <c r="K1135" s="19">
        <f t="shared" si="88"/>
        <v>325.44400000000007</v>
      </c>
      <c r="L1135" s="19">
        <f t="shared" si="86"/>
        <v>333.06279999999998</v>
      </c>
      <c r="M1135" s="19">
        <f>MAX(G1050:G1135)</f>
        <v>350.06</v>
      </c>
      <c r="N1135" s="19">
        <f t="shared" si="84"/>
        <v>-1.1483745643603902</v>
      </c>
      <c r="O1135" s="9" t="str">
        <f t="shared" si="85"/>
        <v>2024-04</v>
      </c>
    </row>
    <row r="1136" spans="1:15" x14ac:dyDescent="0.25">
      <c r="A1136" s="9" t="s">
        <v>314</v>
      </c>
      <c r="B1136" s="9" t="s">
        <v>45</v>
      </c>
      <c r="C1136" s="25" t="s">
        <v>132</v>
      </c>
      <c r="D1136" s="19">
        <v>346.04</v>
      </c>
      <c r="E1136" s="19">
        <v>352.6</v>
      </c>
      <c r="F1136" s="19">
        <v>345.28</v>
      </c>
      <c r="G1136" s="19">
        <v>352.56</v>
      </c>
      <c r="H1136" s="19">
        <v>352.56</v>
      </c>
      <c r="I1136" s="15">
        <v>5984285</v>
      </c>
      <c r="J1136" s="19">
        <f t="shared" si="87"/>
        <v>1.8841752398566585</v>
      </c>
      <c r="K1136" s="19">
        <f t="shared" si="88"/>
        <v>327.34700000000009</v>
      </c>
      <c r="L1136" s="19">
        <f t="shared" si="86"/>
        <v>333.35239999999999</v>
      </c>
      <c r="M1136" s="19">
        <f>MAX(G1050:G1136)</f>
        <v>352.56</v>
      </c>
      <c r="N1136" s="19">
        <f t="shared" si="84"/>
        <v>0</v>
      </c>
      <c r="O1136" s="9" t="str">
        <f t="shared" si="85"/>
        <v>2024-04</v>
      </c>
    </row>
    <row r="1137" spans="1:15" x14ac:dyDescent="0.25">
      <c r="A1137" s="9" t="s">
        <v>314</v>
      </c>
      <c r="B1137" s="9" t="s">
        <v>45</v>
      </c>
      <c r="C1137" s="25" t="s">
        <v>133</v>
      </c>
      <c r="D1137" s="19">
        <v>352.56</v>
      </c>
      <c r="E1137" s="19">
        <v>353.14</v>
      </c>
      <c r="F1137" s="19">
        <v>347.76</v>
      </c>
      <c r="G1137" s="19">
        <v>350.02</v>
      </c>
      <c r="H1137" s="19">
        <v>350.02</v>
      </c>
      <c r="I1137" s="15">
        <v>7226430</v>
      </c>
      <c r="J1137" s="19">
        <f t="shared" si="87"/>
        <v>-0.72044474699342542</v>
      </c>
      <c r="K1137" s="19">
        <f t="shared" si="88"/>
        <v>329.17700000000013</v>
      </c>
      <c r="L1137" s="19">
        <f t="shared" si="86"/>
        <v>333.66500000000002</v>
      </c>
      <c r="M1137" s="19">
        <f>MAX(G1050:G1137)</f>
        <v>352.56</v>
      </c>
      <c r="N1137" s="19">
        <f t="shared" si="84"/>
        <v>-0.72044474699342542</v>
      </c>
      <c r="O1137" s="9" t="str">
        <f t="shared" si="85"/>
        <v>2024-05</v>
      </c>
    </row>
    <row r="1138" spans="1:15" x14ac:dyDescent="0.25">
      <c r="A1138" s="9" t="s">
        <v>314</v>
      </c>
      <c r="B1138" s="9" t="s">
        <v>45</v>
      </c>
      <c r="C1138" s="25" t="s">
        <v>134</v>
      </c>
      <c r="D1138" s="19">
        <v>350.02</v>
      </c>
      <c r="E1138" s="19">
        <v>358.4</v>
      </c>
      <c r="F1138" s="19">
        <v>349.88</v>
      </c>
      <c r="G1138" s="19">
        <v>356.23</v>
      </c>
      <c r="H1138" s="19">
        <v>356.23</v>
      </c>
      <c r="I1138" s="15">
        <v>10940317</v>
      </c>
      <c r="J1138" s="19">
        <f t="shared" si="87"/>
        <v>1.7741843323238777</v>
      </c>
      <c r="K1138" s="19">
        <f t="shared" si="88"/>
        <v>331.54200000000003</v>
      </c>
      <c r="L1138" s="19">
        <f t="shared" si="86"/>
        <v>334.15340000000003</v>
      </c>
      <c r="M1138" s="19">
        <f>MAX(G1050:G1138)</f>
        <v>356.23</v>
      </c>
      <c r="N1138" s="19">
        <f t="shared" si="84"/>
        <v>0</v>
      </c>
      <c r="O1138" s="9" t="str">
        <f t="shared" si="85"/>
        <v>2024-05</v>
      </c>
    </row>
    <row r="1139" spans="1:15" x14ac:dyDescent="0.25">
      <c r="A1139" s="9" t="s">
        <v>314</v>
      </c>
      <c r="B1139" s="9" t="s">
        <v>45</v>
      </c>
      <c r="C1139" s="25" t="s">
        <v>135</v>
      </c>
      <c r="D1139" s="19">
        <v>356.23</v>
      </c>
      <c r="E1139" s="19">
        <v>356.86</v>
      </c>
      <c r="F1139" s="19">
        <v>354.55</v>
      </c>
      <c r="G1139" s="19">
        <v>356.67</v>
      </c>
      <c r="H1139" s="19">
        <v>356.67</v>
      </c>
      <c r="I1139" s="15">
        <v>10850430</v>
      </c>
      <c r="J1139" s="19">
        <f t="shared" si="87"/>
        <v>0.12351570614490574</v>
      </c>
      <c r="K1139" s="19">
        <f t="shared" si="88"/>
        <v>333.53550000000007</v>
      </c>
      <c r="L1139" s="19">
        <f t="shared" si="86"/>
        <v>334.7364</v>
      </c>
      <c r="M1139" s="19">
        <f>MAX(G1050:G1139)</f>
        <v>356.67</v>
      </c>
      <c r="N1139" s="19">
        <f t="shared" si="84"/>
        <v>0</v>
      </c>
      <c r="O1139" s="9" t="str">
        <f t="shared" si="85"/>
        <v>2024-05</v>
      </c>
    </row>
    <row r="1140" spans="1:15" x14ac:dyDescent="0.25">
      <c r="A1140" s="9" t="s">
        <v>314</v>
      </c>
      <c r="B1140" s="9" t="s">
        <v>45</v>
      </c>
      <c r="C1140" s="25" t="s">
        <v>136</v>
      </c>
      <c r="D1140" s="19">
        <v>356.67</v>
      </c>
      <c r="E1140" s="19">
        <v>356.96</v>
      </c>
      <c r="F1140" s="19">
        <v>354.03</v>
      </c>
      <c r="G1140" s="19">
        <v>354.6</v>
      </c>
      <c r="H1140" s="19">
        <v>354.6</v>
      </c>
      <c r="I1140" s="15">
        <v>9258235</v>
      </c>
      <c r="J1140" s="19">
        <f t="shared" si="87"/>
        <v>-0.58036840777188803</v>
      </c>
      <c r="K1140" s="19">
        <f t="shared" si="88"/>
        <v>335.45500000000004</v>
      </c>
      <c r="L1140" s="19">
        <f t="shared" si="86"/>
        <v>335.25859999999994</v>
      </c>
      <c r="M1140" s="19">
        <f>MAX(G1050:G1140)</f>
        <v>356.67</v>
      </c>
      <c r="N1140" s="19">
        <f t="shared" si="84"/>
        <v>-0.58036840777188803</v>
      </c>
      <c r="O1140" s="9" t="str">
        <f t="shared" si="85"/>
        <v>2024-05</v>
      </c>
    </row>
    <row r="1141" spans="1:15" x14ac:dyDescent="0.25">
      <c r="A1141" s="9" t="s">
        <v>314</v>
      </c>
      <c r="B1141" s="9" t="s">
        <v>45</v>
      </c>
      <c r="C1141" s="25" t="s">
        <v>137</v>
      </c>
      <c r="D1141" s="19">
        <v>354.6</v>
      </c>
      <c r="E1141" s="19">
        <v>355.7</v>
      </c>
      <c r="F1141" s="19">
        <v>352.14</v>
      </c>
      <c r="G1141" s="19">
        <v>352.32</v>
      </c>
      <c r="H1141" s="19">
        <v>352.32</v>
      </c>
      <c r="I1141" s="15">
        <v>12653429</v>
      </c>
      <c r="J1141" s="19">
        <f t="shared" si="87"/>
        <v>-0.64297800338410305</v>
      </c>
      <c r="K1141" s="19">
        <f t="shared" si="88"/>
        <v>337.40600000000006</v>
      </c>
      <c r="L1141" s="19">
        <f t="shared" si="86"/>
        <v>335.60859999999991</v>
      </c>
      <c r="M1141" s="19">
        <f>MAX(G1050:G1141)</f>
        <v>356.67</v>
      </c>
      <c r="N1141" s="19">
        <f t="shared" si="84"/>
        <v>-1.2196147699554274</v>
      </c>
      <c r="O1141" s="9" t="str">
        <f t="shared" si="85"/>
        <v>2024-05</v>
      </c>
    </row>
    <row r="1142" spans="1:15" x14ac:dyDescent="0.25">
      <c r="A1142" s="9" t="s">
        <v>314</v>
      </c>
      <c r="B1142" s="9" t="s">
        <v>45</v>
      </c>
      <c r="C1142" s="25" t="s">
        <v>138</v>
      </c>
      <c r="D1142" s="19">
        <v>352.32</v>
      </c>
      <c r="E1142" s="19">
        <v>353.27</v>
      </c>
      <c r="F1142" s="19">
        <v>346.2</v>
      </c>
      <c r="G1142" s="19">
        <v>347.63</v>
      </c>
      <c r="H1142" s="19">
        <v>347.63</v>
      </c>
      <c r="I1142" s="15">
        <v>4839802</v>
      </c>
      <c r="J1142" s="19">
        <f t="shared" si="87"/>
        <v>-1.3311762034514072</v>
      </c>
      <c r="K1142" s="19">
        <f t="shared" si="88"/>
        <v>339.04100000000005</v>
      </c>
      <c r="L1142" s="19">
        <f t="shared" si="86"/>
        <v>335.83699999999999</v>
      </c>
      <c r="M1142" s="19">
        <f>MAX(G1050:G1142)</f>
        <v>356.67</v>
      </c>
      <c r="N1142" s="19">
        <f t="shared" si="84"/>
        <v>-2.5345557518154092</v>
      </c>
      <c r="O1142" s="9" t="str">
        <f t="shared" si="85"/>
        <v>2024-05</v>
      </c>
    </row>
    <row r="1143" spans="1:15" x14ac:dyDescent="0.25">
      <c r="A1143" s="9" t="s">
        <v>314</v>
      </c>
      <c r="B1143" s="9" t="s">
        <v>45</v>
      </c>
      <c r="C1143" s="25" t="s">
        <v>139</v>
      </c>
      <c r="D1143" s="19">
        <v>347.63</v>
      </c>
      <c r="E1143" s="19">
        <v>352.34</v>
      </c>
      <c r="F1143" s="19">
        <v>347.06</v>
      </c>
      <c r="G1143" s="19">
        <v>351.4</v>
      </c>
      <c r="H1143" s="19">
        <v>351.4</v>
      </c>
      <c r="I1143" s="15">
        <v>7420981</v>
      </c>
      <c r="J1143" s="19">
        <f t="shared" si="87"/>
        <v>1.0844863791962667</v>
      </c>
      <c r="K1143" s="19">
        <f t="shared" si="88"/>
        <v>340.78349999999995</v>
      </c>
      <c r="L1143" s="19">
        <f t="shared" si="86"/>
        <v>336.09539999999998</v>
      </c>
      <c r="M1143" s="19">
        <f>MAX(G1050:G1143)</f>
        <v>356.67</v>
      </c>
      <c r="N1143" s="19">
        <f t="shared" si="84"/>
        <v>-1.4775562845207162</v>
      </c>
      <c r="O1143" s="9" t="str">
        <f t="shared" si="85"/>
        <v>2024-05</v>
      </c>
    </row>
    <row r="1144" spans="1:15" x14ac:dyDescent="0.25">
      <c r="A1144" s="9" t="s">
        <v>314</v>
      </c>
      <c r="B1144" s="9" t="s">
        <v>45</v>
      </c>
      <c r="C1144" s="25" t="s">
        <v>140</v>
      </c>
      <c r="D1144" s="19">
        <v>351.4</v>
      </c>
      <c r="E1144" s="19">
        <v>357.65</v>
      </c>
      <c r="F1144" s="19">
        <v>349</v>
      </c>
      <c r="G1144" s="19">
        <v>354.95</v>
      </c>
      <c r="H1144" s="19">
        <v>354.95</v>
      </c>
      <c r="I1144" s="15">
        <v>2535221</v>
      </c>
      <c r="J1144" s="19">
        <f t="shared" si="87"/>
        <v>1.0102447353443402</v>
      </c>
      <c r="K1144" s="19">
        <f t="shared" si="88"/>
        <v>342.73249999999996</v>
      </c>
      <c r="L1144" s="19">
        <f t="shared" si="86"/>
        <v>336.30659999999995</v>
      </c>
      <c r="M1144" s="19">
        <f>MAX(G1050:G1144)</f>
        <v>356.67</v>
      </c>
      <c r="N1144" s="19">
        <f t="shared" si="84"/>
        <v>-0.48223848375249589</v>
      </c>
      <c r="O1144" s="9" t="str">
        <f t="shared" si="85"/>
        <v>2024-05</v>
      </c>
    </row>
    <row r="1145" spans="1:15" x14ac:dyDescent="0.25">
      <c r="A1145" s="9" t="s">
        <v>314</v>
      </c>
      <c r="B1145" s="9" t="s">
        <v>45</v>
      </c>
      <c r="C1145" s="25" t="s">
        <v>141</v>
      </c>
      <c r="D1145" s="19">
        <v>354.95</v>
      </c>
      <c r="E1145" s="19">
        <v>357.47</v>
      </c>
      <c r="F1145" s="19">
        <v>354.19</v>
      </c>
      <c r="G1145" s="19">
        <v>355.9</v>
      </c>
      <c r="H1145" s="19">
        <v>355.9</v>
      </c>
      <c r="I1145" s="15">
        <v>7782720</v>
      </c>
      <c r="J1145" s="19">
        <f t="shared" si="87"/>
        <v>0.26764333004648222</v>
      </c>
      <c r="K1145" s="19">
        <f t="shared" si="88"/>
        <v>344.428</v>
      </c>
      <c r="L1145" s="19">
        <f t="shared" si="86"/>
        <v>336.42339999999996</v>
      </c>
      <c r="M1145" s="19">
        <f>MAX(G1050:G1145)</f>
        <v>356.67</v>
      </c>
      <c r="N1145" s="19">
        <f t="shared" si="84"/>
        <v>-0.21588583284269455</v>
      </c>
      <c r="O1145" s="9" t="str">
        <f t="shared" si="85"/>
        <v>2024-05</v>
      </c>
    </row>
    <row r="1146" spans="1:15" x14ac:dyDescent="0.25">
      <c r="A1146" s="9" t="s">
        <v>314</v>
      </c>
      <c r="B1146" s="9" t="s">
        <v>45</v>
      </c>
      <c r="C1146" s="25" t="s">
        <v>142</v>
      </c>
      <c r="D1146" s="19">
        <v>355.9</v>
      </c>
      <c r="E1146" s="19">
        <v>358.08</v>
      </c>
      <c r="F1146" s="19">
        <v>355.28</v>
      </c>
      <c r="G1146" s="19">
        <v>357.8</v>
      </c>
      <c r="H1146" s="19">
        <v>357.8</v>
      </c>
      <c r="I1146" s="15">
        <v>9801408</v>
      </c>
      <c r="J1146" s="19">
        <f t="shared" si="87"/>
        <v>0.53385782523181624</v>
      </c>
      <c r="K1146" s="19">
        <f t="shared" si="88"/>
        <v>345.99999999999994</v>
      </c>
      <c r="L1146" s="19">
        <f t="shared" si="86"/>
        <v>336.60140000000001</v>
      </c>
      <c r="M1146" s="19">
        <f>MAX(G1050:G1146)</f>
        <v>357.8</v>
      </c>
      <c r="N1146" s="19">
        <f t="shared" si="84"/>
        <v>0</v>
      </c>
      <c r="O1146" s="9" t="str">
        <f t="shared" si="85"/>
        <v>2024-05</v>
      </c>
    </row>
    <row r="1147" spans="1:15" x14ac:dyDescent="0.25">
      <c r="A1147" s="9" t="s">
        <v>314</v>
      </c>
      <c r="B1147" s="9" t="s">
        <v>45</v>
      </c>
      <c r="C1147" s="25" t="s">
        <v>143</v>
      </c>
      <c r="D1147" s="19">
        <v>357.8</v>
      </c>
      <c r="E1147" s="19">
        <v>359.49</v>
      </c>
      <c r="F1147" s="19">
        <v>356.46</v>
      </c>
      <c r="G1147" s="19">
        <v>359.04</v>
      </c>
      <c r="H1147" s="19">
        <v>359.04</v>
      </c>
      <c r="I1147" s="15">
        <v>10606357</v>
      </c>
      <c r="J1147" s="19">
        <f t="shared" si="87"/>
        <v>0.34656232532141112</v>
      </c>
      <c r="K1147" s="19">
        <f t="shared" si="88"/>
        <v>347.44799999999998</v>
      </c>
      <c r="L1147" s="19">
        <f t="shared" si="86"/>
        <v>337.11080000000004</v>
      </c>
      <c r="M1147" s="19">
        <f>MAX(G1050:G1147)</f>
        <v>359.04</v>
      </c>
      <c r="N1147" s="19">
        <f t="shared" si="84"/>
        <v>0</v>
      </c>
      <c r="O1147" s="9" t="str">
        <f t="shared" si="85"/>
        <v>2024-05</v>
      </c>
    </row>
    <row r="1148" spans="1:15" x14ac:dyDescent="0.25">
      <c r="A1148" s="9" t="s">
        <v>314</v>
      </c>
      <c r="B1148" s="9" t="s">
        <v>45</v>
      </c>
      <c r="C1148" s="25" t="s">
        <v>144</v>
      </c>
      <c r="D1148" s="19">
        <v>359.04</v>
      </c>
      <c r="E1148" s="19">
        <v>360.2</v>
      </c>
      <c r="F1148" s="19">
        <v>356.11</v>
      </c>
      <c r="G1148" s="19">
        <v>356.59</v>
      </c>
      <c r="H1148" s="19">
        <v>356.59</v>
      </c>
      <c r="I1148" s="15">
        <v>6450148</v>
      </c>
      <c r="J1148" s="19">
        <f t="shared" si="87"/>
        <v>-0.68237522281641194</v>
      </c>
      <c r="K1148" s="19">
        <f t="shared" si="88"/>
        <v>348.91049999999996</v>
      </c>
      <c r="L1148" s="19">
        <f t="shared" si="86"/>
        <v>337.61799999999994</v>
      </c>
      <c r="M1148" s="19">
        <f>MAX(G1050:G1148)</f>
        <v>359.04</v>
      </c>
      <c r="N1148" s="19">
        <f t="shared" si="84"/>
        <v>-0.68237522281641194</v>
      </c>
      <c r="O1148" s="9" t="str">
        <f t="shared" si="85"/>
        <v>2024-05</v>
      </c>
    </row>
    <row r="1149" spans="1:15" x14ac:dyDescent="0.25">
      <c r="A1149" s="9" t="s">
        <v>314</v>
      </c>
      <c r="B1149" s="9" t="s">
        <v>45</v>
      </c>
      <c r="C1149" s="25" t="s">
        <v>145</v>
      </c>
      <c r="D1149" s="19">
        <v>356.59</v>
      </c>
      <c r="E1149" s="19">
        <v>356.72</v>
      </c>
      <c r="F1149" s="19">
        <v>352.27</v>
      </c>
      <c r="G1149" s="19">
        <v>352.3</v>
      </c>
      <c r="H1149" s="19">
        <v>352.3</v>
      </c>
      <c r="I1149" s="15">
        <v>7272368</v>
      </c>
      <c r="J1149" s="19">
        <f t="shared" si="87"/>
        <v>-1.2030623405030887</v>
      </c>
      <c r="K1149" s="19">
        <f t="shared" si="88"/>
        <v>350.27249999999998</v>
      </c>
      <c r="L1149" s="19">
        <f t="shared" si="86"/>
        <v>337.86220000000003</v>
      </c>
      <c r="M1149" s="19">
        <f>MAX(G1050:G1149)</f>
        <v>359.04</v>
      </c>
      <c r="N1149" s="19">
        <f t="shared" si="84"/>
        <v>-1.8772281639928723</v>
      </c>
      <c r="O1149" s="9" t="str">
        <f t="shared" si="85"/>
        <v>2024-05</v>
      </c>
    </row>
    <row r="1150" spans="1:15" x14ac:dyDescent="0.25">
      <c r="A1150" s="9" t="s">
        <v>314</v>
      </c>
      <c r="B1150" s="9" t="s">
        <v>45</v>
      </c>
      <c r="C1150" s="25" t="s">
        <v>146</v>
      </c>
      <c r="D1150" s="19">
        <v>352.3</v>
      </c>
      <c r="E1150" s="19">
        <v>358.79</v>
      </c>
      <c r="F1150" s="19">
        <v>350.82</v>
      </c>
      <c r="G1150" s="19">
        <v>356.49</v>
      </c>
      <c r="H1150" s="19">
        <v>356.49</v>
      </c>
      <c r="I1150" s="15">
        <v>5926517</v>
      </c>
      <c r="J1150" s="19">
        <f t="shared" si="87"/>
        <v>1.1893272778881627</v>
      </c>
      <c r="K1150" s="19">
        <f t="shared" si="88"/>
        <v>351.36299999999994</v>
      </c>
      <c r="L1150" s="19">
        <f t="shared" si="86"/>
        <v>338.11120000000011</v>
      </c>
      <c r="M1150" s="19">
        <f>MAX(G1050:G1150)</f>
        <v>359.04</v>
      </c>
      <c r="N1150" s="19">
        <f t="shared" si="84"/>
        <v>-0.71022727272727582</v>
      </c>
      <c r="O1150" s="9" t="str">
        <f t="shared" si="85"/>
        <v>2024-05</v>
      </c>
    </row>
    <row r="1151" spans="1:15" x14ac:dyDescent="0.25">
      <c r="A1151" s="9" t="s">
        <v>314</v>
      </c>
      <c r="B1151" s="9" t="s">
        <v>45</v>
      </c>
      <c r="C1151" s="25" t="s">
        <v>147</v>
      </c>
      <c r="D1151" s="19">
        <v>356.49</v>
      </c>
      <c r="E1151" s="19">
        <v>360.17</v>
      </c>
      <c r="F1151" s="19">
        <v>356.34</v>
      </c>
      <c r="G1151" s="19">
        <v>358.88</v>
      </c>
      <c r="H1151" s="19">
        <v>358.88</v>
      </c>
      <c r="I1151" s="15">
        <v>7594827</v>
      </c>
      <c r="J1151" s="19">
        <f t="shared" si="87"/>
        <v>0.67042553788324677</v>
      </c>
      <c r="K1151" s="19">
        <f t="shared" si="88"/>
        <v>352.43950000000001</v>
      </c>
      <c r="L1151" s="19">
        <f t="shared" si="86"/>
        <v>338.31200000000007</v>
      </c>
      <c r="M1151" s="19">
        <f>MAX(G1050:G1151)</f>
        <v>359.04</v>
      </c>
      <c r="N1151" s="19">
        <f t="shared" si="84"/>
        <v>-4.4563279857404471E-2</v>
      </c>
      <c r="O1151" s="9" t="str">
        <f t="shared" si="85"/>
        <v>2024-05</v>
      </c>
    </row>
    <row r="1152" spans="1:15" x14ac:dyDescent="0.25">
      <c r="A1152" s="9" t="s">
        <v>314</v>
      </c>
      <c r="B1152" s="9" t="s">
        <v>45</v>
      </c>
      <c r="C1152" s="25" t="s">
        <v>148</v>
      </c>
      <c r="D1152" s="19">
        <v>358.88</v>
      </c>
      <c r="E1152" s="19">
        <v>361.15</v>
      </c>
      <c r="F1152" s="19">
        <v>358.38</v>
      </c>
      <c r="G1152" s="19">
        <v>359.48</v>
      </c>
      <c r="H1152" s="19">
        <v>359.48</v>
      </c>
      <c r="I1152" s="15">
        <v>10792421</v>
      </c>
      <c r="J1152" s="19">
        <f t="shared" si="87"/>
        <v>0.16718680338832556</v>
      </c>
      <c r="K1152" s="19">
        <f t="shared" si="88"/>
        <v>353.57800000000009</v>
      </c>
      <c r="L1152" s="19">
        <f t="shared" si="86"/>
        <v>338.58979999999997</v>
      </c>
      <c r="M1152" s="19">
        <f>MAX(G1050:G1152)</f>
        <v>359.48</v>
      </c>
      <c r="N1152" s="19">
        <f t="shared" si="84"/>
        <v>0</v>
      </c>
      <c r="O1152" s="9" t="str">
        <f t="shared" si="85"/>
        <v>2024-05</v>
      </c>
    </row>
    <row r="1153" spans="1:15" x14ac:dyDescent="0.25">
      <c r="A1153" s="9" t="s">
        <v>314</v>
      </c>
      <c r="B1153" s="9" t="s">
        <v>45</v>
      </c>
      <c r="C1153" s="25" t="s">
        <v>149</v>
      </c>
      <c r="D1153" s="19">
        <v>359.48</v>
      </c>
      <c r="E1153" s="19">
        <v>361.99</v>
      </c>
      <c r="F1153" s="19">
        <v>359.21</v>
      </c>
      <c r="G1153" s="19">
        <v>361.06</v>
      </c>
      <c r="H1153" s="19">
        <v>361.06</v>
      </c>
      <c r="I1153" s="15">
        <v>10402510</v>
      </c>
      <c r="J1153" s="19">
        <f t="shared" si="87"/>
        <v>0.43952375653721593</v>
      </c>
      <c r="K1153" s="19">
        <f t="shared" si="88"/>
        <v>354.36150000000004</v>
      </c>
      <c r="L1153" s="19">
        <f t="shared" si="86"/>
        <v>338.87599999999998</v>
      </c>
      <c r="M1153" s="19">
        <f>MAX(G1050:G1153)</f>
        <v>361.06</v>
      </c>
      <c r="N1153" s="19">
        <f t="shared" si="84"/>
        <v>0</v>
      </c>
      <c r="O1153" s="9" t="str">
        <f t="shared" si="85"/>
        <v>2024-05</v>
      </c>
    </row>
    <row r="1154" spans="1:15" x14ac:dyDescent="0.25">
      <c r="A1154" s="9" t="s">
        <v>314</v>
      </c>
      <c r="B1154" s="9" t="s">
        <v>45</v>
      </c>
      <c r="C1154" s="25" t="s">
        <v>150</v>
      </c>
      <c r="D1154" s="19">
        <v>361.06</v>
      </c>
      <c r="E1154" s="19">
        <v>362.04</v>
      </c>
      <c r="F1154" s="19">
        <v>345.6</v>
      </c>
      <c r="G1154" s="19">
        <v>347.65</v>
      </c>
      <c r="H1154" s="19">
        <v>347.65</v>
      </c>
      <c r="I1154" s="15">
        <v>7155168</v>
      </c>
      <c r="J1154" s="19">
        <f t="shared" si="87"/>
        <v>-3.7140641444635309</v>
      </c>
      <c r="K1154" s="19">
        <f t="shared" si="88"/>
        <v>354.38049999999998</v>
      </c>
      <c r="L1154" s="19">
        <f t="shared" si="86"/>
        <v>338.91120000000001</v>
      </c>
      <c r="M1154" s="19">
        <f>MAX(G1050:G1154)</f>
        <v>361.06</v>
      </c>
      <c r="N1154" s="19">
        <f t="shared" ref="N1154:N1217" si="89">(G1154-M1154)/M1154*100</f>
        <v>-3.7140641444635309</v>
      </c>
      <c r="O1154" s="9" t="str">
        <f t="shared" ref="O1154:O1217" si="90">TEXT(C1154,"yyyy-mm")</f>
        <v>2024-05</v>
      </c>
    </row>
    <row r="1155" spans="1:15" x14ac:dyDescent="0.25">
      <c r="A1155" s="9" t="s">
        <v>314</v>
      </c>
      <c r="B1155" s="9" t="s">
        <v>45</v>
      </c>
      <c r="C1155" s="25" t="s">
        <v>151</v>
      </c>
      <c r="D1155" s="19">
        <v>347.65</v>
      </c>
      <c r="E1155" s="19">
        <v>352.53</v>
      </c>
      <c r="F1155" s="19">
        <v>345.41</v>
      </c>
      <c r="G1155" s="19">
        <v>352.21</v>
      </c>
      <c r="H1155" s="19">
        <v>352.21</v>
      </c>
      <c r="I1155" s="15">
        <v>11155794</v>
      </c>
      <c r="J1155" s="19">
        <f t="shared" si="87"/>
        <v>1.3116640299151452</v>
      </c>
      <c r="K1155" s="19">
        <f t="shared" si="88"/>
        <v>354.68900000000002</v>
      </c>
      <c r="L1155" s="19">
        <f t="shared" si="86"/>
        <v>339.1542</v>
      </c>
      <c r="M1155" s="19">
        <f>MAX(G1050:G1155)</f>
        <v>361.06</v>
      </c>
      <c r="N1155" s="19">
        <f t="shared" si="89"/>
        <v>-2.4511161579792895</v>
      </c>
      <c r="O1155" s="9" t="str">
        <f t="shared" si="90"/>
        <v>2024-05</v>
      </c>
    </row>
    <row r="1156" spans="1:15" x14ac:dyDescent="0.25">
      <c r="A1156" s="9" t="s">
        <v>314</v>
      </c>
      <c r="B1156" s="9" t="s">
        <v>45</v>
      </c>
      <c r="C1156" s="25" t="s">
        <v>152</v>
      </c>
      <c r="D1156" s="19">
        <v>352.21</v>
      </c>
      <c r="E1156" s="19">
        <v>361.61</v>
      </c>
      <c r="F1156" s="19">
        <v>350.85</v>
      </c>
      <c r="G1156" s="19">
        <v>360.54</v>
      </c>
      <c r="H1156" s="19">
        <v>360.54</v>
      </c>
      <c r="I1156" s="15">
        <v>8072387</v>
      </c>
      <c r="J1156" s="19">
        <f t="shared" si="87"/>
        <v>2.365066295675887</v>
      </c>
      <c r="K1156" s="19">
        <f t="shared" si="88"/>
        <v>355.08799999999997</v>
      </c>
      <c r="L1156" s="19">
        <f t="shared" si="86"/>
        <v>339.52819999999997</v>
      </c>
      <c r="M1156" s="19">
        <f>MAX(G1050:G1156)</f>
        <v>361.06</v>
      </c>
      <c r="N1156" s="19">
        <f t="shared" si="89"/>
        <v>-0.14402038442363646</v>
      </c>
      <c r="O1156" s="9" t="str">
        <f t="shared" si="90"/>
        <v>2024-05</v>
      </c>
    </row>
    <row r="1157" spans="1:15" x14ac:dyDescent="0.25">
      <c r="A1157" s="9" t="s">
        <v>314</v>
      </c>
      <c r="B1157" s="9" t="s">
        <v>45</v>
      </c>
      <c r="C1157" s="25" t="s">
        <v>153</v>
      </c>
      <c r="D1157" s="19">
        <v>360.54</v>
      </c>
      <c r="E1157" s="19">
        <v>364.01</v>
      </c>
      <c r="F1157" s="19">
        <v>359.32</v>
      </c>
      <c r="G1157" s="19">
        <v>359.5</v>
      </c>
      <c r="H1157" s="19">
        <v>359.5</v>
      </c>
      <c r="I1157" s="15">
        <v>9323564</v>
      </c>
      <c r="J1157" s="19">
        <f t="shared" si="87"/>
        <v>-0.28845620458202148</v>
      </c>
      <c r="K1157" s="19">
        <f t="shared" si="88"/>
        <v>355.56200000000001</v>
      </c>
      <c r="L1157" s="19">
        <f t="shared" si="86"/>
        <v>339.91199999999998</v>
      </c>
      <c r="M1157" s="19">
        <f>MAX(G1050:G1157)</f>
        <v>361.06</v>
      </c>
      <c r="N1157" s="19">
        <f t="shared" si="89"/>
        <v>-0.43206115327092509</v>
      </c>
      <c r="O1157" s="9" t="str">
        <f t="shared" si="90"/>
        <v>2024-05</v>
      </c>
    </row>
    <row r="1158" spans="1:15" x14ac:dyDescent="0.25">
      <c r="A1158" s="9" t="s">
        <v>314</v>
      </c>
      <c r="B1158" s="9" t="s">
        <v>45</v>
      </c>
      <c r="C1158" s="25" t="s">
        <v>154</v>
      </c>
      <c r="D1158" s="19">
        <v>359.5</v>
      </c>
      <c r="E1158" s="19">
        <v>362.41</v>
      </c>
      <c r="F1158" s="19">
        <v>359.35</v>
      </c>
      <c r="G1158" s="19">
        <v>359.97</v>
      </c>
      <c r="H1158" s="19">
        <v>359.97</v>
      </c>
      <c r="I1158" s="15">
        <v>7557544</v>
      </c>
      <c r="J1158" s="19">
        <f t="shared" si="87"/>
        <v>0.13073713490960426</v>
      </c>
      <c r="K1158" s="19">
        <f t="shared" si="88"/>
        <v>355.74900000000008</v>
      </c>
      <c r="L1158" s="19">
        <f t="shared" si="86"/>
        <v>340.30300000000005</v>
      </c>
      <c r="M1158" s="19">
        <f>MAX(G1050:G1158)</f>
        <v>361.06</v>
      </c>
      <c r="N1158" s="19">
        <f t="shared" si="89"/>
        <v>-0.3018888827341647</v>
      </c>
      <c r="O1158" s="9" t="str">
        <f t="shared" si="90"/>
        <v>2024-05</v>
      </c>
    </row>
    <row r="1159" spans="1:15" x14ac:dyDescent="0.25">
      <c r="A1159" s="9" t="s">
        <v>314</v>
      </c>
      <c r="B1159" s="9" t="s">
        <v>45</v>
      </c>
      <c r="C1159" s="25" t="s">
        <v>155</v>
      </c>
      <c r="D1159" s="19">
        <v>359.97</v>
      </c>
      <c r="E1159" s="19">
        <v>363.15</v>
      </c>
      <c r="F1159" s="19">
        <v>357.39</v>
      </c>
      <c r="G1159" s="19">
        <v>358.01</v>
      </c>
      <c r="H1159" s="19">
        <v>358.01</v>
      </c>
      <c r="I1159" s="15">
        <v>6338189</v>
      </c>
      <c r="J1159" s="19">
        <f t="shared" si="87"/>
        <v>-0.5444898185960042</v>
      </c>
      <c r="K1159" s="19">
        <f t="shared" si="88"/>
        <v>355.81600000000009</v>
      </c>
      <c r="L1159" s="19">
        <f t="shared" si="86"/>
        <v>340.61619999999994</v>
      </c>
      <c r="M1159" s="19">
        <f>MAX(G1050:G1159)</f>
        <v>361.06</v>
      </c>
      <c r="N1159" s="19">
        <f t="shared" si="89"/>
        <v>-0.84473494710020813</v>
      </c>
      <c r="O1159" s="9" t="str">
        <f t="shared" si="90"/>
        <v>2024-05</v>
      </c>
    </row>
    <row r="1160" spans="1:15" x14ac:dyDescent="0.25">
      <c r="A1160" s="9" t="s">
        <v>314</v>
      </c>
      <c r="B1160" s="9" t="s">
        <v>45</v>
      </c>
      <c r="C1160" s="25" t="s">
        <v>156</v>
      </c>
      <c r="D1160" s="19">
        <v>358.01</v>
      </c>
      <c r="E1160" s="19">
        <v>358.12</v>
      </c>
      <c r="F1160" s="19">
        <v>349.95</v>
      </c>
      <c r="G1160" s="19">
        <v>351.21</v>
      </c>
      <c r="H1160" s="19">
        <v>351.21</v>
      </c>
      <c r="I1160" s="15">
        <v>6393415</v>
      </c>
      <c r="J1160" s="19">
        <f t="shared" si="87"/>
        <v>-1.8993882852434321</v>
      </c>
      <c r="K1160" s="19">
        <f t="shared" si="88"/>
        <v>355.64650000000006</v>
      </c>
      <c r="L1160" s="19">
        <f t="shared" si="86"/>
        <v>340.79819999999995</v>
      </c>
      <c r="M1160" s="19">
        <f>MAX(G1050:G1160)</f>
        <v>361.06</v>
      </c>
      <c r="N1160" s="19">
        <f t="shared" si="89"/>
        <v>-2.7280784357170615</v>
      </c>
      <c r="O1160" s="9" t="str">
        <f t="shared" si="90"/>
        <v>2024-06</v>
      </c>
    </row>
    <row r="1161" spans="1:15" x14ac:dyDescent="0.25">
      <c r="A1161" s="9" t="s">
        <v>314</v>
      </c>
      <c r="B1161" s="9" t="s">
        <v>45</v>
      </c>
      <c r="C1161" s="25" t="s">
        <v>157</v>
      </c>
      <c r="D1161" s="19">
        <v>351.21</v>
      </c>
      <c r="E1161" s="19">
        <v>379.72</v>
      </c>
      <c r="F1161" s="19">
        <v>350.53</v>
      </c>
      <c r="G1161" s="19">
        <v>379.71</v>
      </c>
      <c r="H1161" s="19">
        <v>379.71</v>
      </c>
      <c r="I1161" s="15">
        <v>28850568</v>
      </c>
      <c r="J1161" s="19">
        <f t="shared" si="87"/>
        <v>8.1148031092508752</v>
      </c>
      <c r="K1161" s="19">
        <f t="shared" si="88"/>
        <v>357.01600000000002</v>
      </c>
      <c r="L1161" s="19">
        <f t="shared" si="86"/>
        <v>341.62579999999997</v>
      </c>
      <c r="M1161" s="19">
        <f>MAX(G1050:G1161)</f>
        <v>379.71</v>
      </c>
      <c r="N1161" s="19">
        <f t="shared" si="89"/>
        <v>0</v>
      </c>
      <c r="O1161" s="9" t="str">
        <f t="shared" si="90"/>
        <v>2024-06</v>
      </c>
    </row>
    <row r="1162" spans="1:15" x14ac:dyDescent="0.25">
      <c r="A1162" s="9" t="s">
        <v>314</v>
      </c>
      <c r="B1162" s="9" t="s">
        <v>45</v>
      </c>
      <c r="C1162" s="25" t="s">
        <v>158</v>
      </c>
      <c r="D1162" s="19">
        <v>379.71</v>
      </c>
      <c r="E1162" s="19">
        <v>380.19</v>
      </c>
      <c r="F1162" s="19">
        <v>371.4</v>
      </c>
      <c r="G1162" s="19">
        <v>372.27</v>
      </c>
      <c r="H1162" s="19">
        <v>372.27</v>
      </c>
      <c r="I1162" s="15">
        <v>10048911</v>
      </c>
      <c r="J1162" s="19">
        <f t="shared" si="87"/>
        <v>-1.9593900608359007</v>
      </c>
      <c r="K1162" s="19">
        <f t="shared" si="88"/>
        <v>358.24800000000005</v>
      </c>
      <c r="L1162" s="19">
        <f t="shared" si="86"/>
        <v>342.30199999999996</v>
      </c>
      <c r="M1162" s="19">
        <f>MAX(G1050:G1162)</f>
        <v>379.71</v>
      </c>
      <c r="N1162" s="19">
        <f t="shared" si="89"/>
        <v>-1.9593900608359007</v>
      </c>
      <c r="O1162" s="9" t="str">
        <f t="shared" si="90"/>
        <v>2024-06</v>
      </c>
    </row>
    <row r="1163" spans="1:15" x14ac:dyDescent="0.25">
      <c r="A1163" s="9" t="s">
        <v>314</v>
      </c>
      <c r="B1163" s="9" t="s">
        <v>45</v>
      </c>
      <c r="C1163" s="25" t="s">
        <v>159</v>
      </c>
      <c r="D1163" s="19">
        <v>372.27</v>
      </c>
      <c r="E1163" s="19">
        <v>375.2</v>
      </c>
      <c r="F1163" s="19">
        <v>371.62</v>
      </c>
      <c r="G1163" s="19">
        <v>373.22</v>
      </c>
      <c r="H1163" s="19">
        <v>373.22</v>
      </c>
      <c r="I1163" s="15">
        <v>8166305</v>
      </c>
      <c r="J1163" s="19">
        <f t="shared" si="87"/>
        <v>0.25519112472131666</v>
      </c>
      <c r="K1163" s="19">
        <f t="shared" si="88"/>
        <v>359.339</v>
      </c>
      <c r="L1163" s="19">
        <f t="shared" ref="L1163:L1226" si="91">AVERAGE(G1114:G1163)</f>
        <v>343.15960000000001</v>
      </c>
      <c r="M1163" s="19">
        <f>MAX(G1050:G1163)</f>
        <v>379.71</v>
      </c>
      <c r="N1163" s="19">
        <f t="shared" si="89"/>
        <v>-1.7091991256485088</v>
      </c>
      <c r="O1163" s="9" t="str">
        <f t="shared" si="90"/>
        <v>2024-06</v>
      </c>
    </row>
    <row r="1164" spans="1:15" x14ac:dyDescent="0.25">
      <c r="A1164" s="9" t="s">
        <v>314</v>
      </c>
      <c r="B1164" s="9" t="s">
        <v>45</v>
      </c>
      <c r="C1164" s="25" t="s">
        <v>160</v>
      </c>
      <c r="D1164" s="19">
        <v>373.22</v>
      </c>
      <c r="E1164" s="19">
        <v>373.38</v>
      </c>
      <c r="F1164" s="19">
        <v>369.74</v>
      </c>
      <c r="G1164" s="19">
        <v>371.94</v>
      </c>
      <c r="H1164" s="19">
        <v>371.94</v>
      </c>
      <c r="I1164" s="15">
        <v>6297559</v>
      </c>
      <c r="J1164" s="19">
        <f t="shared" si="87"/>
        <v>-0.34296125609560835</v>
      </c>
      <c r="K1164" s="19">
        <f t="shared" si="88"/>
        <v>360.18850000000003</v>
      </c>
      <c r="L1164" s="19">
        <f t="shared" si="91"/>
        <v>344.13139999999993</v>
      </c>
      <c r="M1164" s="19">
        <f>MAX(G1050:G1164)</f>
        <v>379.71</v>
      </c>
      <c r="N1164" s="19">
        <f t="shared" si="89"/>
        <v>-2.0462984909536179</v>
      </c>
      <c r="O1164" s="9" t="str">
        <f t="shared" si="90"/>
        <v>2024-06</v>
      </c>
    </row>
    <row r="1165" spans="1:15" x14ac:dyDescent="0.25">
      <c r="A1165" s="9" t="s">
        <v>314</v>
      </c>
      <c r="B1165" s="9" t="s">
        <v>45</v>
      </c>
      <c r="C1165" s="25" t="s">
        <v>161</v>
      </c>
      <c r="D1165" s="19">
        <v>371.94</v>
      </c>
      <c r="E1165" s="19">
        <v>375.14</v>
      </c>
      <c r="F1165" s="19">
        <v>370.16</v>
      </c>
      <c r="G1165" s="19">
        <v>373.99</v>
      </c>
      <c r="H1165" s="19">
        <v>373.99</v>
      </c>
      <c r="I1165" s="15">
        <v>10470132</v>
      </c>
      <c r="J1165" s="19">
        <f t="shared" si="87"/>
        <v>0.55116416626337883</v>
      </c>
      <c r="K1165" s="19">
        <f t="shared" si="88"/>
        <v>361.09300000000002</v>
      </c>
      <c r="L1165" s="19">
        <f t="shared" si="91"/>
        <v>345.26039999999995</v>
      </c>
      <c r="M1165" s="19">
        <f>MAX(G1050:G1165)</f>
        <v>379.71</v>
      </c>
      <c r="N1165" s="19">
        <f t="shared" si="89"/>
        <v>-1.5064127887071634</v>
      </c>
      <c r="O1165" s="9" t="str">
        <f t="shared" si="90"/>
        <v>2024-06</v>
      </c>
    </row>
    <row r="1166" spans="1:15" x14ac:dyDescent="0.25">
      <c r="A1166" s="9" t="s">
        <v>314</v>
      </c>
      <c r="B1166" s="9" t="s">
        <v>45</v>
      </c>
      <c r="C1166" s="25" t="s">
        <v>162</v>
      </c>
      <c r="D1166" s="19">
        <v>373.99</v>
      </c>
      <c r="E1166" s="19">
        <v>401.08</v>
      </c>
      <c r="F1166" s="19">
        <v>373.78</v>
      </c>
      <c r="G1166" s="19">
        <v>400.41</v>
      </c>
      <c r="H1166" s="19">
        <v>400.41</v>
      </c>
      <c r="I1166" s="15">
        <v>22008463</v>
      </c>
      <c r="J1166" s="19">
        <f t="shared" si="87"/>
        <v>7.0643600096259291</v>
      </c>
      <c r="K1166" s="19">
        <f t="shared" si="88"/>
        <v>363.22349999999994</v>
      </c>
      <c r="L1166" s="19">
        <f t="shared" si="91"/>
        <v>346.97859999999991</v>
      </c>
      <c r="M1166" s="19">
        <f>MAX(G1050:G1166)</f>
        <v>400.41</v>
      </c>
      <c r="N1166" s="19">
        <f t="shared" si="89"/>
        <v>0</v>
      </c>
      <c r="O1166" s="9" t="str">
        <f t="shared" si="90"/>
        <v>2024-06</v>
      </c>
    </row>
    <row r="1167" spans="1:15" x14ac:dyDescent="0.25">
      <c r="A1167" s="9" t="s">
        <v>314</v>
      </c>
      <c r="B1167" s="9" t="s">
        <v>45</v>
      </c>
      <c r="C1167" s="25" t="s">
        <v>163</v>
      </c>
      <c r="D1167" s="19">
        <v>400.41</v>
      </c>
      <c r="E1167" s="19">
        <v>401.84</v>
      </c>
      <c r="F1167" s="19">
        <v>397.77</v>
      </c>
      <c r="G1167" s="19">
        <v>399.19</v>
      </c>
      <c r="H1167" s="19">
        <v>399.19</v>
      </c>
      <c r="I1167" s="15">
        <v>7263485</v>
      </c>
      <c r="J1167" s="19">
        <f t="shared" si="87"/>
        <v>-0.30468769511251648</v>
      </c>
      <c r="K1167" s="19">
        <f t="shared" si="88"/>
        <v>365.23099999999999</v>
      </c>
      <c r="L1167" s="19">
        <f t="shared" si="91"/>
        <v>348.69399999999996</v>
      </c>
      <c r="M1167" s="19">
        <f>MAX(G1050:G1167)</f>
        <v>400.41</v>
      </c>
      <c r="N1167" s="19">
        <f t="shared" si="89"/>
        <v>-0.30468769511251648</v>
      </c>
      <c r="O1167" s="9" t="str">
        <f t="shared" si="90"/>
        <v>2024-06</v>
      </c>
    </row>
    <row r="1168" spans="1:15" x14ac:dyDescent="0.25">
      <c r="A1168" s="9" t="s">
        <v>314</v>
      </c>
      <c r="B1168" s="9" t="s">
        <v>45</v>
      </c>
      <c r="C1168" s="25" t="s">
        <v>164</v>
      </c>
      <c r="D1168" s="19">
        <v>399.19</v>
      </c>
      <c r="E1168" s="19">
        <v>408.77</v>
      </c>
      <c r="F1168" s="19">
        <v>398.83</v>
      </c>
      <c r="G1168" s="19">
        <v>407.97</v>
      </c>
      <c r="H1168" s="19">
        <v>407.97</v>
      </c>
      <c r="I1168" s="15">
        <v>6439993</v>
      </c>
      <c r="J1168" s="19">
        <f t="shared" si="87"/>
        <v>2.1994538941356319</v>
      </c>
      <c r="K1168" s="19">
        <f t="shared" si="88"/>
        <v>367.8</v>
      </c>
      <c r="L1168" s="19">
        <f t="shared" si="91"/>
        <v>350.67479999999995</v>
      </c>
      <c r="M1168" s="19">
        <f>MAX(G1050:G1168)</f>
        <v>407.97</v>
      </c>
      <c r="N1168" s="19">
        <f t="shared" si="89"/>
        <v>0</v>
      </c>
      <c r="O1168" s="9" t="str">
        <f t="shared" si="90"/>
        <v>2024-06</v>
      </c>
    </row>
    <row r="1169" spans="1:15" x14ac:dyDescent="0.25">
      <c r="A1169" s="9" t="s">
        <v>314</v>
      </c>
      <c r="B1169" s="9" t="s">
        <v>45</v>
      </c>
      <c r="C1169" s="25" t="s">
        <v>165</v>
      </c>
      <c r="D1169" s="19">
        <v>407.97</v>
      </c>
      <c r="E1169" s="19">
        <v>409.94</v>
      </c>
      <c r="F1169" s="19">
        <v>406.05</v>
      </c>
      <c r="G1169" s="19">
        <v>409.22</v>
      </c>
      <c r="H1169" s="19">
        <v>409.22</v>
      </c>
      <c r="I1169" s="15">
        <v>3838439</v>
      </c>
      <c r="J1169" s="19">
        <f t="shared" si="87"/>
        <v>0.30639507806946586</v>
      </c>
      <c r="K1169" s="19">
        <f t="shared" si="88"/>
        <v>370.64599999999996</v>
      </c>
      <c r="L1169" s="19">
        <f t="shared" si="91"/>
        <v>352.52319999999992</v>
      </c>
      <c r="M1169" s="19">
        <f>MAX(G1050:G1169)</f>
        <v>409.22</v>
      </c>
      <c r="N1169" s="19">
        <f t="shared" si="89"/>
        <v>0</v>
      </c>
      <c r="O1169" s="9" t="str">
        <f t="shared" si="90"/>
        <v>2024-06</v>
      </c>
    </row>
    <row r="1170" spans="1:15" x14ac:dyDescent="0.25">
      <c r="A1170" s="9" t="s">
        <v>314</v>
      </c>
      <c r="B1170" s="9" t="s">
        <v>45</v>
      </c>
      <c r="C1170" s="25" t="s">
        <v>166</v>
      </c>
      <c r="D1170" s="19">
        <v>409.22</v>
      </c>
      <c r="E1170" s="19">
        <v>411.93</v>
      </c>
      <c r="F1170" s="19">
        <v>408.21</v>
      </c>
      <c r="G1170" s="19">
        <v>410.69</v>
      </c>
      <c r="H1170" s="19">
        <v>410.69</v>
      </c>
      <c r="I1170" s="15">
        <v>8867608</v>
      </c>
      <c r="J1170" s="19">
        <f t="shared" si="87"/>
        <v>0.35921997947313677</v>
      </c>
      <c r="K1170" s="19">
        <f t="shared" si="88"/>
        <v>373.35599999999994</v>
      </c>
      <c r="L1170" s="19">
        <f t="shared" si="91"/>
        <v>354.41279999999989</v>
      </c>
      <c r="M1170" s="19">
        <f>MAX(G1050:G1170)</f>
        <v>410.69</v>
      </c>
      <c r="N1170" s="19">
        <f t="shared" si="89"/>
        <v>0</v>
      </c>
      <c r="O1170" s="9" t="str">
        <f t="shared" si="90"/>
        <v>2024-06</v>
      </c>
    </row>
    <row r="1171" spans="1:15" x14ac:dyDescent="0.25">
      <c r="A1171" s="9" t="s">
        <v>314</v>
      </c>
      <c r="B1171" s="9" t="s">
        <v>45</v>
      </c>
      <c r="C1171" s="25" t="s">
        <v>167</v>
      </c>
      <c r="D1171" s="19">
        <v>410.69</v>
      </c>
      <c r="E1171" s="19">
        <v>433.87</v>
      </c>
      <c r="F1171" s="19">
        <v>409.31</v>
      </c>
      <c r="G1171" s="19">
        <v>433.68</v>
      </c>
      <c r="H1171" s="19">
        <v>433.68</v>
      </c>
      <c r="I1171" s="15">
        <v>21698877</v>
      </c>
      <c r="J1171" s="19">
        <f t="shared" si="87"/>
        <v>5.5978962234288661</v>
      </c>
      <c r="K1171" s="19">
        <f t="shared" si="88"/>
        <v>377.09599999999995</v>
      </c>
      <c r="L1171" s="19">
        <f t="shared" si="91"/>
        <v>356.82039999999995</v>
      </c>
      <c r="M1171" s="19">
        <f>MAX(G1050:G1171)</f>
        <v>433.68</v>
      </c>
      <c r="N1171" s="19">
        <f t="shared" si="89"/>
        <v>0</v>
      </c>
      <c r="O1171" s="9" t="str">
        <f t="shared" si="90"/>
        <v>2024-06</v>
      </c>
    </row>
    <row r="1172" spans="1:15" x14ac:dyDescent="0.25">
      <c r="A1172" s="9" t="s">
        <v>314</v>
      </c>
      <c r="B1172" s="9" t="s">
        <v>45</v>
      </c>
      <c r="C1172" s="25" t="s">
        <v>168</v>
      </c>
      <c r="D1172" s="19">
        <v>433.68</v>
      </c>
      <c r="E1172" s="19">
        <v>436.26</v>
      </c>
      <c r="F1172" s="19">
        <v>432.63</v>
      </c>
      <c r="G1172" s="19">
        <v>432.92</v>
      </c>
      <c r="H1172" s="19">
        <v>432.92</v>
      </c>
      <c r="I1172" s="15">
        <v>6445548</v>
      </c>
      <c r="J1172" s="19">
        <f t="shared" si="87"/>
        <v>-0.17524441984873429</v>
      </c>
      <c r="K1172" s="19">
        <f t="shared" si="88"/>
        <v>380.76799999999997</v>
      </c>
      <c r="L1172" s="19">
        <f t="shared" si="91"/>
        <v>359.18019999999984</v>
      </c>
      <c r="M1172" s="19">
        <f>MAX(G1050:G1172)</f>
        <v>433.68</v>
      </c>
      <c r="N1172" s="19">
        <f t="shared" si="89"/>
        <v>-0.17524441984873429</v>
      </c>
      <c r="O1172" s="9" t="str">
        <f t="shared" si="90"/>
        <v>2024-06</v>
      </c>
    </row>
    <row r="1173" spans="1:15" x14ac:dyDescent="0.25">
      <c r="A1173" s="9" t="s">
        <v>314</v>
      </c>
      <c r="B1173" s="9" t="s">
        <v>45</v>
      </c>
      <c r="C1173" s="25" t="s">
        <v>169</v>
      </c>
      <c r="D1173" s="19">
        <v>432.92</v>
      </c>
      <c r="E1173" s="19">
        <v>434.8</v>
      </c>
      <c r="F1173" s="19">
        <v>429.5</v>
      </c>
      <c r="G1173" s="19">
        <v>431.43</v>
      </c>
      <c r="H1173" s="19">
        <v>431.43</v>
      </c>
      <c r="I1173" s="15">
        <v>8315500</v>
      </c>
      <c r="J1173" s="19">
        <f t="shared" si="87"/>
        <v>-0.34417444331516428</v>
      </c>
      <c r="K1173" s="19">
        <f t="shared" si="88"/>
        <v>384.28650000000005</v>
      </c>
      <c r="L1173" s="19">
        <f t="shared" si="91"/>
        <v>361.47779999999983</v>
      </c>
      <c r="M1173" s="19">
        <f>MAX(G1050:G1173)</f>
        <v>433.68</v>
      </c>
      <c r="N1173" s="19">
        <f t="shared" si="89"/>
        <v>-0.5188157166574433</v>
      </c>
      <c r="O1173" s="9" t="str">
        <f t="shared" si="90"/>
        <v>2024-06</v>
      </c>
    </row>
    <row r="1174" spans="1:15" x14ac:dyDescent="0.25">
      <c r="A1174" s="9" t="s">
        <v>314</v>
      </c>
      <c r="B1174" s="9" t="s">
        <v>45</v>
      </c>
      <c r="C1174" s="25" t="s">
        <v>170</v>
      </c>
      <c r="D1174" s="19">
        <v>431.43</v>
      </c>
      <c r="E1174" s="19">
        <v>432.24</v>
      </c>
      <c r="F1174" s="19">
        <v>419.51</v>
      </c>
      <c r="G1174" s="19">
        <v>423.22</v>
      </c>
      <c r="H1174" s="19">
        <v>423.22</v>
      </c>
      <c r="I1174" s="15">
        <v>4691529</v>
      </c>
      <c r="J1174" s="19">
        <f t="shared" si="87"/>
        <v>-1.9029738312124747</v>
      </c>
      <c r="K1174" s="19">
        <f t="shared" si="88"/>
        <v>388.06500000000005</v>
      </c>
      <c r="L1174" s="19">
        <f t="shared" si="91"/>
        <v>363.62279999999987</v>
      </c>
      <c r="M1174" s="19">
        <f>MAX(G1050:G1174)</f>
        <v>433.68</v>
      </c>
      <c r="N1174" s="19">
        <f t="shared" si="89"/>
        <v>-2.4119166205497091</v>
      </c>
      <c r="O1174" s="9" t="str">
        <f t="shared" si="90"/>
        <v>2024-06</v>
      </c>
    </row>
    <row r="1175" spans="1:15" x14ac:dyDescent="0.25">
      <c r="A1175" s="9" t="s">
        <v>314</v>
      </c>
      <c r="B1175" s="9" t="s">
        <v>45</v>
      </c>
      <c r="C1175" s="25" t="s">
        <v>171</v>
      </c>
      <c r="D1175" s="19">
        <v>423.22</v>
      </c>
      <c r="E1175" s="19">
        <v>423.61</v>
      </c>
      <c r="F1175" s="19">
        <v>421.26</v>
      </c>
      <c r="G1175" s="19">
        <v>421.39</v>
      </c>
      <c r="H1175" s="19">
        <v>421.39</v>
      </c>
      <c r="I1175" s="15">
        <v>7170537</v>
      </c>
      <c r="J1175" s="19">
        <f t="shared" si="87"/>
        <v>-0.43239922498937683</v>
      </c>
      <c r="K1175" s="19">
        <f t="shared" si="88"/>
        <v>391.52400000000006</v>
      </c>
      <c r="L1175" s="19">
        <f t="shared" si="91"/>
        <v>365.61079999999987</v>
      </c>
      <c r="M1175" s="19">
        <f>MAX(G1050:G1175)</f>
        <v>433.68</v>
      </c>
      <c r="N1175" s="19">
        <f t="shared" si="89"/>
        <v>-2.8338867367644394</v>
      </c>
      <c r="O1175" s="9" t="str">
        <f t="shared" si="90"/>
        <v>2024-06</v>
      </c>
    </row>
    <row r="1176" spans="1:15" x14ac:dyDescent="0.25">
      <c r="A1176" s="9" t="s">
        <v>314</v>
      </c>
      <c r="B1176" s="9" t="s">
        <v>45</v>
      </c>
      <c r="C1176" s="25" t="s">
        <v>172</v>
      </c>
      <c r="D1176" s="19">
        <v>421.39</v>
      </c>
      <c r="E1176" s="19">
        <v>435.24</v>
      </c>
      <c r="F1176" s="19">
        <v>420.71</v>
      </c>
      <c r="G1176" s="19">
        <v>429.93</v>
      </c>
      <c r="H1176" s="19">
        <v>429.93</v>
      </c>
      <c r="I1176" s="15">
        <v>8310587</v>
      </c>
      <c r="J1176" s="19">
        <f t="shared" si="87"/>
        <v>2.0266261657846698</v>
      </c>
      <c r="K1176" s="19">
        <f t="shared" si="88"/>
        <v>394.9935000000001</v>
      </c>
      <c r="L1176" s="19">
        <f t="shared" si="91"/>
        <v>367.68219999999997</v>
      </c>
      <c r="M1176" s="19">
        <f>MAX(G1050:G1176)</f>
        <v>433.68</v>
      </c>
      <c r="N1176" s="19">
        <f t="shared" si="89"/>
        <v>-0.86469286109573873</v>
      </c>
      <c r="O1176" s="9" t="str">
        <f t="shared" si="90"/>
        <v>2024-06</v>
      </c>
    </row>
    <row r="1177" spans="1:15" x14ac:dyDescent="0.25">
      <c r="A1177" s="9" t="s">
        <v>314</v>
      </c>
      <c r="B1177" s="9" t="s">
        <v>45</v>
      </c>
      <c r="C1177" s="25" t="s">
        <v>173</v>
      </c>
      <c r="D1177" s="19">
        <v>429.93</v>
      </c>
      <c r="E1177" s="19">
        <v>435.25</v>
      </c>
      <c r="F1177" s="19">
        <v>429.18</v>
      </c>
      <c r="G1177" s="19">
        <v>431.6</v>
      </c>
      <c r="H1177" s="19">
        <v>431.6</v>
      </c>
      <c r="I1177" s="15">
        <v>11183221</v>
      </c>
      <c r="J1177" s="19">
        <f t="shared" si="87"/>
        <v>0.38843532668109132</v>
      </c>
      <c r="K1177" s="19">
        <f t="shared" si="88"/>
        <v>398.59850000000012</v>
      </c>
      <c r="L1177" s="19">
        <f t="shared" si="91"/>
        <v>369.7125999999999</v>
      </c>
      <c r="M1177" s="19">
        <f>MAX(G1050:G1177)</f>
        <v>433.68</v>
      </c>
      <c r="N1177" s="19">
        <f t="shared" si="89"/>
        <v>-0.4796163069544328</v>
      </c>
      <c r="O1177" s="9" t="str">
        <f t="shared" si="90"/>
        <v>2024-06</v>
      </c>
    </row>
    <row r="1178" spans="1:15" x14ac:dyDescent="0.25">
      <c r="A1178" s="9" t="s">
        <v>314</v>
      </c>
      <c r="B1178" s="9" t="s">
        <v>45</v>
      </c>
      <c r="C1178" s="25" t="s">
        <v>174</v>
      </c>
      <c r="D1178" s="19">
        <v>431.6</v>
      </c>
      <c r="E1178" s="19">
        <v>439.48</v>
      </c>
      <c r="F1178" s="19">
        <v>429.98</v>
      </c>
      <c r="G1178" s="19">
        <v>439.28</v>
      </c>
      <c r="H1178" s="19">
        <v>439.28</v>
      </c>
      <c r="I1178" s="15">
        <v>8340466</v>
      </c>
      <c r="J1178" s="19">
        <f t="shared" si="87"/>
        <v>1.7794253938832136</v>
      </c>
      <c r="K1178" s="19">
        <f t="shared" si="88"/>
        <v>402.56400000000008</v>
      </c>
      <c r="L1178" s="19">
        <f t="shared" si="91"/>
        <v>371.95139999999986</v>
      </c>
      <c r="M1178" s="19">
        <f>MAX(G1050:G1178)</f>
        <v>439.28</v>
      </c>
      <c r="N1178" s="19">
        <f t="shared" si="89"/>
        <v>0</v>
      </c>
      <c r="O1178" s="9" t="str">
        <f t="shared" si="90"/>
        <v>2024-06</v>
      </c>
    </row>
    <row r="1179" spans="1:15" x14ac:dyDescent="0.25">
      <c r="A1179" s="9" t="s">
        <v>314</v>
      </c>
      <c r="B1179" s="9" t="s">
        <v>45</v>
      </c>
      <c r="C1179" s="25" t="s">
        <v>175</v>
      </c>
      <c r="D1179" s="19">
        <v>439.28</v>
      </c>
      <c r="E1179" s="19">
        <v>439.46</v>
      </c>
      <c r="F1179" s="19">
        <v>429.68</v>
      </c>
      <c r="G1179" s="19">
        <v>432.74</v>
      </c>
      <c r="H1179" s="19">
        <v>432.74</v>
      </c>
      <c r="I1179" s="15">
        <v>4517664</v>
      </c>
      <c r="J1179" s="19">
        <f t="shared" ref="J1179:J1242" si="92">IFERROR((G1179-G1178)/G1178*100,"")</f>
        <v>-1.4887998543070398</v>
      </c>
      <c r="K1179" s="19">
        <f t="shared" si="88"/>
        <v>406.30050000000006</v>
      </c>
      <c r="L1179" s="19">
        <f t="shared" si="91"/>
        <v>374.1049999999999</v>
      </c>
      <c r="M1179" s="19">
        <f>MAX(G1050:G1179)</f>
        <v>439.28</v>
      </c>
      <c r="N1179" s="19">
        <f t="shared" si="89"/>
        <v>-1.4887998543070398</v>
      </c>
      <c r="O1179" s="9" t="str">
        <f t="shared" si="90"/>
        <v>2024-06</v>
      </c>
    </row>
    <row r="1180" spans="1:15" x14ac:dyDescent="0.25">
      <c r="A1180" s="9" t="s">
        <v>314</v>
      </c>
      <c r="B1180" s="9" t="s">
        <v>45</v>
      </c>
      <c r="C1180" s="25" t="s">
        <v>176</v>
      </c>
      <c r="D1180" s="19">
        <v>432.74</v>
      </c>
      <c r="E1180" s="19">
        <v>433.5</v>
      </c>
      <c r="F1180" s="19">
        <v>427.88</v>
      </c>
      <c r="G1180" s="19">
        <v>427.96</v>
      </c>
      <c r="H1180" s="19">
        <v>427.96</v>
      </c>
      <c r="I1180" s="15">
        <v>7877953</v>
      </c>
      <c r="J1180" s="19">
        <f t="shared" si="92"/>
        <v>-1.1045893608171256</v>
      </c>
      <c r="K1180" s="19">
        <f t="shared" si="88"/>
        <v>410.13800000000003</v>
      </c>
      <c r="L1180" s="19">
        <f t="shared" si="91"/>
        <v>375.97059999999988</v>
      </c>
      <c r="M1180" s="19">
        <f>MAX(G1050:G1180)</f>
        <v>439.28</v>
      </c>
      <c r="N1180" s="19">
        <f t="shared" si="89"/>
        <v>-2.5769440903296288</v>
      </c>
      <c r="O1180" s="9" t="str">
        <f t="shared" si="90"/>
        <v>2024-07</v>
      </c>
    </row>
    <row r="1181" spans="1:15" x14ac:dyDescent="0.25">
      <c r="A1181" s="9" t="s">
        <v>314</v>
      </c>
      <c r="B1181" s="9" t="s">
        <v>45</v>
      </c>
      <c r="C1181" s="25" t="s">
        <v>177</v>
      </c>
      <c r="D1181" s="19">
        <v>427.96</v>
      </c>
      <c r="E1181" s="19">
        <v>430.45</v>
      </c>
      <c r="F1181" s="19">
        <v>419.64</v>
      </c>
      <c r="G1181" s="19">
        <v>419.85</v>
      </c>
      <c r="H1181" s="19">
        <v>419.85</v>
      </c>
      <c r="I1181" s="15">
        <v>7965924</v>
      </c>
      <c r="J1181" s="19">
        <f t="shared" si="92"/>
        <v>-1.8950369193382457</v>
      </c>
      <c r="K1181" s="19">
        <f t="shared" si="88"/>
        <v>412.1450000000001</v>
      </c>
      <c r="L1181" s="19">
        <f t="shared" si="91"/>
        <v>377.62059999999991</v>
      </c>
      <c r="M1181" s="19">
        <f>MAX(G1050:G1181)</f>
        <v>439.28</v>
      </c>
      <c r="N1181" s="19">
        <f t="shared" si="89"/>
        <v>-4.4231469677654234</v>
      </c>
      <c r="O1181" s="9" t="str">
        <f t="shared" si="90"/>
        <v>2024-07</v>
      </c>
    </row>
    <row r="1182" spans="1:15" x14ac:dyDescent="0.25">
      <c r="A1182" s="9" t="s">
        <v>314</v>
      </c>
      <c r="B1182" s="9" t="s">
        <v>45</v>
      </c>
      <c r="C1182" s="25" t="s">
        <v>178</v>
      </c>
      <c r="D1182" s="19">
        <v>419.85</v>
      </c>
      <c r="E1182" s="19">
        <v>420.01</v>
      </c>
      <c r="F1182" s="19">
        <v>415.05</v>
      </c>
      <c r="G1182" s="19">
        <v>415.08</v>
      </c>
      <c r="H1182" s="19">
        <v>415.08</v>
      </c>
      <c r="I1182" s="15">
        <v>8953387</v>
      </c>
      <c r="J1182" s="19">
        <f t="shared" si="92"/>
        <v>-1.1361200428724636</v>
      </c>
      <c r="K1182" s="19">
        <f t="shared" si="88"/>
        <v>414.28550000000013</v>
      </c>
      <c r="L1182" s="19">
        <f t="shared" si="91"/>
        <v>379.18799999999993</v>
      </c>
      <c r="M1182" s="19">
        <f>MAX(G1050:G1182)</f>
        <v>439.28</v>
      </c>
      <c r="N1182" s="19">
        <f t="shared" si="89"/>
        <v>-5.5090147514113976</v>
      </c>
      <c r="O1182" s="9" t="str">
        <f t="shared" si="90"/>
        <v>2024-07</v>
      </c>
    </row>
    <row r="1183" spans="1:15" x14ac:dyDescent="0.25">
      <c r="A1183" s="9" t="s">
        <v>314</v>
      </c>
      <c r="B1183" s="9" t="s">
        <v>45</v>
      </c>
      <c r="C1183" s="25" t="s">
        <v>179</v>
      </c>
      <c r="D1183" s="19">
        <v>415.08</v>
      </c>
      <c r="E1183" s="19">
        <v>415.28</v>
      </c>
      <c r="F1183" s="19">
        <v>407.29</v>
      </c>
      <c r="G1183" s="19">
        <v>408</v>
      </c>
      <c r="H1183" s="19">
        <v>408</v>
      </c>
      <c r="I1183" s="15">
        <v>10447818</v>
      </c>
      <c r="J1183" s="19">
        <f t="shared" si="92"/>
        <v>-1.7056952876553879</v>
      </c>
      <c r="K1183" s="19">
        <f t="shared" si="88"/>
        <v>416.0245000000001</v>
      </c>
      <c r="L1183" s="19">
        <f t="shared" si="91"/>
        <v>380.44019999999995</v>
      </c>
      <c r="M1183" s="19">
        <f>MAX(G1050:G1183)</f>
        <v>439.28</v>
      </c>
      <c r="N1183" s="19">
        <f t="shared" si="89"/>
        <v>-7.1207430340557227</v>
      </c>
      <c r="O1183" s="9" t="str">
        <f t="shared" si="90"/>
        <v>2024-07</v>
      </c>
    </row>
    <row r="1184" spans="1:15" x14ac:dyDescent="0.25">
      <c r="A1184" s="9" t="s">
        <v>314</v>
      </c>
      <c r="B1184" s="9" t="s">
        <v>45</v>
      </c>
      <c r="C1184" s="25" t="s">
        <v>180</v>
      </c>
      <c r="D1184" s="19">
        <v>408</v>
      </c>
      <c r="E1184" s="19">
        <v>412.78</v>
      </c>
      <c r="F1184" s="19">
        <v>404.68</v>
      </c>
      <c r="G1184" s="19">
        <v>411.39</v>
      </c>
      <c r="H1184" s="19">
        <v>411.39</v>
      </c>
      <c r="I1184" s="15">
        <v>8204848</v>
      </c>
      <c r="J1184" s="19">
        <f t="shared" si="92"/>
        <v>0.83088235294117319</v>
      </c>
      <c r="K1184" s="19">
        <f t="shared" si="88"/>
        <v>417.99700000000001</v>
      </c>
      <c r="L1184" s="19">
        <f t="shared" si="91"/>
        <v>381.72259999999994</v>
      </c>
      <c r="M1184" s="19">
        <f>MAX(G1050:G1184)</f>
        <v>439.28</v>
      </c>
      <c r="N1184" s="19">
        <f t="shared" si="89"/>
        <v>-6.3490256783828052</v>
      </c>
      <c r="O1184" s="9" t="str">
        <f t="shared" si="90"/>
        <v>2024-07</v>
      </c>
    </row>
    <row r="1185" spans="1:15" x14ac:dyDescent="0.25">
      <c r="A1185" s="9" t="s">
        <v>314</v>
      </c>
      <c r="B1185" s="9" t="s">
        <v>45</v>
      </c>
      <c r="C1185" s="25" t="s">
        <v>181</v>
      </c>
      <c r="D1185" s="19">
        <v>411.39</v>
      </c>
      <c r="E1185" s="19">
        <v>416.17</v>
      </c>
      <c r="F1185" s="19">
        <v>410.9</v>
      </c>
      <c r="G1185" s="19">
        <v>415.33</v>
      </c>
      <c r="H1185" s="19">
        <v>415.33</v>
      </c>
      <c r="I1185" s="15">
        <v>5160764</v>
      </c>
      <c r="J1185" s="19">
        <f t="shared" si="92"/>
        <v>0.95772867595225897</v>
      </c>
      <c r="K1185" s="19">
        <f t="shared" si="88"/>
        <v>420.06400000000014</v>
      </c>
      <c r="L1185" s="19">
        <f t="shared" si="91"/>
        <v>383.10840000000002</v>
      </c>
      <c r="M1185" s="19">
        <f>MAX(G1050:G1185)</f>
        <v>439.28</v>
      </c>
      <c r="N1185" s="19">
        <f t="shared" si="89"/>
        <v>-5.4521034419959911</v>
      </c>
      <c r="O1185" s="9" t="str">
        <f t="shared" si="90"/>
        <v>2024-07</v>
      </c>
    </row>
    <row r="1186" spans="1:15" x14ac:dyDescent="0.25">
      <c r="A1186" s="9" t="s">
        <v>314</v>
      </c>
      <c r="B1186" s="9" t="s">
        <v>45</v>
      </c>
      <c r="C1186" s="25" t="s">
        <v>182</v>
      </c>
      <c r="D1186" s="19">
        <v>415.33</v>
      </c>
      <c r="E1186" s="19">
        <v>416.27</v>
      </c>
      <c r="F1186" s="19">
        <v>411.1</v>
      </c>
      <c r="G1186" s="19">
        <v>412.59</v>
      </c>
      <c r="H1186" s="19">
        <v>412.59</v>
      </c>
      <c r="I1186" s="15">
        <v>10545543</v>
      </c>
      <c r="J1186" s="19">
        <f t="shared" si="92"/>
        <v>-0.65971637011533213</v>
      </c>
      <c r="K1186" s="19">
        <f t="shared" si="88"/>
        <v>420.67299999999994</v>
      </c>
      <c r="L1186" s="19">
        <f t="shared" si="91"/>
        <v>384.30900000000003</v>
      </c>
      <c r="M1186" s="19">
        <f>MAX(G1050:G1186)</f>
        <v>439.28</v>
      </c>
      <c r="N1186" s="19">
        <f t="shared" si="89"/>
        <v>-6.0758513931888549</v>
      </c>
      <c r="O1186" s="9" t="str">
        <f t="shared" si="90"/>
        <v>2024-07</v>
      </c>
    </row>
    <row r="1187" spans="1:15" x14ac:dyDescent="0.25">
      <c r="A1187" s="9" t="s">
        <v>314</v>
      </c>
      <c r="B1187" s="9" t="s">
        <v>45</v>
      </c>
      <c r="C1187" s="25" t="s">
        <v>183</v>
      </c>
      <c r="D1187" s="19">
        <v>412.59</v>
      </c>
      <c r="E1187" s="19">
        <v>420.09</v>
      </c>
      <c r="F1187" s="19">
        <v>411.44</v>
      </c>
      <c r="G1187" s="19">
        <v>419.03</v>
      </c>
      <c r="H1187" s="19">
        <v>419.03</v>
      </c>
      <c r="I1187" s="15">
        <v>9091932</v>
      </c>
      <c r="J1187" s="19">
        <f t="shared" si="92"/>
        <v>1.5608715674155937</v>
      </c>
      <c r="K1187" s="19">
        <f t="shared" si="88"/>
        <v>421.66500000000008</v>
      </c>
      <c r="L1187" s="19">
        <f t="shared" si="91"/>
        <v>385.68920000000003</v>
      </c>
      <c r="M1187" s="19">
        <f>MAX(G1050:G1187)</f>
        <v>439.28</v>
      </c>
      <c r="N1187" s="19">
        <f t="shared" si="89"/>
        <v>-4.6098160626479689</v>
      </c>
      <c r="O1187" s="9" t="str">
        <f t="shared" si="90"/>
        <v>2024-07</v>
      </c>
    </row>
    <row r="1188" spans="1:15" x14ac:dyDescent="0.25">
      <c r="A1188" s="9" t="s">
        <v>314</v>
      </c>
      <c r="B1188" s="9" t="s">
        <v>45</v>
      </c>
      <c r="C1188" s="25" t="s">
        <v>184</v>
      </c>
      <c r="D1188" s="19">
        <v>419.03</v>
      </c>
      <c r="E1188" s="19">
        <v>423.28</v>
      </c>
      <c r="F1188" s="19">
        <v>418.6</v>
      </c>
      <c r="G1188" s="19">
        <v>421.99</v>
      </c>
      <c r="H1188" s="19">
        <v>421.99</v>
      </c>
      <c r="I1188" s="15">
        <v>5553052</v>
      </c>
      <c r="J1188" s="19">
        <f t="shared" si="92"/>
        <v>0.70639333699258677</v>
      </c>
      <c r="K1188" s="19">
        <f t="shared" si="88"/>
        <v>422.36599999999999</v>
      </c>
      <c r="L1188" s="19">
        <f t="shared" si="91"/>
        <v>387.00440000000009</v>
      </c>
      <c r="M1188" s="19">
        <f>MAX(G1050:G1188)</f>
        <v>439.28</v>
      </c>
      <c r="N1188" s="19">
        <f t="shared" si="89"/>
        <v>-3.9359861591695426</v>
      </c>
      <c r="O1188" s="9" t="str">
        <f t="shared" si="90"/>
        <v>2024-07</v>
      </c>
    </row>
    <row r="1189" spans="1:15" x14ac:dyDescent="0.25">
      <c r="A1189" s="9" t="s">
        <v>314</v>
      </c>
      <c r="B1189" s="9" t="s">
        <v>45</v>
      </c>
      <c r="C1189" s="25" t="s">
        <v>185</v>
      </c>
      <c r="D1189" s="19">
        <v>421.99</v>
      </c>
      <c r="E1189" s="19">
        <v>423.92</v>
      </c>
      <c r="F1189" s="19">
        <v>411.19</v>
      </c>
      <c r="G1189" s="19">
        <v>412.31</v>
      </c>
      <c r="H1189" s="19">
        <v>412.31</v>
      </c>
      <c r="I1189" s="15">
        <v>8181613</v>
      </c>
      <c r="J1189" s="19">
        <f t="shared" si="92"/>
        <v>-2.2938932202184903</v>
      </c>
      <c r="K1189" s="19">
        <f t="shared" si="88"/>
        <v>422.52049999999997</v>
      </c>
      <c r="L1189" s="19">
        <f t="shared" si="91"/>
        <v>388.11720000000008</v>
      </c>
      <c r="M1189" s="19">
        <f>MAX(G1050:G1189)</f>
        <v>439.28</v>
      </c>
      <c r="N1189" s="19">
        <f t="shared" si="89"/>
        <v>-6.1395920597341034</v>
      </c>
      <c r="O1189" s="9" t="str">
        <f t="shared" si="90"/>
        <v>2024-07</v>
      </c>
    </row>
    <row r="1190" spans="1:15" x14ac:dyDescent="0.25">
      <c r="A1190" s="9" t="s">
        <v>314</v>
      </c>
      <c r="B1190" s="9" t="s">
        <v>45</v>
      </c>
      <c r="C1190" s="25" t="s">
        <v>186</v>
      </c>
      <c r="D1190" s="19">
        <v>412.31</v>
      </c>
      <c r="E1190" s="19">
        <v>415.56</v>
      </c>
      <c r="F1190" s="19">
        <v>409.02</v>
      </c>
      <c r="G1190" s="19">
        <v>410.51</v>
      </c>
      <c r="H1190" s="19">
        <v>410.51</v>
      </c>
      <c r="I1190" s="15">
        <v>8069301</v>
      </c>
      <c r="J1190" s="19">
        <f t="shared" si="92"/>
        <v>-0.43656472071984948</v>
      </c>
      <c r="K1190" s="19">
        <f t="shared" si="88"/>
        <v>422.51149999999996</v>
      </c>
      <c r="L1190" s="19">
        <f t="shared" si="91"/>
        <v>389.23540000000008</v>
      </c>
      <c r="M1190" s="19">
        <f>MAX(G1050:G1190)</f>
        <v>439.28</v>
      </c>
      <c r="N1190" s="19">
        <f t="shared" si="89"/>
        <v>-6.5493534875250381</v>
      </c>
      <c r="O1190" s="9" t="str">
        <f t="shared" si="90"/>
        <v>2024-07</v>
      </c>
    </row>
    <row r="1191" spans="1:15" x14ac:dyDescent="0.25">
      <c r="A1191" s="9" t="s">
        <v>314</v>
      </c>
      <c r="B1191" s="9" t="s">
        <v>45</v>
      </c>
      <c r="C1191" s="25" t="s">
        <v>187</v>
      </c>
      <c r="D1191" s="19">
        <v>410.51</v>
      </c>
      <c r="E1191" s="19">
        <v>413.21</v>
      </c>
      <c r="F1191" s="19">
        <v>405.16</v>
      </c>
      <c r="G1191" s="19">
        <v>410.5</v>
      </c>
      <c r="H1191" s="19">
        <v>410.5</v>
      </c>
      <c r="I1191" s="15">
        <v>5013299</v>
      </c>
      <c r="J1191" s="19">
        <f t="shared" si="92"/>
        <v>-2.4359942510513524E-3</v>
      </c>
      <c r="K1191" s="19">
        <f t="shared" si="88"/>
        <v>421.35249999999996</v>
      </c>
      <c r="L1191" s="19">
        <f t="shared" si="91"/>
        <v>390.399</v>
      </c>
      <c r="M1191" s="19">
        <f>MAX(G1050:G1191)</f>
        <v>439.28</v>
      </c>
      <c r="N1191" s="19">
        <f t="shared" si="89"/>
        <v>-6.5516299399016518</v>
      </c>
      <c r="O1191" s="9" t="str">
        <f t="shared" si="90"/>
        <v>2024-07</v>
      </c>
    </row>
    <row r="1192" spans="1:15" x14ac:dyDescent="0.25">
      <c r="A1192" s="9" t="s">
        <v>314</v>
      </c>
      <c r="B1192" s="9" t="s">
        <v>45</v>
      </c>
      <c r="C1192" s="25" t="s">
        <v>188</v>
      </c>
      <c r="D1192" s="19">
        <v>410.5</v>
      </c>
      <c r="E1192" s="19">
        <v>413.68</v>
      </c>
      <c r="F1192" s="19">
        <v>400</v>
      </c>
      <c r="G1192" s="19">
        <v>400.36</v>
      </c>
      <c r="H1192" s="19">
        <v>400.36</v>
      </c>
      <c r="I1192" s="15">
        <v>9618562</v>
      </c>
      <c r="J1192" s="19">
        <f t="shared" si="92"/>
        <v>-2.4701583434835537</v>
      </c>
      <c r="K1192" s="19">
        <f t="shared" si="88"/>
        <v>419.72450000000009</v>
      </c>
      <c r="L1192" s="19">
        <f t="shared" si="91"/>
        <v>391.45359999999999</v>
      </c>
      <c r="M1192" s="19">
        <f>MAX(G1050:G1192)</f>
        <v>439.28</v>
      </c>
      <c r="N1192" s="19">
        <f t="shared" si="89"/>
        <v>-8.8599526497905572</v>
      </c>
      <c r="O1192" s="9" t="str">
        <f t="shared" si="90"/>
        <v>2024-07</v>
      </c>
    </row>
    <row r="1193" spans="1:15" x14ac:dyDescent="0.25">
      <c r="A1193" s="9" t="s">
        <v>314</v>
      </c>
      <c r="B1193" s="9" t="s">
        <v>45</v>
      </c>
      <c r="C1193" s="25" t="s">
        <v>189</v>
      </c>
      <c r="D1193" s="19">
        <v>400.36</v>
      </c>
      <c r="E1193" s="19">
        <v>404.14</v>
      </c>
      <c r="F1193" s="19">
        <v>396.98</v>
      </c>
      <c r="G1193" s="19">
        <v>403.64</v>
      </c>
      <c r="H1193" s="19">
        <v>403.64</v>
      </c>
      <c r="I1193" s="15">
        <v>5195493</v>
      </c>
      <c r="J1193" s="19">
        <f t="shared" si="92"/>
        <v>0.81926266360275068</v>
      </c>
      <c r="K1193" s="19">
        <f t="shared" si="88"/>
        <v>418.33499999999992</v>
      </c>
      <c r="L1193" s="19">
        <f t="shared" si="91"/>
        <v>392.49839999999995</v>
      </c>
      <c r="M1193" s="19">
        <f>MAX(G1050:G1193)</f>
        <v>439.28</v>
      </c>
      <c r="N1193" s="19">
        <f t="shared" si="89"/>
        <v>-8.1132762702604229</v>
      </c>
      <c r="O1193" s="9" t="str">
        <f t="shared" si="90"/>
        <v>2024-07</v>
      </c>
    </row>
    <row r="1194" spans="1:15" x14ac:dyDescent="0.25">
      <c r="A1194" s="9" t="s">
        <v>314</v>
      </c>
      <c r="B1194" s="9" t="s">
        <v>45</v>
      </c>
      <c r="C1194" s="25" t="s">
        <v>190</v>
      </c>
      <c r="D1194" s="19">
        <v>403.64</v>
      </c>
      <c r="E1194" s="19">
        <v>411.79</v>
      </c>
      <c r="F1194" s="19">
        <v>401.99</v>
      </c>
      <c r="G1194" s="19">
        <v>411.16</v>
      </c>
      <c r="H1194" s="19">
        <v>411.16</v>
      </c>
      <c r="I1194" s="15">
        <v>6093377</v>
      </c>
      <c r="J1194" s="19">
        <f t="shared" si="92"/>
        <v>1.8630462788623621</v>
      </c>
      <c r="K1194" s="19">
        <f t="shared" si="88"/>
        <v>417.73200000000008</v>
      </c>
      <c r="L1194" s="19">
        <f t="shared" si="91"/>
        <v>393.62259999999992</v>
      </c>
      <c r="M1194" s="19">
        <f>MAX(G1050:G1194)</f>
        <v>439.28</v>
      </c>
      <c r="N1194" s="19">
        <f t="shared" si="89"/>
        <v>-6.4013840830449711</v>
      </c>
      <c r="O1194" s="9" t="str">
        <f t="shared" si="90"/>
        <v>2024-07</v>
      </c>
    </row>
    <row r="1195" spans="1:15" x14ac:dyDescent="0.25">
      <c r="A1195" s="9" t="s">
        <v>314</v>
      </c>
      <c r="B1195" s="9" t="s">
        <v>45</v>
      </c>
      <c r="C1195" s="25" t="s">
        <v>191</v>
      </c>
      <c r="D1195" s="19">
        <v>411.16</v>
      </c>
      <c r="E1195" s="19">
        <v>412.56</v>
      </c>
      <c r="F1195" s="19">
        <v>403.67</v>
      </c>
      <c r="G1195" s="19">
        <v>405.11</v>
      </c>
      <c r="H1195" s="19">
        <v>405.11</v>
      </c>
      <c r="I1195" s="15">
        <v>9893921</v>
      </c>
      <c r="J1195" s="19">
        <f t="shared" si="92"/>
        <v>-1.471446638778094</v>
      </c>
      <c r="K1195" s="19">
        <f t="shared" si="88"/>
        <v>416.91800000000001</v>
      </c>
      <c r="L1195" s="19">
        <f t="shared" si="91"/>
        <v>394.60680000000002</v>
      </c>
      <c r="M1195" s="19">
        <f>MAX(G1050:G1195)</f>
        <v>439.28</v>
      </c>
      <c r="N1195" s="19">
        <f t="shared" si="89"/>
        <v>-7.7786377708978245</v>
      </c>
      <c r="O1195" s="9" t="str">
        <f t="shared" si="90"/>
        <v>2024-07</v>
      </c>
    </row>
    <row r="1196" spans="1:15" x14ac:dyDescent="0.25">
      <c r="A1196" s="9" t="s">
        <v>314</v>
      </c>
      <c r="B1196" s="9" t="s">
        <v>45</v>
      </c>
      <c r="C1196" s="25" t="s">
        <v>192</v>
      </c>
      <c r="D1196" s="19">
        <v>405.11</v>
      </c>
      <c r="E1196" s="19">
        <v>407.59</v>
      </c>
      <c r="F1196" s="19">
        <v>403.35</v>
      </c>
      <c r="G1196" s="19">
        <v>405.84</v>
      </c>
      <c r="H1196" s="19">
        <v>405.84</v>
      </c>
      <c r="I1196" s="15">
        <v>9175857</v>
      </c>
      <c r="J1196" s="19">
        <f t="shared" si="92"/>
        <v>0.18019797092146855</v>
      </c>
      <c r="K1196" s="19">
        <f t="shared" si="88"/>
        <v>415.71349999999995</v>
      </c>
      <c r="L1196" s="19">
        <f t="shared" si="91"/>
        <v>395.56760000000003</v>
      </c>
      <c r="M1196" s="19">
        <f>MAX(G1050:G1196)</f>
        <v>439.28</v>
      </c>
      <c r="N1196" s="19">
        <f t="shared" si="89"/>
        <v>-7.6124567474048446</v>
      </c>
      <c r="O1196" s="9" t="str">
        <f t="shared" si="90"/>
        <v>2024-07</v>
      </c>
    </row>
    <row r="1197" spans="1:15" x14ac:dyDescent="0.25">
      <c r="A1197" s="9" t="s">
        <v>314</v>
      </c>
      <c r="B1197" s="9" t="s">
        <v>45</v>
      </c>
      <c r="C1197" s="25" t="s">
        <v>193</v>
      </c>
      <c r="D1197" s="19">
        <v>405.84</v>
      </c>
      <c r="E1197" s="19">
        <v>414.46</v>
      </c>
      <c r="F1197" s="19">
        <v>405.64</v>
      </c>
      <c r="G1197" s="19">
        <v>413.02</v>
      </c>
      <c r="H1197" s="19">
        <v>413.02</v>
      </c>
      <c r="I1197" s="15">
        <v>7144468</v>
      </c>
      <c r="J1197" s="19">
        <f t="shared" si="92"/>
        <v>1.7691701163019928</v>
      </c>
      <c r="K1197" s="19">
        <f t="shared" ref="K1197:K1260" si="93">AVERAGE(G1178:G1197)</f>
        <v>414.78450000000004</v>
      </c>
      <c r="L1197" s="19">
        <f t="shared" si="91"/>
        <v>396.6472</v>
      </c>
      <c r="M1197" s="19">
        <f>MAX(G1050:G1197)</f>
        <v>439.28</v>
      </c>
      <c r="N1197" s="19">
        <f t="shared" si="89"/>
        <v>-5.9779639409943526</v>
      </c>
      <c r="O1197" s="9" t="str">
        <f t="shared" si="90"/>
        <v>2024-07</v>
      </c>
    </row>
    <row r="1198" spans="1:15" x14ac:dyDescent="0.25">
      <c r="A1198" s="9" t="s">
        <v>314</v>
      </c>
      <c r="B1198" s="9" t="s">
        <v>45</v>
      </c>
      <c r="C1198" s="25" t="s">
        <v>194</v>
      </c>
      <c r="D1198" s="19">
        <v>413.02</v>
      </c>
      <c r="E1198" s="19">
        <v>443.45</v>
      </c>
      <c r="F1198" s="19">
        <v>411.06</v>
      </c>
      <c r="G1198" s="19">
        <v>443.12</v>
      </c>
      <c r="H1198" s="19">
        <v>443.12</v>
      </c>
      <c r="I1198" s="15">
        <v>35810613</v>
      </c>
      <c r="J1198" s="19">
        <f t="shared" si="92"/>
        <v>7.2877826739625258</v>
      </c>
      <c r="K1198" s="19">
        <f t="shared" si="93"/>
        <v>414.97650000000004</v>
      </c>
      <c r="L1198" s="19">
        <f t="shared" si="91"/>
        <v>398.37779999999998</v>
      </c>
      <c r="M1198" s="19">
        <f>MAX(G1050:G1198)</f>
        <v>443.12</v>
      </c>
      <c r="N1198" s="19">
        <f t="shared" si="89"/>
        <v>0</v>
      </c>
      <c r="O1198" s="9" t="str">
        <f t="shared" si="90"/>
        <v>2024-07</v>
      </c>
    </row>
    <row r="1199" spans="1:15" x14ac:dyDescent="0.25">
      <c r="A1199" s="9" t="s">
        <v>314</v>
      </c>
      <c r="B1199" s="9" t="s">
        <v>45</v>
      </c>
      <c r="C1199" s="25" t="s">
        <v>195</v>
      </c>
      <c r="D1199" s="19">
        <v>443.12</v>
      </c>
      <c r="E1199" s="19">
        <v>443.49</v>
      </c>
      <c r="F1199" s="19">
        <v>438.38</v>
      </c>
      <c r="G1199" s="19">
        <v>438.67</v>
      </c>
      <c r="H1199" s="19">
        <v>438.67</v>
      </c>
      <c r="I1199" s="15">
        <v>6212233</v>
      </c>
      <c r="J1199" s="19">
        <f t="shared" si="92"/>
        <v>-1.0042426430763651</v>
      </c>
      <c r="K1199" s="19">
        <f t="shared" si="93"/>
        <v>415.27299999999997</v>
      </c>
      <c r="L1199" s="19">
        <f t="shared" si="91"/>
        <v>400.10519999999991</v>
      </c>
      <c r="M1199" s="19">
        <f>MAX(G1050:G1199)</f>
        <v>443.12</v>
      </c>
      <c r="N1199" s="19">
        <f t="shared" si="89"/>
        <v>-1.0042426430763651</v>
      </c>
      <c r="O1199" s="9" t="str">
        <f t="shared" si="90"/>
        <v>2024-07</v>
      </c>
    </row>
    <row r="1200" spans="1:15" x14ac:dyDescent="0.25">
      <c r="A1200" s="9" t="s">
        <v>314</v>
      </c>
      <c r="B1200" s="9" t="s">
        <v>45</v>
      </c>
      <c r="C1200" s="25" t="s">
        <v>196</v>
      </c>
      <c r="D1200" s="19">
        <v>438.67</v>
      </c>
      <c r="E1200" s="19">
        <v>438.92</v>
      </c>
      <c r="F1200" s="19">
        <v>434.64</v>
      </c>
      <c r="G1200" s="19">
        <v>434.83</v>
      </c>
      <c r="H1200" s="19">
        <v>434.83</v>
      </c>
      <c r="I1200" s="15">
        <v>7676555</v>
      </c>
      <c r="J1200" s="19">
        <f t="shared" si="92"/>
        <v>-0.8753732874370328</v>
      </c>
      <c r="K1200" s="19">
        <f t="shared" si="93"/>
        <v>415.61649999999997</v>
      </c>
      <c r="L1200" s="19">
        <f t="shared" si="91"/>
        <v>401.67199999999997</v>
      </c>
      <c r="M1200" s="19">
        <f>MAX(G1050:G1200)</f>
        <v>443.12</v>
      </c>
      <c r="N1200" s="19">
        <f t="shared" si="89"/>
        <v>-1.8708250586748556</v>
      </c>
      <c r="O1200" s="9" t="str">
        <f t="shared" si="90"/>
        <v>2024-07</v>
      </c>
    </row>
    <row r="1201" spans="1:15" x14ac:dyDescent="0.25">
      <c r="A1201" s="9" t="s">
        <v>314</v>
      </c>
      <c r="B1201" s="9" t="s">
        <v>45</v>
      </c>
      <c r="C1201" s="25" t="s">
        <v>197</v>
      </c>
      <c r="D1201" s="19">
        <v>434.83</v>
      </c>
      <c r="E1201" s="19">
        <v>436.38</v>
      </c>
      <c r="F1201" s="19">
        <v>434.83</v>
      </c>
      <c r="G1201" s="19">
        <v>435.32</v>
      </c>
      <c r="H1201" s="19">
        <v>435.32</v>
      </c>
      <c r="I1201" s="15">
        <v>6038987</v>
      </c>
      <c r="J1201" s="19">
        <f t="shared" si="92"/>
        <v>0.11268771703884486</v>
      </c>
      <c r="K1201" s="19">
        <f t="shared" si="93"/>
        <v>416.39</v>
      </c>
      <c r="L1201" s="19">
        <f t="shared" si="91"/>
        <v>403.20079999999996</v>
      </c>
      <c r="M1201" s="19">
        <f>MAX(G1050:G1201)</f>
        <v>443.12</v>
      </c>
      <c r="N1201" s="19">
        <f t="shared" si="89"/>
        <v>-1.7602455316844221</v>
      </c>
      <c r="O1201" s="9" t="str">
        <f t="shared" si="90"/>
        <v>2024-07</v>
      </c>
    </row>
    <row r="1202" spans="1:15" x14ac:dyDescent="0.25">
      <c r="A1202" s="9" t="s">
        <v>314</v>
      </c>
      <c r="B1202" s="9" t="s">
        <v>45</v>
      </c>
      <c r="C1202" s="25" t="s">
        <v>198</v>
      </c>
      <c r="D1202" s="19">
        <v>435.32</v>
      </c>
      <c r="E1202" s="19">
        <v>441.29</v>
      </c>
      <c r="F1202" s="19">
        <v>435.04</v>
      </c>
      <c r="G1202" s="19">
        <v>439.64</v>
      </c>
      <c r="H1202" s="19">
        <v>439.64</v>
      </c>
      <c r="I1202" s="15">
        <v>6297026</v>
      </c>
      <c r="J1202" s="19">
        <f t="shared" si="92"/>
        <v>0.99237342644491255</v>
      </c>
      <c r="K1202" s="19">
        <f t="shared" si="93"/>
        <v>417.61799999999994</v>
      </c>
      <c r="L1202" s="19">
        <f t="shared" si="91"/>
        <v>404.80400000000003</v>
      </c>
      <c r="M1202" s="19">
        <f>MAX(G1050:G1202)</f>
        <v>443.12</v>
      </c>
      <c r="N1202" s="19">
        <f t="shared" si="89"/>
        <v>-0.78534031413612981</v>
      </c>
      <c r="O1202" s="9" t="str">
        <f t="shared" si="90"/>
        <v>2024-07</v>
      </c>
    </row>
    <row r="1203" spans="1:15" x14ac:dyDescent="0.25">
      <c r="A1203" s="9" t="s">
        <v>314</v>
      </c>
      <c r="B1203" s="9" t="s">
        <v>45</v>
      </c>
      <c r="C1203" s="25" t="s">
        <v>199</v>
      </c>
      <c r="D1203" s="19">
        <v>439.64</v>
      </c>
      <c r="E1203" s="19">
        <v>440.98</v>
      </c>
      <c r="F1203" s="19">
        <v>432.36</v>
      </c>
      <c r="G1203" s="19">
        <v>433.8</v>
      </c>
      <c r="H1203" s="19">
        <v>433.8</v>
      </c>
      <c r="I1203" s="15">
        <v>7534817</v>
      </c>
      <c r="J1203" s="19">
        <f t="shared" si="92"/>
        <v>-1.3283595669183821</v>
      </c>
      <c r="K1203" s="19">
        <f t="shared" si="93"/>
        <v>418.9079999999999</v>
      </c>
      <c r="L1203" s="19">
        <f t="shared" si="91"/>
        <v>406.25879999999995</v>
      </c>
      <c r="M1203" s="19">
        <f>MAX(G1050:G1203)</f>
        <v>443.12</v>
      </c>
      <c r="N1203" s="19">
        <f t="shared" si="89"/>
        <v>-2.1032677378588178</v>
      </c>
      <c r="O1203" s="9" t="str">
        <f t="shared" si="90"/>
        <v>2024-08</v>
      </c>
    </row>
    <row r="1204" spans="1:15" x14ac:dyDescent="0.25">
      <c r="A1204" s="9" t="s">
        <v>314</v>
      </c>
      <c r="B1204" s="9" t="s">
        <v>45</v>
      </c>
      <c r="C1204" s="25" t="s">
        <v>200</v>
      </c>
      <c r="D1204" s="19">
        <v>433.8</v>
      </c>
      <c r="E1204" s="19">
        <v>437.28</v>
      </c>
      <c r="F1204" s="19">
        <v>432.36</v>
      </c>
      <c r="G1204" s="19">
        <v>432.5</v>
      </c>
      <c r="H1204" s="19">
        <v>432.5</v>
      </c>
      <c r="I1204" s="15">
        <v>8055532</v>
      </c>
      <c r="J1204" s="19">
        <f t="shared" si="92"/>
        <v>-0.29967727063163008</v>
      </c>
      <c r="K1204" s="19">
        <f t="shared" si="93"/>
        <v>419.96350000000001</v>
      </c>
      <c r="L1204" s="19">
        <f t="shared" si="91"/>
        <v>407.95579999999995</v>
      </c>
      <c r="M1204" s="19">
        <f>MAX(G1050:G1204)</f>
        <v>443.12</v>
      </c>
      <c r="N1204" s="19">
        <f t="shared" si="89"/>
        <v>-2.3966419931395566</v>
      </c>
      <c r="O1204" s="9" t="str">
        <f t="shared" si="90"/>
        <v>2024-08</v>
      </c>
    </row>
    <row r="1205" spans="1:15" x14ac:dyDescent="0.25">
      <c r="A1205" s="9" t="s">
        <v>314</v>
      </c>
      <c r="B1205" s="9" t="s">
        <v>45</v>
      </c>
      <c r="C1205" s="25" t="s">
        <v>201</v>
      </c>
      <c r="D1205" s="19">
        <v>432.5</v>
      </c>
      <c r="E1205" s="19">
        <v>434.58</v>
      </c>
      <c r="F1205" s="19">
        <v>417.69</v>
      </c>
      <c r="G1205" s="19">
        <v>422.8</v>
      </c>
      <c r="H1205" s="19">
        <v>422.8</v>
      </c>
      <c r="I1205" s="15">
        <v>8441238</v>
      </c>
      <c r="J1205" s="19">
        <f t="shared" si="92"/>
        <v>-2.2427745664739858</v>
      </c>
      <c r="K1205" s="19">
        <f t="shared" si="93"/>
        <v>420.33699999999999</v>
      </c>
      <c r="L1205" s="19">
        <f t="shared" si="91"/>
        <v>409.36759999999992</v>
      </c>
      <c r="M1205" s="19">
        <f>MAX(G1050:G1205)</f>
        <v>443.12</v>
      </c>
      <c r="N1205" s="19">
        <f t="shared" si="89"/>
        <v>-4.5856652825419735</v>
      </c>
      <c r="O1205" s="9" t="str">
        <f t="shared" si="90"/>
        <v>2024-08</v>
      </c>
    </row>
    <row r="1206" spans="1:15" x14ac:dyDescent="0.25">
      <c r="A1206" s="9" t="s">
        <v>314</v>
      </c>
      <c r="B1206" s="9" t="s">
        <v>45</v>
      </c>
      <c r="C1206" s="25" t="s">
        <v>202</v>
      </c>
      <c r="D1206" s="19">
        <v>422.8</v>
      </c>
      <c r="E1206" s="19">
        <v>435.9</v>
      </c>
      <c r="F1206" s="19">
        <v>420.93</v>
      </c>
      <c r="G1206" s="19">
        <v>433.75</v>
      </c>
      <c r="H1206" s="19">
        <v>433.75</v>
      </c>
      <c r="I1206" s="15">
        <v>9877238</v>
      </c>
      <c r="J1206" s="19">
        <f t="shared" si="92"/>
        <v>2.5898770104068087</v>
      </c>
      <c r="K1206" s="19">
        <f t="shared" si="93"/>
        <v>421.39499999999998</v>
      </c>
      <c r="L1206" s="19">
        <f t="shared" si="91"/>
        <v>410.83179999999993</v>
      </c>
      <c r="M1206" s="19">
        <f>MAX(G1050:G1206)</f>
        <v>443.12</v>
      </c>
      <c r="N1206" s="19">
        <f t="shared" si="89"/>
        <v>-2.1145513630619255</v>
      </c>
      <c r="O1206" s="9" t="str">
        <f t="shared" si="90"/>
        <v>2024-08</v>
      </c>
    </row>
    <row r="1207" spans="1:15" x14ac:dyDescent="0.25">
      <c r="A1207" s="9" t="s">
        <v>314</v>
      </c>
      <c r="B1207" s="9" t="s">
        <v>45</v>
      </c>
      <c r="C1207" s="25" t="s">
        <v>203</v>
      </c>
      <c r="D1207" s="19">
        <v>433.75</v>
      </c>
      <c r="E1207" s="19">
        <v>440.16</v>
      </c>
      <c r="F1207" s="19">
        <v>431.91</v>
      </c>
      <c r="G1207" s="19">
        <v>439.17</v>
      </c>
      <c r="H1207" s="19">
        <v>439.17</v>
      </c>
      <c r="I1207" s="15">
        <v>14623184</v>
      </c>
      <c r="J1207" s="19">
        <f t="shared" si="92"/>
        <v>1.2495677233429432</v>
      </c>
      <c r="K1207" s="19">
        <f t="shared" si="93"/>
        <v>422.40200000000004</v>
      </c>
      <c r="L1207" s="19">
        <f t="shared" si="91"/>
        <v>412.42519999999996</v>
      </c>
      <c r="M1207" s="19">
        <f>MAX(G1050:G1207)</f>
        <v>443.12</v>
      </c>
      <c r="N1207" s="19">
        <f t="shared" si="89"/>
        <v>-0.89140639104531239</v>
      </c>
      <c r="O1207" s="9" t="str">
        <f t="shared" si="90"/>
        <v>2024-08</v>
      </c>
    </row>
    <row r="1208" spans="1:15" x14ac:dyDescent="0.25">
      <c r="A1208" s="9" t="s">
        <v>314</v>
      </c>
      <c r="B1208" s="9" t="s">
        <v>45</v>
      </c>
      <c r="C1208" s="25" t="s">
        <v>204</v>
      </c>
      <c r="D1208" s="19">
        <v>439.17</v>
      </c>
      <c r="E1208" s="19">
        <v>442.79</v>
      </c>
      <c r="F1208" s="19">
        <v>435.95</v>
      </c>
      <c r="G1208" s="19">
        <v>441.89</v>
      </c>
      <c r="H1208" s="19">
        <v>441.89</v>
      </c>
      <c r="I1208" s="15">
        <v>7932598</v>
      </c>
      <c r="J1208" s="19">
        <f t="shared" si="92"/>
        <v>0.61935013775985848</v>
      </c>
      <c r="K1208" s="19">
        <f t="shared" si="93"/>
        <v>423.39700000000005</v>
      </c>
      <c r="L1208" s="19">
        <f t="shared" si="91"/>
        <v>414.06360000000001</v>
      </c>
      <c r="M1208" s="19">
        <f>MAX(G1050:G1208)</f>
        <v>443.12</v>
      </c>
      <c r="N1208" s="19">
        <f t="shared" si="89"/>
        <v>-0.27757717999639336</v>
      </c>
      <c r="O1208" s="9" t="str">
        <f t="shared" si="90"/>
        <v>2024-08</v>
      </c>
    </row>
    <row r="1209" spans="1:15" x14ac:dyDescent="0.25">
      <c r="A1209" s="9" t="s">
        <v>314</v>
      </c>
      <c r="B1209" s="9" t="s">
        <v>45</v>
      </c>
      <c r="C1209" s="25" t="s">
        <v>205</v>
      </c>
      <c r="D1209" s="19">
        <v>441.89</v>
      </c>
      <c r="E1209" s="19">
        <v>445.96</v>
      </c>
      <c r="F1209" s="19">
        <v>440.44</v>
      </c>
      <c r="G1209" s="19">
        <v>444.28</v>
      </c>
      <c r="H1209" s="19">
        <v>444.28</v>
      </c>
      <c r="I1209" s="15">
        <v>10690473</v>
      </c>
      <c r="J1209" s="19">
        <f t="shared" si="92"/>
        <v>0.54085858471565018</v>
      </c>
      <c r="K1209" s="19">
        <f t="shared" si="93"/>
        <v>424.99549999999999</v>
      </c>
      <c r="L1209" s="19">
        <f t="shared" si="91"/>
        <v>415.78899999999993</v>
      </c>
      <c r="M1209" s="19">
        <f>MAX(G1050:G1209)</f>
        <v>444.28</v>
      </c>
      <c r="N1209" s="19">
        <f t="shared" si="89"/>
        <v>0</v>
      </c>
      <c r="O1209" s="9" t="str">
        <f t="shared" si="90"/>
        <v>2024-08</v>
      </c>
    </row>
    <row r="1210" spans="1:15" x14ac:dyDescent="0.25">
      <c r="A1210" s="9" t="s">
        <v>314</v>
      </c>
      <c r="B1210" s="9" t="s">
        <v>45</v>
      </c>
      <c r="C1210" s="25" t="s">
        <v>206</v>
      </c>
      <c r="D1210" s="19">
        <v>444.28</v>
      </c>
      <c r="E1210" s="19">
        <v>444.61</v>
      </c>
      <c r="F1210" s="19">
        <v>442.58</v>
      </c>
      <c r="G1210" s="19">
        <v>444.59</v>
      </c>
      <c r="H1210" s="19">
        <v>444.59</v>
      </c>
      <c r="I1210" s="15">
        <v>5521113</v>
      </c>
      <c r="J1210" s="19">
        <f t="shared" si="92"/>
        <v>6.9775817052309869E-2</v>
      </c>
      <c r="K1210" s="19">
        <f t="shared" si="93"/>
        <v>426.6995</v>
      </c>
      <c r="L1210" s="19">
        <f t="shared" si="91"/>
        <v>417.65659999999997</v>
      </c>
      <c r="M1210" s="19">
        <f>MAX(G1050:G1210)</f>
        <v>444.59</v>
      </c>
      <c r="N1210" s="19">
        <f t="shared" si="89"/>
        <v>0</v>
      </c>
      <c r="O1210" s="9" t="str">
        <f t="shared" si="90"/>
        <v>2024-08</v>
      </c>
    </row>
    <row r="1211" spans="1:15" x14ac:dyDescent="0.25">
      <c r="A1211" s="9" t="s">
        <v>314</v>
      </c>
      <c r="B1211" s="9" t="s">
        <v>45</v>
      </c>
      <c r="C1211" s="25" t="s">
        <v>207</v>
      </c>
      <c r="D1211" s="19">
        <v>444.59</v>
      </c>
      <c r="E1211" s="19">
        <v>446.59</v>
      </c>
      <c r="F1211" s="19">
        <v>437.19</v>
      </c>
      <c r="G1211" s="19">
        <v>439.56</v>
      </c>
      <c r="H1211" s="19">
        <v>439.56</v>
      </c>
      <c r="I1211" s="15">
        <v>6033781</v>
      </c>
      <c r="J1211" s="19">
        <f t="shared" si="92"/>
        <v>-1.1313794732225135</v>
      </c>
      <c r="K1211" s="19">
        <f t="shared" si="93"/>
        <v>428.15250000000003</v>
      </c>
      <c r="L1211" s="19">
        <f t="shared" si="91"/>
        <v>418.85360000000003</v>
      </c>
      <c r="M1211" s="19">
        <f>MAX(G1050:G1211)</f>
        <v>444.59</v>
      </c>
      <c r="N1211" s="19">
        <f t="shared" si="89"/>
        <v>-1.1313794732225135</v>
      </c>
      <c r="O1211" s="9" t="str">
        <f t="shared" si="90"/>
        <v>2024-08</v>
      </c>
    </row>
    <row r="1212" spans="1:15" x14ac:dyDescent="0.25">
      <c r="A1212" s="9" t="s">
        <v>314</v>
      </c>
      <c r="B1212" s="9" t="s">
        <v>45</v>
      </c>
      <c r="C1212" s="25" t="s">
        <v>208</v>
      </c>
      <c r="D1212" s="19">
        <v>439.56</v>
      </c>
      <c r="E1212" s="19">
        <v>441.1</v>
      </c>
      <c r="F1212" s="19">
        <v>436.66</v>
      </c>
      <c r="G1212" s="19">
        <v>436.93</v>
      </c>
      <c r="H1212" s="19">
        <v>436.93</v>
      </c>
      <c r="I1212" s="15">
        <v>10267931</v>
      </c>
      <c r="J1212" s="19">
        <f t="shared" si="92"/>
        <v>-0.59832559832559729</v>
      </c>
      <c r="K1212" s="19">
        <f t="shared" si="93"/>
        <v>429.98100000000005</v>
      </c>
      <c r="L1212" s="19">
        <f t="shared" si="91"/>
        <v>420.14679999999998</v>
      </c>
      <c r="M1212" s="19">
        <f>MAX(G1050:G1212)</f>
        <v>444.59</v>
      </c>
      <c r="N1212" s="19">
        <f t="shared" si="89"/>
        <v>-1.7229357385456192</v>
      </c>
      <c r="O1212" s="9" t="str">
        <f t="shared" si="90"/>
        <v>2024-08</v>
      </c>
    </row>
    <row r="1213" spans="1:15" x14ac:dyDescent="0.25">
      <c r="A1213" s="9" t="s">
        <v>314</v>
      </c>
      <c r="B1213" s="9" t="s">
        <v>45</v>
      </c>
      <c r="C1213" s="25" t="s">
        <v>209</v>
      </c>
      <c r="D1213" s="19">
        <v>436.93</v>
      </c>
      <c r="E1213" s="19">
        <v>438.26</v>
      </c>
      <c r="F1213" s="19">
        <v>435.39</v>
      </c>
      <c r="G1213" s="19">
        <v>435.86</v>
      </c>
      <c r="H1213" s="19">
        <v>435.86</v>
      </c>
      <c r="I1213" s="15">
        <v>6601379</v>
      </c>
      <c r="J1213" s="19">
        <f t="shared" si="92"/>
        <v>-0.2448904858901868</v>
      </c>
      <c r="K1213" s="19">
        <f t="shared" si="93"/>
        <v>431.5920000000001</v>
      </c>
      <c r="L1213" s="19">
        <f t="shared" si="91"/>
        <v>421.39959999999996</v>
      </c>
      <c r="M1213" s="19">
        <f>MAX(G1050:G1213)</f>
        <v>444.59</v>
      </c>
      <c r="N1213" s="19">
        <f t="shared" si="89"/>
        <v>-1.9636069187341059</v>
      </c>
      <c r="O1213" s="9" t="str">
        <f t="shared" si="90"/>
        <v>2024-08</v>
      </c>
    </row>
    <row r="1214" spans="1:15" x14ac:dyDescent="0.25">
      <c r="A1214" s="9" t="s">
        <v>314</v>
      </c>
      <c r="B1214" s="9" t="s">
        <v>45</v>
      </c>
      <c r="C1214" s="25" t="s">
        <v>210</v>
      </c>
      <c r="D1214" s="19">
        <v>435.86</v>
      </c>
      <c r="E1214" s="19">
        <v>436.09</v>
      </c>
      <c r="F1214" s="19">
        <v>420.4</v>
      </c>
      <c r="G1214" s="19">
        <v>421.28</v>
      </c>
      <c r="H1214" s="19">
        <v>421.28</v>
      </c>
      <c r="I1214" s="15">
        <v>6040630</v>
      </c>
      <c r="J1214" s="19">
        <f t="shared" si="92"/>
        <v>-3.3451108153994498</v>
      </c>
      <c r="K1214" s="19">
        <f t="shared" si="93"/>
        <v>432.09800000000013</v>
      </c>
      <c r="L1214" s="19">
        <f t="shared" si="91"/>
        <v>422.38639999999992</v>
      </c>
      <c r="M1214" s="19">
        <f>MAX(G1050:G1214)</f>
        <v>444.59</v>
      </c>
      <c r="N1214" s="19">
        <f t="shared" si="89"/>
        <v>-5.243032906723049</v>
      </c>
      <c r="O1214" s="9" t="str">
        <f t="shared" si="90"/>
        <v>2024-08</v>
      </c>
    </row>
    <row r="1215" spans="1:15" x14ac:dyDescent="0.25">
      <c r="A1215" s="9" t="s">
        <v>314</v>
      </c>
      <c r="B1215" s="9" t="s">
        <v>45</v>
      </c>
      <c r="C1215" s="25" t="s">
        <v>211</v>
      </c>
      <c r="D1215" s="19">
        <v>421.28</v>
      </c>
      <c r="E1215" s="19">
        <v>422.82</v>
      </c>
      <c r="F1215" s="19">
        <v>421.13</v>
      </c>
      <c r="G1215" s="19">
        <v>422.7</v>
      </c>
      <c r="H1215" s="19">
        <v>422.7</v>
      </c>
      <c r="I1215" s="15">
        <v>8473557</v>
      </c>
      <c r="J1215" s="19">
        <f t="shared" si="92"/>
        <v>0.33706798328902771</v>
      </c>
      <c r="K1215" s="19">
        <f t="shared" si="93"/>
        <v>432.97750000000008</v>
      </c>
      <c r="L1215" s="19">
        <f t="shared" si="91"/>
        <v>423.36059999999998</v>
      </c>
      <c r="M1215" s="19">
        <f>MAX(G1050:G1215)</f>
        <v>444.59</v>
      </c>
      <c r="N1215" s="19">
        <f t="shared" si="89"/>
        <v>-4.9236375087158928</v>
      </c>
      <c r="O1215" s="9" t="str">
        <f t="shared" si="90"/>
        <v>2024-08</v>
      </c>
    </row>
    <row r="1216" spans="1:15" x14ac:dyDescent="0.25">
      <c r="A1216" s="9" t="s">
        <v>314</v>
      </c>
      <c r="B1216" s="9" t="s">
        <v>45</v>
      </c>
      <c r="C1216" s="25" t="s">
        <v>212</v>
      </c>
      <c r="D1216" s="19">
        <v>422.7</v>
      </c>
      <c r="E1216" s="19">
        <v>423.24</v>
      </c>
      <c r="F1216" s="19">
        <v>418.61</v>
      </c>
      <c r="G1216" s="19">
        <v>419.35</v>
      </c>
      <c r="H1216" s="19">
        <v>419.35</v>
      </c>
      <c r="I1216" s="15">
        <v>8335464</v>
      </c>
      <c r="J1216" s="19">
        <f t="shared" si="92"/>
        <v>-0.79252424887626349</v>
      </c>
      <c r="K1216" s="19">
        <f t="shared" si="93"/>
        <v>433.65300000000008</v>
      </c>
      <c r="L1216" s="19">
        <f t="shared" si="91"/>
        <v>423.73939999999993</v>
      </c>
      <c r="M1216" s="19">
        <f>MAX(G1050:G1216)</f>
        <v>444.59</v>
      </c>
      <c r="N1216" s="19">
        <f t="shared" si="89"/>
        <v>-5.6771407364088162</v>
      </c>
      <c r="O1216" s="9" t="str">
        <f t="shared" si="90"/>
        <v>2024-08</v>
      </c>
    </row>
    <row r="1217" spans="1:15" x14ac:dyDescent="0.25">
      <c r="A1217" s="9" t="s">
        <v>314</v>
      </c>
      <c r="B1217" s="9" t="s">
        <v>45</v>
      </c>
      <c r="C1217" s="25" t="s">
        <v>213</v>
      </c>
      <c r="D1217" s="19">
        <v>419.35</v>
      </c>
      <c r="E1217" s="19">
        <v>422.24</v>
      </c>
      <c r="F1217" s="19">
        <v>416.92</v>
      </c>
      <c r="G1217" s="19">
        <v>422.03</v>
      </c>
      <c r="H1217" s="19">
        <v>422.03</v>
      </c>
      <c r="I1217" s="15">
        <v>2489165</v>
      </c>
      <c r="J1217" s="19">
        <f t="shared" si="92"/>
        <v>0.63908429712649339</v>
      </c>
      <c r="K1217" s="19">
        <f t="shared" si="93"/>
        <v>434.10350000000005</v>
      </c>
      <c r="L1217" s="19">
        <f t="shared" si="91"/>
        <v>424.19619999999986</v>
      </c>
      <c r="M1217" s="19">
        <f>MAX(G1050:G1217)</f>
        <v>444.59</v>
      </c>
      <c r="N1217" s="19">
        <f t="shared" si="89"/>
        <v>-5.074338154254483</v>
      </c>
      <c r="O1217" s="9" t="str">
        <f t="shared" si="90"/>
        <v>2024-08</v>
      </c>
    </row>
    <row r="1218" spans="1:15" x14ac:dyDescent="0.25">
      <c r="A1218" s="9" t="s">
        <v>314</v>
      </c>
      <c r="B1218" s="9" t="s">
        <v>45</v>
      </c>
      <c r="C1218" s="25" t="s">
        <v>214</v>
      </c>
      <c r="D1218" s="19">
        <v>422.03</v>
      </c>
      <c r="E1218" s="19">
        <v>424.09</v>
      </c>
      <c r="F1218" s="19">
        <v>417.01</v>
      </c>
      <c r="G1218" s="19">
        <v>419.08</v>
      </c>
      <c r="H1218" s="19">
        <v>419.08</v>
      </c>
      <c r="I1218" s="15">
        <v>7231779</v>
      </c>
      <c r="J1218" s="19">
        <f t="shared" si="92"/>
        <v>-0.69900244058478989</v>
      </c>
      <c r="K1218" s="19">
        <f t="shared" si="93"/>
        <v>432.90150000000006</v>
      </c>
      <c r="L1218" s="19">
        <f t="shared" si="91"/>
        <v>424.41839999999996</v>
      </c>
      <c r="M1218" s="19">
        <f>MAX(G1050:G1218)</f>
        <v>444.59</v>
      </c>
      <c r="N1218" s="19">
        <f t="shared" ref="N1218:N1281" si="94">(G1218-M1218)/M1218*100</f>
        <v>-5.7378708472975086</v>
      </c>
      <c r="O1218" s="9" t="str">
        <f t="shared" ref="O1218:O1281" si="95">TEXT(C1218,"yyyy-mm")</f>
        <v>2024-08</v>
      </c>
    </row>
    <row r="1219" spans="1:15" x14ac:dyDescent="0.25">
      <c r="A1219" s="9" t="s">
        <v>314</v>
      </c>
      <c r="B1219" s="9" t="s">
        <v>45</v>
      </c>
      <c r="C1219" s="25" t="s">
        <v>215</v>
      </c>
      <c r="D1219" s="19">
        <v>419.08</v>
      </c>
      <c r="E1219" s="19">
        <v>419.89</v>
      </c>
      <c r="F1219" s="19">
        <v>415.31</v>
      </c>
      <c r="G1219" s="19">
        <v>417.04</v>
      </c>
      <c r="H1219" s="19">
        <v>417.04</v>
      </c>
      <c r="I1219" s="15">
        <v>7818165</v>
      </c>
      <c r="J1219" s="19">
        <f t="shared" si="92"/>
        <v>-0.48678056695618105</v>
      </c>
      <c r="K1219" s="19">
        <f t="shared" si="93"/>
        <v>431.82000000000005</v>
      </c>
      <c r="L1219" s="19">
        <f t="shared" si="91"/>
        <v>424.57480000000004</v>
      </c>
      <c r="M1219" s="19">
        <f>MAX(G1050:G1219)</f>
        <v>444.59</v>
      </c>
      <c r="N1219" s="19">
        <f t="shared" si="94"/>
        <v>-6.1967205740120015</v>
      </c>
      <c r="O1219" s="9" t="str">
        <f t="shared" si="95"/>
        <v>2024-08</v>
      </c>
    </row>
    <row r="1220" spans="1:15" x14ac:dyDescent="0.25">
      <c r="A1220" s="9" t="s">
        <v>314</v>
      </c>
      <c r="B1220" s="9" t="s">
        <v>45</v>
      </c>
      <c r="C1220" s="25" t="s">
        <v>216</v>
      </c>
      <c r="D1220" s="19">
        <v>417.04</v>
      </c>
      <c r="E1220" s="19">
        <v>423.05</v>
      </c>
      <c r="F1220" s="19">
        <v>415.8</v>
      </c>
      <c r="G1220" s="19">
        <v>421.25</v>
      </c>
      <c r="H1220" s="19">
        <v>421.25</v>
      </c>
      <c r="I1220" s="15">
        <v>6996887</v>
      </c>
      <c r="J1220" s="19">
        <f t="shared" si="92"/>
        <v>1.0094954920391279</v>
      </c>
      <c r="K1220" s="19">
        <f t="shared" si="93"/>
        <v>431.14099999999996</v>
      </c>
      <c r="L1220" s="19">
        <f t="shared" si="91"/>
        <v>424.786</v>
      </c>
      <c r="M1220" s="19">
        <f>MAX(G1050:G1220)</f>
        <v>444.59</v>
      </c>
      <c r="N1220" s="19">
        <f t="shared" si="94"/>
        <v>-5.2497806968217855</v>
      </c>
      <c r="O1220" s="9" t="str">
        <f t="shared" si="95"/>
        <v>2024-08</v>
      </c>
    </row>
    <row r="1221" spans="1:15" x14ac:dyDescent="0.25">
      <c r="A1221" s="9" t="s">
        <v>314</v>
      </c>
      <c r="B1221" s="9" t="s">
        <v>45</v>
      </c>
      <c r="C1221" s="25" t="s">
        <v>217</v>
      </c>
      <c r="D1221" s="19">
        <v>421.25</v>
      </c>
      <c r="E1221" s="19">
        <v>430.45</v>
      </c>
      <c r="F1221" s="19">
        <v>419.24</v>
      </c>
      <c r="G1221" s="19">
        <v>429.06</v>
      </c>
      <c r="H1221" s="19">
        <v>429.06</v>
      </c>
      <c r="I1221" s="15">
        <v>11942415</v>
      </c>
      <c r="J1221" s="19">
        <f t="shared" si="92"/>
        <v>1.8540059347181015</v>
      </c>
      <c r="K1221" s="19">
        <f t="shared" si="93"/>
        <v>430.82799999999997</v>
      </c>
      <c r="L1221" s="19">
        <f t="shared" si="91"/>
        <v>424.6936</v>
      </c>
      <c r="M1221" s="19">
        <f>MAX(G1050:G1221)</f>
        <v>444.59</v>
      </c>
      <c r="N1221" s="19">
        <f t="shared" si="94"/>
        <v>-3.4931060077824454</v>
      </c>
      <c r="O1221" s="9" t="str">
        <f t="shared" si="95"/>
        <v>2024-08</v>
      </c>
    </row>
    <row r="1222" spans="1:15" x14ac:dyDescent="0.25">
      <c r="A1222" s="9" t="s">
        <v>314</v>
      </c>
      <c r="B1222" s="9" t="s">
        <v>45</v>
      </c>
      <c r="C1222" s="25" t="s">
        <v>218</v>
      </c>
      <c r="D1222" s="19">
        <v>429.06</v>
      </c>
      <c r="E1222" s="19">
        <v>430.16</v>
      </c>
      <c r="F1222" s="19">
        <v>422.46</v>
      </c>
      <c r="G1222" s="19">
        <v>423.95</v>
      </c>
      <c r="H1222" s="19">
        <v>423.95</v>
      </c>
      <c r="I1222" s="15">
        <v>4609914</v>
      </c>
      <c r="J1222" s="19">
        <f t="shared" si="92"/>
        <v>-1.1909756211252538</v>
      </c>
      <c r="K1222" s="19">
        <f t="shared" si="93"/>
        <v>430.04349999999994</v>
      </c>
      <c r="L1222" s="19">
        <f t="shared" si="91"/>
        <v>424.51420000000007</v>
      </c>
      <c r="M1222" s="19">
        <f>MAX(G1050:G1222)</f>
        <v>444.59</v>
      </c>
      <c r="N1222" s="19">
        <f t="shared" si="94"/>
        <v>-4.6424795879349485</v>
      </c>
      <c r="O1222" s="9" t="str">
        <f t="shared" si="95"/>
        <v>2024-08</v>
      </c>
    </row>
    <row r="1223" spans="1:15" x14ac:dyDescent="0.25">
      <c r="A1223" s="9" t="s">
        <v>314</v>
      </c>
      <c r="B1223" s="9" t="s">
        <v>45</v>
      </c>
      <c r="C1223" s="25" t="s">
        <v>219</v>
      </c>
      <c r="D1223" s="19">
        <v>423.95</v>
      </c>
      <c r="E1223" s="19">
        <v>424.15</v>
      </c>
      <c r="F1223" s="19">
        <v>413.52</v>
      </c>
      <c r="G1223" s="19">
        <v>413.9</v>
      </c>
      <c r="H1223" s="19">
        <v>413.9</v>
      </c>
      <c r="I1223" s="15">
        <v>5613561</v>
      </c>
      <c r="J1223" s="19">
        <f t="shared" si="92"/>
        <v>-2.3705625663403733</v>
      </c>
      <c r="K1223" s="19">
        <f t="shared" si="93"/>
        <v>429.04849999999999</v>
      </c>
      <c r="L1223" s="19">
        <f t="shared" si="91"/>
        <v>424.16360000000003</v>
      </c>
      <c r="M1223" s="19">
        <f>MAX(G1050:G1223)</f>
        <v>444.59</v>
      </c>
      <c r="N1223" s="19">
        <f t="shared" si="94"/>
        <v>-6.9029892710137428</v>
      </c>
      <c r="O1223" s="9" t="str">
        <f t="shared" si="95"/>
        <v>2024-08</v>
      </c>
    </row>
    <row r="1224" spans="1:15" x14ac:dyDescent="0.25">
      <c r="A1224" s="9" t="s">
        <v>314</v>
      </c>
      <c r="B1224" s="9" t="s">
        <v>45</v>
      </c>
      <c r="C1224" s="25" t="s">
        <v>220</v>
      </c>
      <c r="D1224" s="19">
        <v>413.9</v>
      </c>
      <c r="E1224" s="19">
        <v>414.21</v>
      </c>
      <c r="F1224" s="19">
        <v>399.22</v>
      </c>
      <c r="G1224" s="19">
        <v>399.34</v>
      </c>
      <c r="H1224" s="19">
        <v>399.34</v>
      </c>
      <c r="I1224" s="15">
        <v>8036046</v>
      </c>
      <c r="J1224" s="19">
        <f t="shared" si="92"/>
        <v>-3.5177579125392615</v>
      </c>
      <c r="K1224" s="19">
        <f t="shared" si="93"/>
        <v>427.39049999999997</v>
      </c>
      <c r="L1224" s="19">
        <f t="shared" si="91"/>
        <v>423.68600000000004</v>
      </c>
      <c r="M1224" s="19">
        <f>MAX(G1050:G1224)</f>
        <v>444.59</v>
      </c>
      <c r="N1224" s="19">
        <f t="shared" si="94"/>
        <v>-10.177916732270182</v>
      </c>
      <c r="O1224" s="9" t="str">
        <f t="shared" si="95"/>
        <v>2024-08</v>
      </c>
    </row>
    <row r="1225" spans="1:15" x14ac:dyDescent="0.25">
      <c r="A1225" s="9" t="s">
        <v>314</v>
      </c>
      <c r="B1225" s="9" t="s">
        <v>45</v>
      </c>
      <c r="C1225" s="25" t="s">
        <v>221</v>
      </c>
      <c r="D1225" s="19">
        <v>399.34</v>
      </c>
      <c r="E1225" s="19">
        <v>402.69</v>
      </c>
      <c r="F1225" s="19">
        <v>397.45</v>
      </c>
      <c r="G1225" s="19">
        <v>402.63</v>
      </c>
      <c r="H1225" s="19">
        <v>402.63</v>
      </c>
      <c r="I1225" s="15">
        <v>10674372</v>
      </c>
      <c r="J1225" s="19">
        <f t="shared" si="92"/>
        <v>0.82385936795713444</v>
      </c>
      <c r="K1225" s="19">
        <f t="shared" si="93"/>
        <v>426.38199999999995</v>
      </c>
      <c r="L1225" s="19">
        <f t="shared" si="91"/>
        <v>423.31080000000009</v>
      </c>
      <c r="M1225" s="19">
        <f>MAX(G1050:G1225)</f>
        <v>444.59</v>
      </c>
      <c r="N1225" s="19">
        <f t="shared" si="94"/>
        <v>-9.4379090847747307</v>
      </c>
      <c r="O1225" s="9" t="str">
        <f t="shared" si="95"/>
        <v>2024-09</v>
      </c>
    </row>
    <row r="1226" spans="1:15" x14ac:dyDescent="0.25">
      <c r="A1226" s="9" t="s">
        <v>314</v>
      </c>
      <c r="B1226" s="9" t="s">
        <v>45</v>
      </c>
      <c r="C1226" s="25" t="s">
        <v>222</v>
      </c>
      <c r="D1226" s="19">
        <v>402.63</v>
      </c>
      <c r="E1226" s="19">
        <v>408.11</v>
      </c>
      <c r="F1226" s="19">
        <v>402.24</v>
      </c>
      <c r="G1226" s="19">
        <v>406.94</v>
      </c>
      <c r="H1226" s="19">
        <v>406.94</v>
      </c>
      <c r="I1226" s="15">
        <v>8461363</v>
      </c>
      <c r="J1226" s="19">
        <f t="shared" si="92"/>
        <v>1.0704617142289452</v>
      </c>
      <c r="K1226" s="19">
        <f t="shared" si="93"/>
        <v>425.04149999999998</v>
      </c>
      <c r="L1226" s="19">
        <f t="shared" si="91"/>
        <v>422.85100000000006</v>
      </c>
      <c r="M1226" s="19">
        <f>MAX(G1050:G1226)</f>
        <v>444.59</v>
      </c>
      <c r="N1226" s="19">
        <f t="shared" si="94"/>
        <v>-8.468476573922036</v>
      </c>
      <c r="O1226" s="9" t="str">
        <f t="shared" si="95"/>
        <v>2024-09</v>
      </c>
    </row>
    <row r="1227" spans="1:15" x14ac:dyDescent="0.25">
      <c r="A1227" s="9" t="s">
        <v>314</v>
      </c>
      <c r="B1227" s="9" t="s">
        <v>45</v>
      </c>
      <c r="C1227" s="25" t="s">
        <v>223</v>
      </c>
      <c r="D1227" s="19">
        <v>406.94</v>
      </c>
      <c r="E1227" s="19">
        <v>414.04</v>
      </c>
      <c r="F1227" s="19">
        <v>404.92</v>
      </c>
      <c r="G1227" s="19">
        <v>412.81</v>
      </c>
      <c r="H1227" s="19">
        <v>412.81</v>
      </c>
      <c r="I1227" s="15">
        <v>4477939</v>
      </c>
      <c r="J1227" s="19">
        <f t="shared" si="92"/>
        <v>1.4424730918562945</v>
      </c>
      <c r="K1227" s="19">
        <f t="shared" si="93"/>
        <v>423.72349999999994</v>
      </c>
      <c r="L1227" s="19">
        <f t="shared" ref="L1227:L1290" si="96">AVERAGE(G1178:G1227)</f>
        <v>422.47520000000009</v>
      </c>
      <c r="M1227" s="19">
        <f>MAX(G1050:G1227)</f>
        <v>444.59</v>
      </c>
      <c r="N1227" s="19">
        <f t="shared" si="94"/>
        <v>-7.1481589779347212</v>
      </c>
      <c r="O1227" s="9" t="str">
        <f t="shared" si="95"/>
        <v>2024-09</v>
      </c>
    </row>
    <row r="1228" spans="1:15" x14ac:dyDescent="0.25">
      <c r="A1228" s="9" t="s">
        <v>314</v>
      </c>
      <c r="B1228" s="9" t="s">
        <v>45</v>
      </c>
      <c r="C1228" s="25" t="s">
        <v>224</v>
      </c>
      <c r="D1228" s="19">
        <v>412.81</v>
      </c>
      <c r="E1228" s="19">
        <v>414.14</v>
      </c>
      <c r="F1228" s="19">
        <v>411.71</v>
      </c>
      <c r="G1228" s="19">
        <v>414.06</v>
      </c>
      <c r="H1228" s="19">
        <v>414.06</v>
      </c>
      <c r="I1228" s="15">
        <v>9624719</v>
      </c>
      <c r="J1228" s="19">
        <f t="shared" si="92"/>
        <v>0.30280274218163317</v>
      </c>
      <c r="K1228" s="19">
        <f t="shared" si="93"/>
        <v>422.33199999999999</v>
      </c>
      <c r="L1228" s="19">
        <f t="shared" si="96"/>
        <v>421.97080000000017</v>
      </c>
      <c r="M1228" s="19">
        <f>MAX(G1050:G1228)</f>
        <v>444.59</v>
      </c>
      <c r="N1228" s="19">
        <f t="shared" si="94"/>
        <v>-6.867001057153777</v>
      </c>
      <c r="O1228" s="9" t="str">
        <f t="shared" si="95"/>
        <v>2024-09</v>
      </c>
    </row>
    <row r="1229" spans="1:15" x14ac:dyDescent="0.25">
      <c r="A1229" s="9" t="s">
        <v>314</v>
      </c>
      <c r="B1229" s="9" t="s">
        <v>45</v>
      </c>
      <c r="C1229" s="25" t="s">
        <v>225</v>
      </c>
      <c r="D1229" s="19">
        <v>414.06</v>
      </c>
      <c r="E1229" s="19">
        <v>415.61</v>
      </c>
      <c r="F1229" s="19">
        <v>401</v>
      </c>
      <c r="G1229" s="19">
        <v>401.17</v>
      </c>
      <c r="H1229" s="19">
        <v>401.17</v>
      </c>
      <c r="I1229" s="15">
        <v>4056346</v>
      </c>
      <c r="J1229" s="19">
        <f t="shared" si="92"/>
        <v>-3.1130753997005232</v>
      </c>
      <c r="K1229" s="19">
        <f t="shared" si="93"/>
        <v>420.17650000000003</v>
      </c>
      <c r="L1229" s="19">
        <f t="shared" si="96"/>
        <v>421.33940000000007</v>
      </c>
      <c r="M1229" s="19">
        <f>MAX(G1050:G1229)</f>
        <v>444.59</v>
      </c>
      <c r="N1229" s="19">
        <f t="shared" si="94"/>
        <v>-9.7663015362468695</v>
      </c>
      <c r="O1229" s="9" t="str">
        <f t="shared" si="95"/>
        <v>2024-09</v>
      </c>
    </row>
    <row r="1230" spans="1:15" x14ac:dyDescent="0.25">
      <c r="A1230" s="9" t="s">
        <v>314</v>
      </c>
      <c r="B1230" s="9" t="s">
        <v>45</v>
      </c>
      <c r="C1230" s="25" t="s">
        <v>226</v>
      </c>
      <c r="D1230" s="19">
        <v>401.17</v>
      </c>
      <c r="E1230" s="19">
        <v>403.83</v>
      </c>
      <c r="F1230" s="19">
        <v>399.6</v>
      </c>
      <c r="G1230" s="19">
        <v>400.46</v>
      </c>
      <c r="H1230" s="19">
        <v>400.46</v>
      </c>
      <c r="I1230" s="15">
        <v>8123903</v>
      </c>
      <c r="J1230" s="19">
        <f t="shared" si="92"/>
        <v>-0.17698232669442787</v>
      </c>
      <c r="K1230" s="19">
        <f t="shared" si="93"/>
        <v>417.96999999999997</v>
      </c>
      <c r="L1230" s="19">
        <f t="shared" si="96"/>
        <v>420.78940000000011</v>
      </c>
      <c r="M1230" s="19">
        <f>MAX(G1050:G1230)</f>
        <v>444.59</v>
      </c>
      <c r="N1230" s="19">
        <f t="shared" si="94"/>
        <v>-9.9259992352504547</v>
      </c>
      <c r="O1230" s="9" t="str">
        <f t="shared" si="95"/>
        <v>2024-09</v>
      </c>
    </row>
    <row r="1231" spans="1:15" x14ac:dyDescent="0.25">
      <c r="A1231" s="9" t="s">
        <v>314</v>
      </c>
      <c r="B1231" s="9" t="s">
        <v>45</v>
      </c>
      <c r="C1231" s="25" t="s">
        <v>227</v>
      </c>
      <c r="D1231" s="19">
        <v>400.46</v>
      </c>
      <c r="E1231" s="19">
        <v>401.5</v>
      </c>
      <c r="F1231" s="19">
        <v>398.99</v>
      </c>
      <c r="G1231" s="19">
        <v>399.59</v>
      </c>
      <c r="H1231" s="19">
        <v>399.59</v>
      </c>
      <c r="I1231" s="15">
        <v>7237483</v>
      </c>
      <c r="J1231" s="19">
        <f t="shared" si="92"/>
        <v>-0.21725016231334079</v>
      </c>
      <c r="K1231" s="19">
        <f t="shared" si="93"/>
        <v>415.97149999999999</v>
      </c>
      <c r="L1231" s="19">
        <f t="shared" si="96"/>
        <v>420.38420000000013</v>
      </c>
      <c r="M1231" s="19">
        <f>MAX(G1050:G1231)</f>
        <v>444.59</v>
      </c>
      <c r="N1231" s="19">
        <f t="shared" si="94"/>
        <v>-10.121685148113993</v>
      </c>
      <c r="O1231" s="9" t="str">
        <f t="shared" si="95"/>
        <v>2024-09</v>
      </c>
    </row>
    <row r="1232" spans="1:15" x14ac:dyDescent="0.25">
      <c r="A1232" s="9" t="s">
        <v>314</v>
      </c>
      <c r="B1232" s="9" t="s">
        <v>45</v>
      </c>
      <c r="C1232" s="25" t="s">
        <v>228</v>
      </c>
      <c r="D1232" s="19">
        <v>399.59</v>
      </c>
      <c r="E1232" s="19">
        <v>407.94</v>
      </c>
      <c r="F1232" s="19">
        <v>399.07</v>
      </c>
      <c r="G1232" s="19">
        <v>407.04</v>
      </c>
      <c r="H1232" s="19">
        <v>407.04</v>
      </c>
      <c r="I1232" s="15">
        <v>7112994</v>
      </c>
      <c r="J1232" s="19">
        <f t="shared" si="92"/>
        <v>1.8644110212968408</v>
      </c>
      <c r="K1232" s="19">
        <f t="shared" si="93"/>
        <v>414.47700000000003</v>
      </c>
      <c r="L1232" s="19">
        <f t="shared" si="96"/>
        <v>420.22340000000008</v>
      </c>
      <c r="M1232" s="19">
        <f>MAX(G1050:G1232)</f>
        <v>444.59</v>
      </c>
      <c r="N1232" s="19">
        <f t="shared" si="94"/>
        <v>-8.4459839402595556</v>
      </c>
      <c r="O1232" s="9" t="str">
        <f t="shared" si="95"/>
        <v>2024-09</v>
      </c>
    </row>
    <row r="1233" spans="1:15" x14ac:dyDescent="0.25">
      <c r="A1233" s="9" t="s">
        <v>314</v>
      </c>
      <c r="B1233" s="9" t="s">
        <v>45</v>
      </c>
      <c r="C1233" s="25" t="s">
        <v>229</v>
      </c>
      <c r="D1233" s="19">
        <v>407.04</v>
      </c>
      <c r="E1233" s="19">
        <v>409.61</v>
      </c>
      <c r="F1233" s="19">
        <v>398.63</v>
      </c>
      <c r="G1233" s="19">
        <v>399.92</v>
      </c>
      <c r="H1233" s="19">
        <v>399.92</v>
      </c>
      <c r="I1233" s="15">
        <v>4981813</v>
      </c>
      <c r="J1233" s="19">
        <f t="shared" si="92"/>
        <v>-1.7492138364779883</v>
      </c>
      <c r="K1233" s="19">
        <f t="shared" si="93"/>
        <v>412.68</v>
      </c>
      <c r="L1233" s="19">
        <f t="shared" si="96"/>
        <v>420.06180000000001</v>
      </c>
      <c r="M1233" s="19">
        <f>MAX(G1050:G1233)</f>
        <v>444.59</v>
      </c>
      <c r="N1233" s="19">
        <f t="shared" si="94"/>
        <v>-10.047459457027815</v>
      </c>
      <c r="O1233" s="9" t="str">
        <f t="shared" si="95"/>
        <v>2024-09</v>
      </c>
    </row>
    <row r="1234" spans="1:15" x14ac:dyDescent="0.25">
      <c r="A1234" s="9" t="s">
        <v>314</v>
      </c>
      <c r="B1234" s="9" t="s">
        <v>45</v>
      </c>
      <c r="C1234" s="25" t="s">
        <v>230</v>
      </c>
      <c r="D1234" s="19">
        <v>399.92</v>
      </c>
      <c r="E1234" s="19">
        <v>400.67</v>
      </c>
      <c r="F1234" s="19">
        <v>398.37</v>
      </c>
      <c r="G1234" s="19">
        <v>398.89</v>
      </c>
      <c r="H1234" s="19">
        <v>398.89</v>
      </c>
      <c r="I1234" s="15">
        <v>9487823</v>
      </c>
      <c r="J1234" s="19">
        <f t="shared" si="92"/>
        <v>-0.2575515103020678</v>
      </c>
      <c r="K1234" s="19">
        <f t="shared" si="93"/>
        <v>411.56050000000005</v>
      </c>
      <c r="L1234" s="19">
        <f t="shared" si="96"/>
        <v>419.81180000000006</v>
      </c>
      <c r="M1234" s="19">
        <f>MAX(G1050:G1234)</f>
        <v>444.59</v>
      </c>
      <c r="N1234" s="19">
        <f t="shared" si="94"/>
        <v>-10.279133583751319</v>
      </c>
      <c r="O1234" s="9" t="str">
        <f t="shared" si="95"/>
        <v>2024-09</v>
      </c>
    </row>
    <row r="1235" spans="1:15" x14ac:dyDescent="0.25">
      <c r="A1235" s="9" t="s">
        <v>314</v>
      </c>
      <c r="B1235" s="9" t="s">
        <v>45</v>
      </c>
      <c r="C1235" s="25" t="s">
        <v>231</v>
      </c>
      <c r="D1235" s="19">
        <v>398.89</v>
      </c>
      <c r="E1235" s="19">
        <v>399.14</v>
      </c>
      <c r="F1235" s="19">
        <v>390.56</v>
      </c>
      <c r="G1235" s="19">
        <v>393.09</v>
      </c>
      <c r="H1235" s="19">
        <v>393.09</v>
      </c>
      <c r="I1235" s="15">
        <v>8443377</v>
      </c>
      <c r="J1235" s="19">
        <f t="shared" si="92"/>
        <v>-1.4540349469778664</v>
      </c>
      <c r="K1235" s="19">
        <f t="shared" si="93"/>
        <v>410.08000000000004</v>
      </c>
      <c r="L1235" s="19">
        <f t="shared" si="96"/>
        <v>419.36700000000002</v>
      </c>
      <c r="M1235" s="19">
        <f>MAX(G1050:G1235)</f>
        <v>444.59</v>
      </c>
      <c r="N1235" s="19">
        <f t="shared" si="94"/>
        <v>-11.583706336174904</v>
      </c>
      <c r="O1235" s="9" t="str">
        <f t="shared" si="95"/>
        <v>2024-09</v>
      </c>
    </row>
    <row r="1236" spans="1:15" x14ac:dyDescent="0.25">
      <c r="A1236" s="9" t="s">
        <v>314</v>
      </c>
      <c r="B1236" s="9" t="s">
        <v>45</v>
      </c>
      <c r="C1236" s="25" t="s">
        <v>232</v>
      </c>
      <c r="D1236" s="19">
        <v>393.09</v>
      </c>
      <c r="E1236" s="19">
        <v>404.51</v>
      </c>
      <c r="F1236" s="19">
        <v>391.77</v>
      </c>
      <c r="G1236" s="19">
        <v>404.5</v>
      </c>
      <c r="H1236" s="19">
        <v>404.5</v>
      </c>
      <c r="I1236" s="15">
        <v>6517672</v>
      </c>
      <c r="J1236" s="19">
        <f t="shared" si="92"/>
        <v>2.9026431605993603</v>
      </c>
      <c r="K1236" s="19">
        <f t="shared" si="93"/>
        <v>409.33750000000009</v>
      </c>
      <c r="L1236" s="19">
        <f t="shared" si="96"/>
        <v>419.20520000000005</v>
      </c>
      <c r="M1236" s="19">
        <f>MAX(G1050:G1236)</f>
        <v>444.59</v>
      </c>
      <c r="N1236" s="19">
        <f t="shared" si="94"/>
        <v>-9.0172968352864391</v>
      </c>
      <c r="O1236" s="9" t="str">
        <f t="shared" si="95"/>
        <v>2024-09</v>
      </c>
    </row>
    <row r="1237" spans="1:15" x14ac:dyDescent="0.25">
      <c r="A1237" s="9" t="s">
        <v>314</v>
      </c>
      <c r="B1237" s="9" t="s">
        <v>45</v>
      </c>
      <c r="C1237" s="25" t="s">
        <v>233</v>
      </c>
      <c r="D1237" s="19">
        <v>404.5</v>
      </c>
      <c r="E1237" s="19">
        <v>420.34</v>
      </c>
      <c r="F1237" s="19">
        <v>402.2</v>
      </c>
      <c r="G1237" s="19">
        <v>417.17</v>
      </c>
      <c r="H1237" s="19">
        <v>417.17</v>
      </c>
      <c r="I1237" s="15">
        <v>7360034</v>
      </c>
      <c r="J1237" s="19">
        <f t="shared" si="92"/>
        <v>3.1322620519159496</v>
      </c>
      <c r="K1237" s="19">
        <f t="shared" si="93"/>
        <v>409.09450000000004</v>
      </c>
      <c r="L1237" s="19">
        <f t="shared" si="96"/>
        <v>419.16800000000001</v>
      </c>
      <c r="M1237" s="19">
        <f>MAX(G1050:G1237)</f>
        <v>444.59</v>
      </c>
      <c r="N1237" s="19">
        <f t="shared" si="94"/>
        <v>-6.1674801502507846</v>
      </c>
      <c r="O1237" s="9" t="str">
        <f t="shared" si="95"/>
        <v>2024-09</v>
      </c>
    </row>
    <row r="1238" spans="1:15" x14ac:dyDescent="0.25">
      <c r="A1238" s="9" t="s">
        <v>314</v>
      </c>
      <c r="B1238" s="9" t="s">
        <v>45</v>
      </c>
      <c r="C1238" s="25" t="s">
        <v>234</v>
      </c>
      <c r="D1238" s="19">
        <v>417.17</v>
      </c>
      <c r="E1238" s="19">
        <v>418.16</v>
      </c>
      <c r="F1238" s="19">
        <v>414.88</v>
      </c>
      <c r="G1238" s="19">
        <v>414.96</v>
      </c>
      <c r="H1238" s="19">
        <v>414.96</v>
      </c>
      <c r="I1238" s="15">
        <v>8796425</v>
      </c>
      <c r="J1238" s="19">
        <f t="shared" si="92"/>
        <v>-0.52976004985977809</v>
      </c>
      <c r="K1238" s="19">
        <f t="shared" si="93"/>
        <v>408.88850000000008</v>
      </c>
      <c r="L1238" s="19">
        <f t="shared" si="96"/>
        <v>419.0274</v>
      </c>
      <c r="M1238" s="19">
        <f>MAX(G1050:G1238)</f>
        <v>444.59</v>
      </c>
      <c r="N1238" s="19">
        <f t="shared" si="94"/>
        <v>-6.6645673541915018</v>
      </c>
      <c r="O1238" s="9" t="str">
        <f t="shared" si="95"/>
        <v>2024-09</v>
      </c>
    </row>
    <row r="1239" spans="1:15" x14ac:dyDescent="0.25">
      <c r="A1239" s="9" t="s">
        <v>314</v>
      </c>
      <c r="B1239" s="9" t="s">
        <v>45</v>
      </c>
      <c r="C1239" s="25" t="s">
        <v>235</v>
      </c>
      <c r="D1239" s="19">
        <v>414.96</v>
      </c>
      <c r="E1239" s="19">
        <v>417.64</v>
      </c>
      <c r="F1239" s="19">
        <v>412.47</v>
      </c>
      <c r="G1239" s="19">
        <v>412.79</v>
      </c>
      <c r="H1239" s="19">
        <v>412.79</v>
      </c>
      <c r="I1239" s="15">
        <v>6411242</v>
      </c>
      <c r="J1239" s="19">
        <f t="shared" si="92"/>
        <v>-0.52294197031038159</v>
      </c>
      <c r="K1239" s="19">
        <f t="shared" si="93"/>
        <v>408.67600000000004</v>
      </c>
      <c r="L1239" s="19">
        <f t="shared" si="96"/>
        <v>419.03699999999998</v>
      </c>
      <c r="M1239" s="19">
        <f>MAX(G1050:G1239)</f>
        <v>444.59</v>
      </c>
      <c r="N1239" s="19">
        <f t="shared" si="94"/>
        <v>-7.1526575046672116</v>
      </c>
      <c r="O1239" s="9" t="str">
        <f t="shared" si="95"/>
        <v>2024-09</v>
      </c>
    </row>
    <row r="1240" spans="1:15" x14ac:dyDescent="0.25">
      <c r="A1240" s="9" t="s">
        <v>314</v>
      </c>
      <c r="B1240" s="9" t="s">
        <v>45</v>
      </c>
      <c r="C1240" s="25" t="s">
        <v>236</v>
      </c>
      <c r="D1240" s="19">
        <v>412.79</v>
      </c>
      <c r="E1240" s="19">
        <v>415.57</v>
      </c>
      <c r="F1240" s="19">
        <v>412.65</v>
      </c>
      <c r="G1240" s="19">
        <v>415.54</v>
      </c>
      <c r="H1240" s="19">
        <v>415.54</v>
      </c>
      <c r="I1240" s="15">
        <v>5016022</v>
      </c>
      <c r="J1240" s="19">
        <f t="shared" si="92"/>
        <v>0.66619830906756461</v>
      </c>
      <c r="K1240" s="19">
        <f t="shared" si="93"/>
        <v>408.39050000000003</v>
      </c>
      <c r="L1240" s="19">
        <f t="shared" si="96"/>
        <v>419.13759999999996</v>
      </c>
      <c r="M1240" s="19">
        <f>MAX(G1050:G1240)</f>
        <v>444.59</v>
      </c>
      <c r="N1240" s="19">
        <f t="shared" si="94"/>
        <v>-6.5341100789491344</v>
      </c>
      <c r="O1240" s="9" t="str">
        <f t="shared" si="95"/>
        <v>2024-09</v>
      </c>
    </row>
    <row r="1241" spans="1:15" x14ac:dyDescent="0.25">
      <c r="A1241" s="9" t="s">
        <v>314</v>
      </c>
      <c r="B1241" s="9" t="s">
        <v>45</v>
      </c>
      <c r="C1241" s="25" t="s">
        <v>237</v>
      </c>
      <c r="D1241" s="19">
        <v>415.54</v>
      </c>
      <c r="E1241" s="19">
        <v>416.92</v>
      </c>
      <c r="F1241" s="19">
        <v>408.67</v>
      </c>
      <c r="G1241" s="19">
        <v>410.24</v>
      </c>
      <c r="H1241" s="19">
        <v>410.24</v>
      </c>
      <c r="I1241" s="15">
        <v>9133775</v>
      </c>
      <c r="J1241" s="19">
        <f t="shared" si="92"/>
        <v>-1.2754488135919553</v>
      </c>
      <c r="K1241" s="19">
        <f t="shared" si="93"/>
        <v>407.44950000000006</v>
      </c>
      <c r="L1241" s="19">
        <f t="shared" si="96"/>
        <v>419.13240000000008</v>
      </c>
      <c r="M1241" s="19">
        <f>MAX(G1050:G1241)</f>
        <v>444.59</v>
      </c>
      <c r="N1241" s="19">
        <f t="shared" si="94"/>
        <v>-7.7262196630603412</v>
      </c>
      <c r="O1241" s="9" t="str">
        <f t="shared" si="95"/>
        <v>2024-09</v>
      </c>
    </row>
    <row r="1242" spans="1:15" x14ac:dyDescent="0.25">
      <c r="A1242" s="9" t="s">
        <v>314</v>
      </c>
      <c r="B1242" s="9" t="s">
        <v>45</v>
      </c>
      <c r="C1242" s="25" t="s">
        <v>238</v>
      </c>
      <c r="D1242" s="19">
        <v>410.24</v>
      </c>
      <c r="E1242" s="19">
        <v>419.64</v>
      </c>
      <c r="F1242" s="19">
        <v>409.22</v>
      </c>
      <c r="G1242" s="19">
        <v>419.05</v>
      </c>
      <c r="H1242" s="19">
        <v>419.05</v>
      </c>
      <c r="I1242" s="15">
        <v>7502053</v>
      </c>
      <c r="J1242" s="19">
        <f t="shared" si="92"/>
        <v>2.1475234009360378</v>
      </c>
      <c r="K1242" s="19">
        <f t="shared" si="93"/>
        <v>407.2045</v>
      </c>
      <c r="L1242" s="19">
        <f t="shared" si="96"/>
        <v>419.50620000000004</v>
      </c>
      <c r="M1242" s="19">
        <f>MAX(G1050:G1242)</f>
        <v>444.59</v>
      </c>
      <c r="N1242" s="19">
        <f t="shared" si="94"/>
        <v>-5.7446186373962451</v>
      </c>
      <c r="O1242" s="9" t="str">
        <f t="shared" si="95"/>
        <v>2024-09</v>
      </c>
    </row>
    <row r="1243" spans="1:15" x14ac:dyDescent="0.25">
      <c r="A1243" s="9" t="s">
        <v>314</v>
      </c>
      <c r="B1243" s="9" t="s">
        <v>45</v>
      </c>
      <c r="C1243" s="25" t="s">
        <v>239</v>
      </c>
      <c r="D1243" s="19">
        <v>419.05</v>
      </c>
      <c r="E1243" s="19">
        <v>425.18</v>
      </c>
      <c r="F1243" s="19">
        <v>417.57</v>
      </c>
      <c r="G1243" s="19">
        <v>423.03</v>
      </c>
      <c r="H1243" s="19">
        <v>423.03</v>
      </c>
      <c r="I1243" s="15">
        <v>6914983</v>
      </c>
      <c r="J1243" s="19">
        <f t="shared" ref="J1243:J1311" si="97">IFERROR((G1243-G1242)/G1242*100,"")</f>
        <v>0.94976733086742904</v>
      </c>
      <c r="K1243" s="19">
        <f t="shared" si="93"/>
        <v>407.661</v>
      </c>
      <c r="L1243" s="19">
        <f t="shared" si="96"/>
        <v>419.89400000000001</v>
      </c>
      <c r="M1243" s="19">
        <f>MAX(G1050:G1243)</f>
        <v>444.59</v>
      </c>
      <c r="N1243" s="19">
        <f t="shared" si="94"/>
        <v>-4.8494118176297274</v>
      </c>
      <c r="O1243" s="9" t="str">
        <f t="shared" si="95"/>
        <v>2024-09</v>
      </c>
    </row>
    <row r="1244" spans="1:15" x14ac:dyDescent="0.25">
      <c r="A1244" s="9" t="s">
        <v>314</v>
      </c>
      <c r="B1244" s="9" t="s">
        <v>45</v>
      </c>
      <c r="C1244" s="25" t="s">
        <v>240</v>
      </c>
      <c r="D1244" s="19">
        <v>423.03</v>
      </c>
      <c r="E1244" s="19">
        <v>423.48</v>
      </c>
      <c r="F1244" s="19">
        <v>420.51</v>
      </c>
      <c r="G1244" s="19">
        <v>420.54</v>
      </c>
      <c r="H1244" s="19">
        <v>420.54</v>
      </c>
      <c r="I1244" s="15">
        <v>6832208</v>
      </c>
      <c r="J1244" s="19">
        <f t="shared" si="97"/>
        <v>-0.58861073682716414</v>
      </c>
      <c r="K1244" s="19">
        <f t="shared" si="93"/>
        <v>408.72099999999995</v>
      </c>
      <c r="L1244" s="19">
        <f t="shared" si="96"/>
        <v>420.08160000000004</v>
      </c>
      <c r="M1244" s="19">
        <f>MAX(G1050:G1244)</f>
        <v>444.59</v>
      </c>
      <c r="N1244" s="19">
        <f t="shared" si="94"/>
        <v>-5.4094783958253574</v>
      </c>
      <c r="O1244" s="9" t="str">
        <f t="shared" si="95"/>
        <v>2024-09</v>
      </c>
    </row>
    <row r="1245" spans="1:15" x14ac:dyDescent="0.25">
      <c r="A1245" s="9" t="s">
        <v>314</v>
      </c>
      <c r="B1245" s="9" t="s">
        <v>45</v>
      </c>
      <c r="C1245" s="25" t="s">
        <v>241</v>
      </c>
      <c r="D1245" s="19">
        <v>420.54</v>
      </c>
      <c r="E1245" s="19">
        <v>421.11</v>
      </c>
      <c r="F1245" s="19">
        <v>414.91</v>
      </c>
      <c r="G1245" s="19">
        <v>416.15</v>
      </c>
      <c r="H1245" s="19">
        <v>416.15</v>
      </c>
      <c r="I1245" s="15">
        <v>7565061</v>
      </c>
      <c r="J1245" s="19">
        <f t="shared" si="97"/>
        <v>-1.0438959433109913</v>
      </c>
      <c r="K1245" s="19">
        <f t="shared" si="93"/>
        <v>409.39699999999999</v>
      </c>
      <c r="L1245" s="19">
        <f t="shared" si="96"/>
        <v>420.30240000000003</v>
      </c>
      <c r="M1245" s="19">
        <f>MAX(G1050:G1245)</f>
        <v>444.59</v>
      </c>
      <c r="N1245" s="19">
        <f t="shared" si="94"/>
        <v>-6.3969050136080439</v>
      </c>
      <c r="O1245" s="9" t="str">
        <f t="shared" si="95"/>
        <v>2024-09</v>
      </c>
    </row>
    <row r="1246" spans="1:15" x14ac:dyDescent="0.25">
      <c r="A1246" s="9" t="s">
        <v>314</v>
      </c>
      <c r="B1246" s="9" t="s">
        <v>45</v>
      </c>
      <c r="C1246" s="25" t="s">
        <v>242</v>
      </c>
      <c r="D1246" s="19">
        <v>416.15</v>
      </c>
      <c r="E1246" s="19">
        <v>418.35</v>
      </c>
      <c r="F1246" s="19">
        <v>412.25</v>
      </c>
      <c r="G1246" s="19">
        <v>412.65</v>
      </c>
      <c r="H1246" s="19">
        <v>412.65</v>
      </c>
      <c r="I1246" s="15">
        <v>8360973</v>
      </c>
      <c r="J1246" s="19">
        <f t="shared" si="97"/>
        <v>-0.84104289318755254</v>
      </c>
      <c r="K1246" s="19">
        <f t="shared" si="93"/>
        <v>409.6825</v>
      </c>
      <c r="L1246" s="19">
        <f t="shared" si="96"/>
        <v>420.43860000000006</v>
      </c>
      <c r="M1246" s="19">
        <f>MAX(G1050:G1246)</f>
        <v>444.59</v>
      </c>
      <c r="N1246" s="19">
        <f t="shared" si="94"/>
        <v>-7.184147191794688</v>
      </c>
      <c r="O1246" s="9" t="str">
        <f t="shared" si="95"/>
        <v>2024-10</v>
      </c>
    </row>
    <row r="1247" spans="1:15" x14ac:dyDescent="0.25">
      <c r="A1247" s="9" t="s">
        <v>314</v>
      </c>
      <c r="B1247" s="9" t="s">
        <v>45</v>
      </c>
      <c r="C1247" s="25" t="s">
        <v>243</v>
      </c>
      <c r="D1247" s="19">
        <v>412.65</v>
      </c>
      <c r="E1247" s="19">
        <v>414.5</v>
      </c>
      <c r="F1247" s="19">
        <v>411.52</v>
      </c>
      <c r="G1247" s="19">
        <v>413.52</v>
      </c>
      <c r="H1247" s="19">
        <v>413.52</v>
      </c>
      <c r="I1247" s="15">
        <v>9897501</v>
      </c>
      <c r="J1247" s="19">
        <f t="shared" si="97"/>
        <v>0.2108324245728837</v>
      </c>
      <c r="K1247" s="19">
        <f t="shared" si="93"/>
        <v>409.71799999999996</v>
      </c>
      <c r="L1247" s="19">
        <f t="shared" si="96"/>
        <v>420.44860000000006</v>
      </c>
      <c r="M1247" s="19">
        <f>MAX(G1050:G1247)</f>
        <v>444.59</v>
      </c>
      <c r="N1247" s="19">
        <f t="shared" si="94"/>
        <v>-6.9884612789311493</v>
      </c>
      <c r="O1247" s="9" t="str">
        <f t="shared" si="95"/>
        <v>2024-10</v>
      </c>
    </row>
    <row r="1248" spans="1:15" x14ac:dyDescent="0.25">
      <c r="A1248" s="9" t="s">
        <v>314</v>
      </c>
      <c r="B1248" s="9" t="s">
        <v>45</v>
      </c>
      <c r="C1248" s="25" t="s">
        <v>244</v>
      </c>
      <c r="D1248" s="19">
        <v>413.52</v>
      </c>
      <c r="E1248" s="19">
        <v>415</v>
      </c>
      <c r="F1248" s="19">
        <v>401.27</v>
      </c>
      <c r="G1248" s="19">
        <v>402.41</v>
      </c>
      <c r="H1248" s="19">
        <v>402.41</v>
      </c>
      <c r="I1248" s="15">
        <v>6565497</v>
      </c>
      <c r="J1248" s="19">
        <f t="shared" si="97"/>
        <v>-2.686689881988769</v>
      </c>
      <c r="K1248" s="19">
        <f t="shared" si="93"/>
        <v>409.13549999999998</v>
      </c>
      <c r="L1248" s="19">
        <f t="shared" si="96"/>
        <v>419.63440000000008</v>
      </c>
      <c r="M1248" s="19">
        <f>MAX(G1050:G1248)</f>
        <v>444.59</v>
      </c>
      <c r="N1248" s="19">
        <f t="shared" si="94"/>
        <v>-9.4873928788321731</v>
      </c>
      <c r="O1248" s="9" t="str">
        <f t="shared" si="95"/>
        <v>2024-10</v>
      </c>
    </row>
    <row r="1249" spans="1:15" x14ac:dyDescent="0.25">
      <c r="A1249" s="9" t="s">
        <v>314</v>
      </c>
      <c r="B1249" s="9" t="s">
        <v>45</v>
      </c>
      <c r="C1249" s="25" t="s">
        <v>245</v>
      </c>
      <c r="D1249" s="19">
        <v>402.41</v>
      </c>
      <c r="E1249" s="19">
        <v>402.46</v>
      </c>
      <c r="F1249" s="19">
        <v>393.45</v>
      </c>
      <c r="G1249" s="19">
        <v>394.09</v>
      </c>
      <c r="H1249" s="19">
        <v>394.09</v>
      </c>
      <c r="I1249" s="15">
        <v>9647164</v>
      </c>
      <c r="J1249" s="19">
        <f t="shared" si="97"/>
        <v>-2.0675430531050547</v>
      </c>
      <c r="K1249" s="19">
        <f t="shared" si="93"/>
        <v>408.78149999999994</v>
      </c>
      <c r="L1249" s="19">
        <f t="shared" si="96"/>
        <v>418.74280000000016</v>
      </c>
      <c r="M1249" s="19">
        <f>MAX(G1050:G1249)</f>
        <v>444.59</v>
      </c>
      <c r="N1249" s="19">
        <f t="shared" si="94"/>
        <v>-11.358779999550148</v>
      </c>
      <c r="O1249" s="9" t="str">
        <f t="shared" si="95"/>
        <v>2024-10</v>
      </c>
    </row>
    <row r="1250" spans="1:15" x14ac:dyDescent="0.25">
      <c r="A1250" s="9" t="s">
        <v>314</v>
      </c>
      <c r="B1250" s="9" t="s">
        <v>45</v>
      </c>
      <c r="C1250" s="25" t="s">
        <v>246</v>
      </c>
      <c r="D1250" s="19">
        <v>394.09</v>
      </c>
      <c r="E1250" s="19">
        <v>395.87</v>
      </c>
      <c r="F1250" s="19">
        <v>393.23</v>
      </c>
      <c r="G1250" s="19">
        <v>394.95</v>
      </c>
      <c r="H1250" s="19">
        <v>394.95</v>
      </c>
      <c r="I1250" s="15">
        <v>14322132</v>
      </c>
      <c r="J1250" s="19">
        <f t="shared" si="97"/>
        <v>0.21822426349311419</v>
      </c>
      <c r="K1250" s="19">
        <f t="shared" si="93"/>
        <v>408.50599999999991</v>
      </c>
      <c r="L1250" s="19">
        <f t="shared" si="96"/>
        <v>417.94520000000006</v>
      </c>
      <c r="M1250" s="19">
        <f>MAX(G1050:G1250)</f>
        <v>444.59</v>
      </c>
      <c r="N1250" s="19">
        <f t="shared" si="94"/>
        <v>-11.165343350052856</v>
      </c>
      <c r="O1250" s="9" t="str">
        <f t="shared" si="95"/>
        <v>2024-10</v>
      </c>
    </row>
    <row r="1251" spans="1:15" x14ac:dyDescent="0.25">
      <c r="A1251" s="9" t="s">
        <v>314</v>
      </c>
      <c r="B1251" s="9" t="s">
        <v>45</v>
      </c>
      <c r="C1251" s="25" t="s">
        <v>247</v>
      </c>
      <c r="D1251" s="19">
        <v>394.95</v>
      </c>
      <c r="E1251" s="19">
        <v>396.46</v>
      </c>
      <c r="F1251" s="19">
        <v>390.48</v>
      </c>
      <c r="G1251" s="19">
        <v>390.78</v>
      </c>
      <c r="H1251" s="19">
        <v>390.78</v>
      </c>
      <c r="I1251" s="15">
        <v>10211960</v>
      </c>
      <c r="J1251" s="19">
        <f t="shared" si="97"/>
        <v>-1.0558298518799889</v>
      </c>
      <c r="K1251" s="19">
        <f t="shared" si="93"/>
        <v>408.06549999999987</v>
      </c>
      <c r="L1251" s="19">
        <f t="shared" si="96"/>
        <v>417.05440000000004</v>
      </c>
      <c r="M1251" s="19">
        <f>MAX(G1050:G1251)</f>
        <v>444.59</v>
      </c>
      <c r="N1251" s="19">
        <f t="shared" si="94"/>
        <v>-12.103286173778088</v>
      </c>
      <c r="O1251" s="9" t="str">
        <f t="shared" si="95"/>
        <v>2024-10</v>
      </c>
    </row>
    <row r="1252" spans="1:15" x14ac:dyDescent="0.25">
      <c r="A1252" s="9" t="s">
        <v>314</v>
      </c>
      <c r="B1252" s="9" t="s">
        <v>45</v>
      </c>
      <c r="C1252" s="25" t="s">
        <v>248</v>
      </c>
      <c r="D1252" s="19">
        <v>390.78</v>
      </c>
      <c r="E1252" s="19">
        <v>393.14</v>
      </c>
      <c r="F1252" s="19">
        <v>389.71</v>
      </c>
      <c r="G1252" s="19">
        <v>390.35</v>
      </c>
      <c r="H1252" s="19">
        <v>390.35</v>
      </c>
      <c r="I1252" s="15">
        <v>4818776</v>
      </c>
      <c r="J1252" s="19">
        <f t="shared" si="97"/>
        <v>-0.11003633758123496</v>
      </c>
      <c r="K1252" s="19">
        <f t="shared" si="93"/>
        <v>407.23099999999994</v>
      </c>
      <c r="L1252" s="19">
        <f t="shared" si="96"/>
        <v>416.0686</v>
      </c>
      <c r="M1252" s="19">
        <f>MAX(G1050:G1252)</f>
        <v>444.59</v>
      </c>
      <c r="N1252" s="19">
        <f t="shared" si="94"/>
        <v>-12.200004498526724</v>
      </c>
      <c r="O1252" s="9" t="str">
        <f t="shared" si="95"/>
        <v>2024-10</v>
      </c>
    </row>
    <row r="1253" spans="1:15" x14ac:dyDescent="0.25">
      <c r="A1253" s="9" t="s">
        <v>314</v>
      </c>
      <c r="B1253" s="9" t="s">
        <v>45</v>
      </c>
      <c r="C1253" s="25" t="s">
        <v>249</v>
      </c>
      <c r="D1253" s="19">
        <v>390.35</v>
      </c>
      <c r="E1253" s="19">
        <v>391.95</v>
      </c>
      <c r="F1253" s="19">
        <v>383.58</v>
      </c>
      <c r="G1253" s="19">
        <v>387.62</v>
      </c>
      <c r="H1253" s="19">
        <v>387.62</v>
      </c>
      <c r="I1253" s="15">
        <v>8477475</v>
      </c>
      <c r="J1253" s="19">
        <f t="shared" si="97"/>
        <v>-0.69937235814013532</v>
      </c>
      <c r="K1253" s="19">
        <f t="shared" si="93"/>
        <v>406.61599999999993</v>
      </c>
      <c r="L1253" s="19">
        <f t="shared" si="96"/>
        <v>415.14499999999998</v>
      </c>
      <c r="M1253" s="19">
        <f>MAX(G1050:G1253)</f>
        <v>444.59</v>
      </c>
      <c r="N1253" s="19">
        <f t="shared" si="94"/>
        <v>-12.814053397512309</v>
      </c>
      <c r="O1253" s="9" t="str">
        <f t="shared" si="95"/>
        <v>2024-10</v>
      </c>
    </row>
    <row r="1254" spans="1:15" x14ac:dyDescent="0.25">
      <c r="A1254" s="9" t="s">
        <v>314</v>
      </c>
      <c r="B1254" s="9" t="s">
        <v>45</v>
      </c>
      <c r="C1254" s="25" t="s">
        <v>250</v>
      </c>
      <c r="D1254" s="19">
        <v>387.62</v>
      </c>
      <c r="E1254" s="19">
        <v>390.89</v>
      </c>
      <c r="F1254" s="19">
        <v>386.01</v>
      </c>
      <c r="G1254" s="19">
        <v>390.26</v>
      </c>
      <c r="H1254" s="19">
        <v>390.26</v>
      </c>
      <c r="I1254" s="15">
        <v>9777418</v>
      </c>
      <c r="J1254" s="19">
        <f t="shared" si="97"/>
        <v>0.68107940766729957</v>
      </c>
      <c r="K1254" s="19">
        <f t="shared" si="93"/>
        <v>406.18449999999996</v>
      </c>
      <c r="L1254" s="19">
        <f t="shared" si="96"/>
        <v>414.30019999999996</v>
      </c>
      <c r="M1254" s="19">
        <f>MAX(G1050:G1254)</f>
        <v>444.59</v>
      </c>
      <c r="N1254" s="19">
        <f t="shared" si="94"/>
        <v>-12.220247868822957</v>
      </c>
      <c r="O1254" s="9" t="str">
        <f t="shared" si="95"/>
        <v>2024-10</v>
      </c>
    </row>
    <row r="1255" spans="1:15" x14ac:dyDescent="0.25">
      <c r="A1255" s="9" t="s">
        <v>314</v>
      </c>
      <c r="B1255" s="9" t="s">
        <v>45</v>
      </c>
      <c r="C1255" s="25" t="s">
        <v>251</v>
      </c>
      <c r="D1255" s="19">
        <v>390.26</v>
      </c>
      <c r="E1255" s="19">
        <v>390.92</v>
      </c>
      <c r="F1255" s="19">
        <v>382.59</v>
      </c>
      <c r="G1255" s="19">
        <v>385.33</v>
      </c>
      <c r="H1255" s="19">
        <v>385.33</v>
      </c>
      <c r="I1255" s="15">
        <v>8767164</v>
      </c>
      <c r="J1255" s="19">
        <f t="shared" si="97"/>
        <v>-1.2632603905088933</v>
      </c>
      <c r="K1255" s="19">
        <f t="shared" si="93"/>
        <v>405.79649999999998</v>
      </c>
      <c r="L1255" s="19">
        <f t="shared" si="96"/>
        <v>413.55080000000004</v>
      </c>
      <c r="M1255" s="19">
        <f>MAX(G1050:G1255)</f>
        <v>444.59</v>
      </c>
      <c r="N1255" s="19">
        <f t="shared" si="94"/>
        <v>-13.329134708383004</v>
      </c>
      <c r="O1255" s="9" t="str">
        <f t="shared" si="95"/>
        <v>2024-10</v>
      </c>
    </row>
    <row r="1256" spans="1:15" x14ac:dyDescent="0.25">
      <c r="A1256" s="9" t="s">
        <v>314</v>
      </c>
      <c r="B1256" s="9" t="s">
        <v>45</v>
      </c>
      <c r="C1256" s="25" t="s">
        <v>252</v>
      </c>
      <c r="D1256" s="19">
        <v>385.33</v>
      </c>
      <c r="E1256" s="19">
        <v>385.45</v>
      </c>
      <c r="F1256" s="19">
        <v>381.82</v>
      </c>
      <c r="G1256" s="19">
        <v>382.88</v>
      </c>
      <c r="H1256" s="19">
        <v>382.88</v>
      </c>
      <c r="I1256" s="15">
        <v>1859915</v>
      </c>
      <c r="J1256" s="19">
        <f t="shared" si="97"/>
        <v>-0.63581864895024753</v>
      </c>
      <c r="K1256" s="19">
        <f t="shared" si="93"/>
        <v>404.71549999999996</v>
      </c>
      <c r="L1256" s="19">
        <f t="shared" si="96"/>
        <v>412.53339999999997</v>
      </c>
      <c r="M1256" s="19">
        <f>MAX(G1050:G1256)</f>
        <v>444.59</v>
      </c>
      <c r="N1256" s="19">
        <f t="shared" si="94"/>
        <v>-13.880204233113652</v>
      </c>
      <c r="O1256" s="9" t="str">
        <f t="shared" si="95"/>
        <v>2024-10</v>
      </c>
    </row>
    <row r="1257" spans="1:15" x14ac:dyDescent="0.25">
      <c r="A1257" s="9" t="s">
        <v>314</v>
      </c>
      <c r="B1257" s="9" t="s">
        <v>45</v>
      </c>
      <c r="C1257" s="25" t="s">
        <v>253</v>
      </c>
      <c r="D1257" s="19">
        <v>382.88</v>
      </c>
      <c r="E1257" s="19">
        <v>384.44</v>
      </c>
      <c r="F1257" s="19">
        <v>378.19</v>
      </c>
      <c r="G1257" s="19">
        <v>379.22</v>
      </c>
      <c r="H1257" s="19">
        <v>379.22</v>
      </c>
      <c r="I1257" s="15">
        <v>5242894</v>
      </c>
      <c r="J1257" s="19">
        <f t="shared" si="97"/>
        <v>-0.95591307981612206</v>
      </c>
      <c r="K1257" s="19">
        <f t="shared" si="93"/>
        <v>402.81799999999998</v>
      </c>
      <c r="L1257" s="19">
        <f t="shared" si="96"/>
        <v>411.33439999999996</v>
      </c>
      <c r="M1257" s="19">
        <f>MAX(G1050:G1257)</f>
        <v>444.59</v>
      </c>
      <c r="N1257" s="19">
        <f t="shared" si="94"/>
        <v>-14.70343462516025</v>
      </c>
      <c r="O1257" s="9" t="str">
        <f t="shared" si="95"/>
        <v>2024-10</v>
      </c>
    </row>
    <row r="1258" spans="1:15" x14ac:dyDescent="0.25">
      <c r="A1258" s="9" t="s">
        <v>314</v>
      </c>
      <c r="B1258" s="9" t="s">
        <v>45</v>
      </c>
      <c r="C1258" s="25" t="s">
        <v>254</v>
      </c>
      <c r="D1258" s="19">
        <v>379.22</v>
      </c>
      <c r="E1258" s="19">
        <v>383.74</v>
      </c>
      <c r="F1258" s="19">
        <v>377.61</v>
      </c>
      <c r="G1258" s="19">
        <v>383.03</v>
      </c>
      <c r="H1258" s="19">
        <v>383.03</v>
      </c>
      <c r="I1258" s="15">
        <v>5124119</v>
      </c>
      <c r="J1258" s="19">
        <f t="shared" si="97"/>
        <v>1.0046938452613114</v>
      </c>
      <c r="K1258" s="19">
        <f t="shared" si="93"/>
        <v>401.22149999999999</v>
      </c>
      <c r="L1258" s="19">
        <f t="shared" si="96"/>
        <v>410.15719999999999</v>
      </c>
      <c r="M1258" s="19">
        <f>MAX(G1050:G1258)</f>
        <v>444.59</v>
      </c>
      <c r="N1258" s="19">
        <f t="shared" si="94"/>
        <v>-13.846465282619944</v>
      </c>
      <c r="O1258" s="9" t="str">
        <f t="shared" si="95"/>
        <v>2024-10</v>
      </c>
    </row>
    <row r="1259" spans="1:15" x14ac:dyDescent="0.25">
      <c r="A1259" s="9" t="s">
        <v>314</v>
      </c>
      <c r="B1259" s="9" t="s">
        <v>45</v>
      </c>
      <c r="C1259" s="25" t="s">
        <v>255</v>
      </c>
      <c r="D1259" s="19">
        <v>383.03</v>
      </c>
      <c r="E1259" s="19">
        <v>388.83</v>
      </c>
      <c r="F1259" s="19">
        <v>381.83</v>
      </c>
      <c r="G1259" s="19">
        <v>387.93</v>
      </c>
      <c r="H1259" s="19">
        <v>387.93</v>
      </c>
      <c r="I1259" s="15">
        <v>7396306</v>
      </c>
      <c r="J1259" s="19">
        <f t="shared" si="97"/>
        <v>1.2792731639819426</v>
      </c>
      <c r="K1259" s="19">
        <f t="shared" si="93"/>
        <v>399.97850000000005</v>
      </c>
      <c r="L1259" s="19">
        <f t="shared" si="96"/>
        <v>409.03019999999998</v>
      </c>
      <c r="M1259" s="19">
        <f>MAX(G1050:G1259)</f>
        <v>444.59</v>
      </c>
      <c r="N1259" s="19">
        <f t="shared" si="94"/>
        <v>-12.744326233158635</v>
      </c>
      <c r="O1259" s="9" t="str">
        <f t="shared" si="95"/>
        <v>2024-10</v>
      </c>
    </row>
    <row r="1260" spans="1:15" x14ac:dyDescent="0.25">
      <c r="A1260" s="9" t="s">
        <v>314</v>
      </c>
      <c r="B1260" s="9" t="s">
        <v>45</v>
      </c>
      <c r="C1260" s="25" t="s">
        <v>256</v>
      </c>
      <c r="D1260" s="19">
        <v>387.93</v>
      </c>
      <c r="E1260" s="19">
        <v>390.13</v>
      </c>
      <c r="F1260" s="19">
        <v>384.03</v>
      </c>
      <c r="G1260" s="19">
        <v>384.95</v>
      </c>
      <c r="H1260" s="19">
        <v>384.95</v>
      </c>
      <c r="I1260" s="15">
        <v>8548583</v>
      </c>
      <c r="J1260" s="19">
        <f t="shared" si="97"/>
        <v>-0.76817982625731918</v>
      </c>
      <c r="K1260" s="19">
        <f t="shared" si="93"/>
        <v>398.44900000000001</v>
      </c>
      <c r="L1260" s="19">
        <f t="shared" si="96"/>
        <v>407.8374</v>
      </c>
      <c r="M1260" s="19">
        <f>MAX(G1050:G1260)</f>
        <v>444.59</v>
      </c>
      <c r="N1260" s="19">
        <f t="shared" si="94"/>
        <v>-13.414606716300408</v>
      </c>
      <c r="O1260" s="9" t="str">
        <f t="shared" si="95"/>
        <v>2024-10</v>
      </c>
    </row>
    <row r="1261" spans="1:15" x14ac:dyDescent="0.25">
      <c r="A1261" s="9" t="s">
        <v>314</v>
      </c>
      <c r="B1261" s="9" t="s">
        <v>45</v>
      </c>
      <c r="C1261" s="25" t="s">
        <v>257</v>
      </c>
      <c r="D1261" s="19">
        <v>384.95</v>
      </c>
      <c r="E1261" s="19">
        <v>395.54</v>
      </c>
      <c r="F1261" s="19">
        <v>384.31</v>
      </c>
      <c r="G1261" s="19">
        <v>394.94</v>
      </c>
      <c r="H1261" s="19">
        <v>394.94</v>
      </c>
      <c r="I1261" s="15">
        <v>11363836</v>
      </c>
      <c r="J1261" s="19">
        <f t="shared" si="97"/>
        <v>2.5951422262631536</v>
      </c>
      <c r="K1261" s="19">
        <f t="shared" ref="K1261:K1324" si="98">AVERAGE(G1242:G1261)</f>
        <v>397.68400000000003</v>
      </c>
      <c r="L1261" s="19">
        <f t="shared" si="96"/>
        <v>406.94499999999999</v>
      </c>
      <c r="M1261" s="19">
        <f>MAX(G1050:G1261)</f>
        <v>444.59</v>
      </c>
      <c r="N1261" s="19">
        <f t="shared" si="94"/>
        <v>-11.167592613419101</v>
      </c>
      <c r="O1261" s="9" t="str">
        <f t="shared" si="95"/>
        <v>2024-10</v>
      </c>
    </row>
    <row r="1262" spans="1:15" x14ac:dyDescent="0.25">
      <c r="A1262" s="9" t="s">
        <v>314</v>
      </c>
      <c r="B1262" s="9" t="s">
        <v>45</v>
      </c>
      <c r="C1262" s="25" t="s">
        <v>258</v>
      </c>
      <c r="D1262" s="19">
        <v>394.94</v>
      </c>
      <c r="E1262" s="19">
        <v>401.21</v>
      </c>
      <c r="F1262" s="19">
        <v>393.4</v>
      </c>
      <c r="G1262" s="19">
        <v>398.81</v>
      </c>
      <c r="H1262" s="19">
        <v>398.81</v>
      </c>
      <c r="I1262" s="15">
        <v>9928076</v>
      </c>
      <c r="J1262" s="19">
        <f t="shared" si="97"/>
        <v>0.97989568035651098</v>
      </c>
      <c r="K1262" s="19">
        <f t="shared" si="98"/>
        <v>396.67200000000003</v>
      </c>
      <c r="L1262" s="19">
        <f t="shared" si="96"/>
        <v>406.18260000000009</v>
      </c>
      <c r="M1262" s="19">
        <f>MAX(G1050:G1262)</f>
        <v>444.59</v>
      </c>
      <c r="N1262" s="19">
        <f t="shared" si="94"/>
        <v>-10.297127690681297</v>
      </c>
      <c r="O1262" s="9" t="str">
        <f t="shared" si="95"/>
        <v>2024-10</v>
      </c>
    </row>
    <row r="1263" spans="1:15" x14ac:dyDescent="0.25">
      <c r="A1263" s="9" t="s">
        <v>314</v>
      </c>
      <c r="B1263" s="9" t="s">
        <v>45</v>
      </c>
      <c r="C1263" s="25" t="s">
        <v>259</v>
      </c>
      <c r="D1263" s="19">
        <v>398.81</v>
      </c>
      <c r="E1263" s="19">
        <v>400.8</v>
      </c>
      <c r="F1263" s="19">
        <v>397.84</v>
      </c>
      <c r="G1263" s="19">
        <v>399.27</v>
      </c>
      <c r="H1263" s="19">
        <v>399.27</v>
      </c>
      <c r="I1263" s="15">
        <v>7560328</v>
      </c>
      <c r="J1263" s="19">
        <f t="shared" si="97"/>
        <v>0.11534314585892518</v>
      </c>
      <c r="K1263" s="19">
        <f t="shared" si="98"/>
        <v>395.48400000000004</v>
      </c>
      <c r="L1263" s="19">
        <f t="shared" si="96"/>
        <v>405.45080000000007</v>
      </c>
      <c r="M1263" s="19">
        <f>MAX(G1050:G1263)</f>
        <v>444.59</v>
      </c>
      <c r="N1263" s="19">
        <f t="shared" si="94"/>
        <v>-10.193661575833914</v>
      </c>
      <c r="O1263" s="9" t="str">
        <f t="shared" si="95"/>
        <v>2024-10</v>
      </c>
    </row>
    <row r="1264" spans="1:15" x14ac:dyDescent="0.25">
      <c r="A1264" s="9" t="s">
        <v>314</v>
      </c>
      <c r="B1264" s="9" t="s">
        <v>45</v>
      </c>
      <c r="C1264" s="25" t="s">
        <v>260</v>
      </c>
      <c r="D1264" s="19">
        <v>399.27</v>
      </c>
      <c r="E1264" s="19">
        <v>403.97</v>
      </c>
      <c r="F1264" s="19">
        <v>397.97</v>
      </c>
      <c r="G1264" s="19">
        <v>402.54</v>
      </c>
      <c r="H1264" s="19">
        <v>402.54</v>
      </c>
      <c r="I1264" s="15">
        <v>7821893</v>
      </c>
      <c r="J1264" s="19">
        <f t="shared" si="97"/>
        <v>0.81899466526411668</v>
      </c>
      <c r="K1264" s="19">
        <f t="shared" si="98"/>
        <v>394.58399999999995</v>
      </c>
      <c r="L1264" s="19">
        <f t="shared" si="96"/>
        <v>405.07600000000019</v>
      </c>
      <c r="M1264" s="19">
        <f>MAX(G1050:G1264)</f>
        <v>444.59</v>
      </c>
      <c r="N1264" s="19">
        <f t="shared" si="94"/>
        <v>-9.4581524550709553</v>
      </c>
      <c r="O1264" s="9" t="str">
        <f t="shared" si="95"/>
        <v>2024-10</v>
      </c>
    </row>
    <row r="1265" spans="1:15" x14ac:dyDescent="0.25">
      <c r="A1265" s="9" t="s">
        <v>314</v>
      </c>
      <c r="B1265" s="9" t="s">
        <v>45</v>
      </c>
      <c r="C1265" s="25" t="s">
        <v>261</v>
      </c>
      <c r="D1265" s="19">
        <v>402.54</v>
      </c>
      <c r="E1265" s="19">
        <v>410.46</v>
      </c>
      <c r="F1265" s="19">
        <v>401.19</v>
      </c>
      <c r="G1265" s="19">
        <v>408.95</v>
      </c>
      <c r="H1265" s="19">
        <v>408.95</v>
      </c>
      <c r="I1265" s="15">
        <v>6518592</v>
      </c>
      <c r="J1265" s="19">
        <f t="shared" si="97"/>
        <v>1.5923883340785931</v>
      </c>
      <c r="K1265" s="19">
        <f t="shared" si="98"/>
        <v>394.22399999999999</v>
      </c>
      <c r="L1265" s="19">
        <f t="shared" si="96"/>
        <v>404.80100000000016</v>
      </c>
      <c r="M1265" s="19">
        <f>MAX(G1050:G1265)</f>
        <v>444.59</v>
      </c>
      <c r="N1265" s="19">
        <f t="shared" si="94"/>
        <v>-8.0163746373062796</v>
      </c>
      <c r="O1265" s="9" t="str">
        <f t="shared" si="95"/>
        <v>2024-10</v>
      </c>
    </row>
    <row r="1266" spans="1:15" x14ac:dyDescent="0.25">
      <c r="A1266" s="9" t="s">
        <v>314</v>
      </c>
      <c r="B1266" s="9" t="s">
        <v>45</v>
      </c>
      <c r="C1266" s="25" t="s">
        <v>262</v>
      </c>
      <c r="D1266" s="19">
        <v>408.95</v>
      </c>
      <c r="E1266" s="19">
        <v>410.75</v>
      </c>
      <c r="F1266" s="19">
        <v>404.32</v>
      </c>
      <c r="G1266" s="19">
        <v>406.04</v>
      </c>
      <c r="H1266" s="19">
        <v>406.04</v>
      </c>
      <c r="I1266" s="15">
        <v>10250144</v>
      </c>
      <c r="J1266" s="19">
        <f t="shared" si="97"/>
        <v>-0.71157843257121123</v>
      </c>
      <c r="K1266" s="19">
        <f t="shared" si="98"/>
        <v>393.89350000000002</v>
      </c>
      <c r="L1266" s="19">
        <f t="shared" si="96"/>
        <v>404.53480000000019</v>
      </c>
      <c r="M1266" s="19">
        <f>MAX(G1050:G1266)</f>
        <v>444.59</v>
      </c>
      <c r="N1266" s="19">
        <f t="shared" si="94"/>
        <v>-8.6709102768843103</v>
      </c>
      <c r="O1266" s="9" t="str">
        <f t="shared" si="95"/>
        <v>2024-10</v>
      </c>
    </row>
    <row r="1267" spans="1:15" x14ac:dyDescent="0.25">
      <c r="A1267" s="9" t="s">
        <v>314</v>
      </c>
      <c r="B1267" s="9" t="s">
        <v>45</v>
      </c>
      <c r="C1267" s="25" t="s">
        <v>263</v>
      </c>
      <c r="D1267" s="19">
        <v>406.04</v>
      </c>
      <c r="E1267" s="19">
        <v>410.07</v>
      </c>
      <c r="F1267" s="19">
        <v>404.27</v>
      </c>
      <c r="G1267" s="19">
        <v>409.93</v>
      </c>
      <c r="H1267" s="19">
        <v>409.93</v>
      </c>
      <c r="I1267" s="15">
        <v>7070960</v>
      </c>
      <c r="J1267" s="19">
        <f t="shared" si="97"/>
        <v>0.95803369126194127</v>
      </c>
      <c r="K1267" s="19">
        <f t="shared" si="98"/>
        <v>393.714</v>
      </c>
      <c r="L1267" s="19">
        <f t="shared" si="96"/>
        <v>404.29280000000011</v>
      </c>
      <c r="M1267" s="19">
        <f>MAX(G1050:G1267)</f>
        <v>444.59</v>
      </c>
      <c r="N1267" s="19">
        <f t="shared" si="94"/>
        <v>-7.7959468274140145</v>
      </c>
      <c r="O1267" s="9" t="str">
        <f t="shared" si="95"/>
        <v>2024-10</v>
      </c>
    </row>
    <row r="1268" spans="1:15" x14ac:dyDescent="0.25">
      <c r="A1268" s="9" t="s">
        <v>314</v>
      </c>
      <c r="B1268" s="9" t="s">
        <v>45</v>
      </c>
      <c r="C1268" s="25" t="s">
        <v>264</v>
      </c>
      <c r="D1268" s="19">
        <v>409.93</v>
      </c>
      <c r="E1268" s="19">
        <v>415.61</v>
      </c>
      <c r="F1268" s="19">
        <v>409.83</v>
      </c>
      <c r="G1268" s="19">
        <v>414.21</v>
      </c>
      <c r="H1268" s="19">
        <v>414.21</v>
      </c>
      <c r="I1268" s="15">
        <v>9091508</v>
      </c>
      <c r="J1268" s="19">
        <f t="shared" si="97"/>
        <v>1.0440806967043086</v>
      </c>
      <c r="K1268" s="19">
        <f t="shared" si="98"/>
        <v>394.30399999999997</v>
      </c>
      <c r="L1268" s="19">
        <f t="shared" si="96"/>
        <v>404.19540000000018</v>
      </c>
      <c r="M1268" s="19">
        <f>MAX(G1050:G1268)</f>
        <v>444.59</v>
      </c>
      <c r="N1268" s="19">
        <f t="shared" si="94"/>
        <v>-6.8332621066600678</v>
      </c>
      <c r="O1268" s="9" t="str">
        <f t="shared" si="95"/>
        <v>2024-10</v>
      </c>
    </row>
    <row r="1269" spans="1:15" x14ac:dyDescent="0.25">
      <c r="A1269" s="9" t="s">
        <v>314</v>
      </c>
      <c r="B1269" s="9" t="s">
        <v>45</v>
      </c>
      <c r="C1269" s="25" t="s">
        <v>265</v>
      </c>
      <c r="D1269" s="19">
        <v>414.21</v>
      </c>
      <c r="E1269" s="19">
        <v>420.66</v>
      </c>
      <c r="F1269" s="19">
        <v>413.38</v>
      </c>
      <c r="G1269" s="19">
        <v>418.98</v>
      </c>
      <c r="H1269" s="19">
        <v>418.98</v>
      </c>
      <c r="I1269" s="15">
        <v>8119456</v>
      </c>
      <c r="J1269" s="19">
        <f t="shared" si="97"/>
        <v>1.1515897733034064</v>
      </c>
      <c r="K1269" s="19">
        <f t="shared" si="98"/>
        <v>395.54849999999999</v>
      </c>
      <c r="L1269" s="19">
        <f t="shared" si="96"/>
        <v>404.2342000000001</v>
      </c>
      <c r="M1269" s="19">
        <f>MAX(G1050:G1269)</f>
        <v>444.59</v>
      </c>
      <c r="N1269" s="19">
        <f t="shared" si="94"/>
        <v>-5.7603634809599766</v>
      </c>
      <c r="O1269" s="9" t="str">
        <f t="shared" si="95"/>
        <v>2024-11</v>
      </c>
    </row>
    <row r="1270" spans="1:15" x14ac:dyDescent="0.25">
      <c r="A1270" s="9" t="s">
        <v>314</v>
      </c>
      <c r="B1270" s="9" t="s">
        <v>45</v>
      </c>
      <c r="C1270" s="25" t="s">
        <v>266</v>
      </c>
      <c r="D1270" s="19">
        <v>418.98</v>
      </c>
      <c r="E1270" s="19">
        <v>420.43</v>
      </c>
      <c r="F1270" s="19">
        <v>418.59</v>
      </c>
      <c r="G1270" s="19">
        <v>419.32</v>
      </c>
      <c r="H1270" s="19">
        <v>419.32</v>
      </c>
      <c r="I1270" s="15">
        <v>8645657</v>
      </c>
      <c r="J1270" s="19">
        <f t="shared" si="97"/>
        <v>8.1149458208023051E-2</v>
      </c>
      <c r="K1270" s="19">
        <f t="shared" si="98"/>
        <v>396.76699999999994</v>
      </c>
      <c r="L1270" s="19">
        <f t="shared" si="96"/>
        <v>404.19560000000013</v>
      </c>
      <c r="M1270" s="19">
        <f>MAX(G1050:G1270)</f>
        <v>444.59</v>
      </c>
      <c r="N1270" s="19">
        <f t="shared" si="94"/>
        <v>-5.6838885265075652</v>
      </c>
      <c r="O1270" s="9" t="str">
        <f t="shared" si="95"/>
        <v>2024-11</v>
      </c>
    </row>
    <row r="1271" spans="1:15" x14ac:dyDescent="0.25">
      <c r="A1271" s="9" t="s">
        <v>314</v>
      </c>
      <c r="B1271" s="9" t="s">
        <v>45</v>
      </c>
      <c r="C1271" s="25" t="s">
        <v>267</v>
      </c>
      <c r="D1271" s="19">
        <v>419.32</v>
      </c>
      <c r="E1271" s="19">
        <v>423.38</v>
      </c>
      <c r="F1271" s="19">
        <v>418.52</v>
      </c>
      <c r="G1271" s="19">
        <v>421.04</v>
      </c>
      <c r="H1271" s="19">
        <v>421.04</v>
      </c>
      <c r="I1271" s="15">
        <v>5929338</v>
      </c>
      <c r="J1271" s="19">
        <f t="shared" si="97"/>
        <v>0.41018792330440407</v>
      </c>
      <c r="K1271" s="19">
        <f t="shared" si="98"/>
        <v>398.28</v>
      </c>
      <c r="L1271" s="19">
        <f t="shared" si="96"/>
        <v>404.0352000000002</v>
      </c>
      <c r="M1271" s="19">
        <f>MAX(G1050:G1271)</f>
        <v>444.59</v>
      </c>
      <c r="N1271" s="19">
        <f t="shared" si="94"/>
        <v>-5.2970152275129792</v>
      </c>
      <c r="O1271" s="9" t="str">
        <f t="shared" si="95"/>
        <v>2024-11</v>
      </c>
    </row>
    <row r="1272" spans="1:15" x14ac:dyDescent="0.25">
      <c r="A1272" s="9" t="s">
        <v>314</v>
      </c>
      <c r="B1272" s="9" t="s">
        <v>45</v>
      </c>
      <c r="C1272" s="25" t="s">
        <v>268</v>
      </c>
      <c r="D1272" s="19">
        <v>421.04</v>
      </c>
      <c r="E1272" s="19">
        <v>426.09</v>
      </c>
      <c r="F1272" s="19">
        <v>419.95</v>
      </c>
      <c r="G1272" s="19">
        <v>425.43</v>
      </c>
      <c r="H1272" s="19">
        <v>425.43</v>
      </c>
      <c r="I1272" s="15">
        <v>9853027</v>
      </c>
      <c r="J1272" s="19">
        <f t="shared" si="97"/>
        <v>1.0426562796883874</v>
      </c>
      <c r="K1272" s="19">
        <f t="shared" si="98"/>
        <v>400.03399999999999</v>
      </c>
      <c r="L1272" s="19">
        <f t="shared" si="96"/>
        <v>404.0648000000001</v>
      </c>
      <c r="M1272" s="19">
        <f>MAX(G1050:G1272)</f>
        <v>444.59</v>
      </c>
      <c r="N1272" s="19">
        <f t="shared" si="94"/>
        <v>-4.309588609730306</v>
      </c>
      <c r="O1272" s="9" t="str">
        <f t="shared" si="95"/>
        <v>2024-11</v>
      </c>
    </row>
    <row r="1273" spans="1:15" x14ac:dyDescent="0.25">
      <c r="A1273" s="9" t="s">
        <v>314</v>
      </c>
      <c r="B1273" s="9" t="s">
        <v>45</v>
      </c>
      <c r="C1273" s="25" t="s">
        <v>269</v>
      </c>
      <c r="D1273" s="19">
        <v>425.43</v>
      </c>
      <c r="E1273" s="19">
        <v>435.69</v>
      </c>
      <c r="F1273" s="19">
        <v>424.8</v>
      </c>
      <c r="G1273" s="19">
        <v>432.34</v>
      </c>
      <c r="H1273" s="19">
        <v>432.34</v>
      </c>
      <c r="I1273" s="15">
        <v>8344132</v>
      </c>
      <c r="J1273" s="19">
        <f t="shared" si="97"/>
        <v>1.6242390052417479</v>
      </c>
      <c r="K1273" s="19">
        <f t="shared" si="98"/>
        <v>402.27000000000004</v>
      </c>
      <c r="L1273" s="19">
        <f t="shared" si="96"/>
        <v>404.43360000000007</v>
      </c>
      <c r="M1273" s="19">
        <f>MAX(G1050:G1273)</f>
        <v>444.59</v>
      </c>
      <c r="N1273" s="19">
        <f t="shared" si="94"/>
        <v>-2.7553476236532539</v>
      </c>
      <c r="O1273" s="9" t="str">
        <f t="shared" si="95"/>
        <v>2024-11</v>
      </c>
    </row>
    <row r="1274" spans="1:15" x14ac:dyDescent="0.25">
      <c r="A1274" s="9" t="s">
        <v>314</v>
      </c>
      <c r="B1274" s="9" t="s">
        <v>45</v>
      </c>
      <c r="C1274" s="25" t="s">
        <v>270</v>
      </c>
      <c r="D1274" s="19">
        <v>432.34</v>
      </c>
      <c r="E1274" s="19">
        <v>433.05</v>
      </c>
      <c r="F1274" s="19">
        <v>419.79</v>
      </c>
      <c r="G1274" s="19">
        <v>421.89</v>
      </c>
      <c r="H1274" s="19">
        <v>421.89</v>
      </c>
      <c r="I1274" s="15">
        <v>4363771</v>
      </c>
      <c r="J1274" s="19">
        <f t="shared" si="97"/>
        <v>-2.417079150668453</v>
      </c>
      <c r="K1274" s="19">
        <f t="shared" si="98"/>
        <v>403.85150000000004</v>
      </c>
      <c r="L1274" s="19">
        <f t="shared" si="96"/>
        <v>404.88460000000009</v>
      </c>
      <c r="M1274" s="19">
        <f>MAX(G1050:G1274)</f>
        <v>444.59</v>
      </c>
      <c r="N1274" s="19">
        <f t="shared" si="94"/>
        <v>-5.1058278413819451</v>
      </c>
      <c r="O1274" s="9" t="str">
        <f t="shared" si="95"/>
        <v>2024-11</v>
      </c>
    </row>
    <row r="1275" spans="1:15" x14ac:dyDescent="0.25">
      <c r="A1275" s="9" t="s">
        <v>314</v>
      </c>
      <c r="B1275" s="9" t="s">
        <v>45</v>
      </c>
      <c r="C1275" s="25" t="s">
        <v>271</v>
      </c>
      <c r="D1275" s="19">
        <v>421.89</v>
      </c>
      <c r="E1275" s="19">
        <v>430.87</v>
      </c>
      <c r="F1275" s="19">
        <v>420.99</v>
      </c>
      <c r="G1275" s="19">
        <v>429.38</v>
      </c>
      <c r="H1275" s="19">
        <v>429.38</v>
      </c>
      <c r="I1275" s="15">
        <v>3902340</v>
      </c>
      <c r="J1275" s="19">
        <f t="shared" si="97"/>
        <v>1.7753442840550877</v>
      </c>
      <c r="K1275" s="19">
        <f t="shared" si="98"/>
        <v>406.05400000000003</v>
      </c>
      <c r="L1275" s="19">
        <f t="shared" si="96"/>
        <v>405.41960000000012</v>
      </c>
      <c r="M1275" s="19">
        <f>MAX(G1050:G1275)</f>
        <v>444.59</v>
      </c>
      <c r="N1275" s="19">
        <f t="shared" si="94"/>
        <v>-3.4211295800625248</v>
      </c>
      <c r="O1275" s="9" t="str">
        <f t="shared" si="95"/>
        <v>2024-11</v>
      </c>
    </row>
    <row r="1276" spans="1:15" x14ac:dyDescent="0.25">
      <c r="A1276" s="9" t="s">
        <v>314</v>
      </c>
      <c r="B1276" s="9" t="s">
        <v>45</v>
      </c>
      <c r="C1276" s="25" t="s">
        <v>272</v>
      </c>
      <c r="D1276" s="19">
        <v>429.38</v>
      </c>
      <c r="E1276" s="19">
        <v>431.51</v>
      </c>
      <c r="F1276" s="19">
        <v>422.06</v>
      </c>
      <c r="G1276" s="19">
        <v>422.97</v>
      </c>
      <c r="H1276" s="19">
        <v>422.97</v>
      </c>
      <c r="I1276" s="15">
        <v>7631637</v>
      </c>
      <c r="J1276" s="19">
        <f t="shared" si="97"/>
        <v>-1.4928501560389325</v>
      </c>
      <c r="K1276" s="19">
        <f t="shared" si="98"/>
        <v>408.05849999999998</v>
      </c>
      <c r="L1276" s="19">
        <f t="shared" si="96"/>
        <v>405.74020000000013</v>
      </c>
      <c r="M1276" s="19">
        <f>MAX(G1050:G1276)</f>
        <v>444.59</v>
      </c>
      <c r="N1276" s="19">
        <f t="shared" si="94"/>
        <v>-4.8629073978272004</v>
      </c>
      <c r="O1276" s="9" t="str">
        <f t="shared" si="95"/>
        <v>2024-11</v>
      </c>
    </row>
    <row r="1277" spans="1:15" x14ac:dyDescent="0.25">
      <c r="A1277" s="9" t="s">
        <v>314</v>
      </c>
      <c r="B1277" s="9" t="s">
        <v>45</v>
      </c>
      <c r="C1277" s="25" t="s">
        <v>273</v>
      </c>
      <c r="D1277" s="19">
        <v>422.97</v>
      </c>
      <c r="E1277" s="19">
        <v>433.46</v>
      </c>
      <c r="F1277" s="19">
        <v>422.36</v>
      </c>
      <c r="G1277" s="19">
        <v>431.48</v>
      </c>
      <c r="H1277" s="19">
        <v>431.48</v>
      </c>
      <c r="I1277" s="15">
        <v>4817485</v>
      </c>
      <c r="J1277" s="19">
        <f t="shared" si="97"/>
        <v>2.0119630233822705</v>
      </c>
      <c r="K1277" s="19">
        <f t="shared" si="98"/>
        <v>410.67150000000004</v>
      </c>
      <c r="L1277" s="19">
        <f t="shared" si="96"/>
        <v>406.11360000000013</v>
      </c>
      <c r="M1277" s="19">
        <f>MAX(G1050:G1277)</f>
        <v>444.59</v>
      </c>
      <c r="N1277" s="19">
        <f t="shared" si="94"/>
        <v>-2.9487842731505336</v>
      </c>
      <c r="O1277" s="9" t="str">
        <f t="shared" si="95"/>
        <v>2024-11</v>
      </c>
    </row>
    <row r="1278" spans="1:15" x14ac:dyDescent="0.25">
      <c r="A1278" s="9" t="s">
        <v>314</v>
      </c>
      <c r="B1278" s="9" t="s">
        <v>45</v>
      </c>
      <c r="C1278" s="25" t="s">
        <v>274</v>
      </c>
      <c r="D1278" s="19">
        <v>431.48</v>
      </c>
      <c r="E1278" s="19">
        <v>431.93</v>
      </c>
      <c r="F1278" s="19">
        <v>428.42</v>
      </c>
      <c r="G1278" s="19">
        <v>429.29</v>
      </c>
      <c r="H1278" s="19">
        <v>429.29</v>
      </c>
      <c r="I1278" s="15">
        <v>3995716</v>
      </c>
      <c r="J1278" s="19">
        <f t="shared" si="97"/>
        <v>-0.50755539074812217</v>
      </c>
      <c r="K1278" s="19">
        <f t="shared" si="98"/>
        <v>412.98450000000003</v>
      </c>
      <c r="L1278" s="19">
        <f t="shared" si="96"/>
        <v>406.41820000000013</v>
      </c>
      <c r="M1278" s="19">
        <f>MAX(G1050:G1278)</f>
        <v>444.59</v>
      </c>
      <c r="N1278" s="19">
        <f t="shared" si="94"/>
        <v>-3.4413729503587476</v>
      </c>
      <c r="O1278" s="9" t="str">
        <f t="shared" si="95"/>
        <v>2024-11</v>
      </c>
    </row>
    <row r="1279" spans="1:15" x14ac:dyDescent="0.25">
      <c r="A1279" s="9" t="s">
        <v>314</v>
      </c>
      <c r="B1279" s="9" t="s">
        <v>45</v>
      </c>
      <c r="C1279" s="25" t="s">
        <v>275</v>
      </c>
      <c r="D1279" s="19">
        <v>429.29</v>
      </c>
      <c r="E1279" s="19">
        <v>429.42</v>
      </c>
      <c r="F1279" s="19">
        <v>421.22</v>
      </c>
      <c r="G1279" s="19">
        <v>421.6</v>
      </c>
      <c r="H1279" s="19">
        <v>421.6</v>
      </c>
      <c r="I1279" s="15">
        <v>5781840</v>
      </c>
      <c r="J1279" s="19">
        <f t="shared" si="97"/>
        <v>-1.7913298702508789</v>
      </c>
      <c r="K1279" s="19">
        <f t="shared" si="98"/>
        <v>414.66800000000001</v>
      </c>
      <c r="L1279" s="19">
        <f t="shared" si="96"/>
        <v>406.82680000000016</v>
      </c>
      <c r="M1279" s="19">
        <f>MAX(G1050:G1279)</f>
        <v>444.59</v>
      </c>
      <c r="N1279" s="19">
        <f t="shared" si="94"/>
        <v>-5.1710564790031155</v>
      </c>
      <c r="O1279" s="9" t="str">
        <f t="shared" si="95"/>
        <v>2024-11</v>
      </c>
    </row>
    <row r="1280" spans="1:15" x14ac:dyDescent="0.25">
      <c r="A1280" s="9" t="s">
        <v>314</v>
      </c>
      <c r="B1280" s="9" t="s">
        <v>45</v>
      </c>
      <c r="C1280" s="25" t="s">
        <v>276</v>
      </c>
      <c r="D1280" s="19">
        <v>421.6</v>
      </c>
      <c r="E1280" s="19">
        <v>428.92</v>
      </c>
      <c r="F1280" s="19">
        <v>419.74</v>
      </c>
      <c r="G1280" s="19">
        <v>427.15</v>
      </c>
      <c r="H1280" s="19">
        <v>427.15</v>
      </c>
      <c r="I1280" s="15">
        <v>4013016</v>
      </c>
      <c r="J1280" s="19">
        <f t="shared" si="97"/>
        <v>1.3164136622390783</v>
      </c>
      <c r="K1280" s="19">
        <f t="shared" si="98"/>
        <v>416.77800000000013</v>
      </c>
      <c r="L1280" s="19">
        <f t="shared" si="96"/>
        <v>407.36060000000003</v>
      </c>
      <c r="M1280" s="19">
        <f>MAX(G1050:G1280)</f>
        <v>444.59</v>
      </c>
      <c r="N1280" s="19">
        <f t="shared" si="94"/>
        <v>-3.9227153107357338</v>
      </c>
      <c r="O1280" s="9" t="str">
        <f t="shared" si="95"/>
        <v>2024-11</v>
      </c>
    </row>
    <row r="1281" spans="1:15" x14ac:dyDescent="0.25">
      <c r="A1281" s="9" t="s">
        <v>314</v>
      </c>
      <c r="B1281" s="9" t="s">
        <v>45</v>
      </c>
      <c r="C1281" s="25" t="s">
        <v>277</v>
      </c>
      <c r="D1281" s="19">
        <v>427.15</v>
      </c>
      <c r="E1281" s="19">
        <v>428.29</v>
      </c>
      <c r="F1281" s="19">
        <v>420.94</v>
      </c>
      <c r="G1281" s="19">
        <v>422.5</v>
      </c>
      <c r="H1281" s="19">
        <v>422.5</v>
      </c>
      <c r="I1281" s="15">
        <v>5590502</v>
      </c>
      <c r="J1281" s="19">
        <f t="shared" si="97"/>
        <v>-1.0886105583518617</v>
      </c>
      <c r="K1281" s="19">
        <f t="shared" si="98"/>
        <v>418.15600000000012</v>
      </c>
      <c r="L1281" s="19">
        <f t="shared" si="96"/>
        <v>407.81880000000007</v>
      </c>
      <c r="M1281" s="19">
        <f>MAX(G1050:G1281)</f>
        <v>444.59</v>
      </c>
      <c r="N1281" s="19">
        <f t="shared" si="94"/>
        <v>-4.9686227760408412</v>
      </c>
      <c r="O1281" s="9" t="str">
        <f t="shared" si="95"/>
        <v>2024-11</v>
      </c>
    </row>
    <row r="1282" spans="1:15" x14ac:dyDescent="0.25">
      <c r="A1282" s="9" t="s">
        <v>314</v>
      </c>
      <c r="B1282" s="9" t="s">
        <v>45</v>
      </c>
      <c r="C1282" s="25" t="s">
        <v>278</v>
      </c>
      <c r="D1282" s="19">
        <v>422.5</v>
      </c>
      <c r="E1282" s="19">
        <v>424.14</v>
      </c>
      <c r="F1282" s="19">
        <v>422.36</v>
      </c>
      <c r="G1282" s="19">
        <v>424.02</v>
      </c>
      <c r="H1282" s="19">
        <v>424.02</v>
      </c>
      <c r="I1282" s="15">
        <v>8445662</v>
      </c>
      <c r="J1282" s="19">
        <f t="shared" si="97"/>
        <v>0.35976331360946312</v>
      </c>
      <c r="K1282" s="19">
        <f t="shared" si="98"/>
        <v>419.41649999999998</v>
      </c>
      <c r="L1282" s="19">
        <f t="shared" si="96"/>
        <v>408.15840000000009</v>
      </c>
      <c r="M1282" s="19">
        <f>MAX(G1050:G1282)</f>
        <v>444.59</v>
      </c>
      <c r="N1282" s="19">
        <f t="shared" ref="N1282:N1345" si="99">(G1282-M1282)/M1282*100</f>
        <v>-4.626734744371217</v>
      </c>
      <c r="O1282" s="9" t="str">
        <f t="shared" ref="O1282:O1345" si="100">TEXT(C1282,"yyyy-mm")</f>
        <v>2024-11</v>
      </c>
    </row>
    <row r="1283" spans="1:15" x14ac:dyDescent="0.25">
      <c r="A1283" s="9" t="s">
        <v>314</v>
      </c>
      <c r="B1283" s="9" t="s">
        <v>45</v>
      </c>
      <c r="C1283" s="25" t="s">
        <v>279</v>
      </c>
      <c r="D1283" s="19">
        <v>424.02</v>
      </c>
      <c r="E1283" s="19">
        <v>426.87</v>
      </c>
      <c r="F1283" s="19">
        <v>421.82</v>
      </c>
      <c r="G1283" s="19">
        <v>425.49</v>
      </c>
      <c r="H1283" s="19">
        <v>425.49</v>
      </c>
      <c r="I1283" s="15">
        <v>9991357</v>
      </c>
      <c r="J1283" s="19">
        <f t="shared" si="97"/>
        <v>0.34668176029433223</v>
      </c>
      <c r="K1283" s="19">
        <f t="shared" si="98"/>
        <v>420.72749999999996</v>
      </c>
      <c r="L1283" s="19">
        <f t="shared" si="96"/>
        <v>408.66980000000012</v>
      </c>
      <c r="M1283" s="19">
        <f>MAX(G1050:G1283)</f>
        <v>444.59</v>
      </c>
      <c r="N1283" s="19">
        <f t="shared" si="99"/>
        <v>-4.2960930295328206</v>
      </c>
      <c r="O1283" s="9" t="str">
        <f t="shared" si="100"/>
        <v>2024-11</v>
      </c>
    </row>
    <row r="1284" spans="1:15" x14ac:dyDescent="0.25">
      <c r="A1284" s="9" t="s">
        <v>314</v>
      </c>
      <c r="B1284" s="9" t="s">
        <v>45</v>
      </c>
      <c r="C1284" s="25" t="s">
        <v>280</v>
      </c>
      <c r="D1284" s="19">
        <v>425.49</v>
      </c>
      <c r="E1284" s="19">
        <v>432.6</v>
      </c>
      <c r="F1284" s="19">
        <v>422.81</v>
      </c>
      <c r="G1284" s="19">
        <v>430.62</v>
      </c>
      <c r="H1284" s="19">
        <v>430.62</v>
      </c>
      <c r="I1284" s="15">
        <v>10222549</v>
      </c>
      <c r="J1284" s="19">
        <f t="shared" si="97"/>
        <v>1.2056687583726986</v>
      </c>
      <c r="K1284" s="19">
        <f t="shared" si="98"/>
        <v>422.13150000000007</v>
      </c>
      <c r="L1284" s="19">
        <f t="shared" si="96"/>
        <v>409.3044000000001</v>
      </c>
      <c r="M1284" s="19">
        <f>MAX(G1050:G1284)</f>
        <v>444.59</v>
      </c>
      <c r="N1284" s="19">
        <f t="shared" si="99"/>
        <v>-3.1422209226478266</v>
      </c>
      <c r="O1284" s="9" t="str">
        <f t="shared" si="100"/>
        <v>2024-11</v>
      </c>
    </row>
    <row r="1285" spans="1:15" x14ac:dyDescent="0.25">
      <c r="A1285" s="9" t="s">
        <v>314</v>
      </c>
      <c r="B1285" s="9" t="s">
        <v>45</v>
      </c>
      <c r="C1285" s="25" t="s">
        <v>281</v>
      </c>
      <c r="D1285" s="19">
        <v>430.62</v>
      </c>
      <c r="E1285" s="19">
        <v>437.55</v>
      </c>
      <c r="F1285" s="19">
        <v>429.67</v>
      </c>
      <c r="G1285" s="19">
        <v>434.87</v>
      </c>
      <c r="H1285" s="19">
        <v>434.87</v>
      </c>
      <c r="I1285" s="15">
        <v>8817414</v>
      </c>
      <c r="J1285" s="19">
        <f t="shared" si="97"/>
        <v>0.98694905020667878</v>
      </c>
      <c r="K1285" s="19">
        <f t="shared" si="98"/>
        <v>423.42749999999995</v>
      </c>
      <c r="L1285" s="19">
        <f t="shared" si="96"/>
        <v>410.1400000000001</v>
      </c>
      <c r="M1285" s="19">
        <f>MAX(G1050:G1285)</f>
        <v>444.59</v>
      </c>
      <c r="N1285" s="19">
        <f t="shared" si="99"/>
        <v>-2.1862839919926156</v>
      </c>
      <c r="O1285" s="9" t="str">
        <f t="shared" si="100"/>
        <v>2024-11</v>
      </c>
    </row>
    <row r="1286" spans="1:15" x14ac:dyDescent="0.25">
      <c r="A1286" s="9" t="s">
        <v>314</v>
      </c>
      <c r="B1286" s="9" t="s">
        <v>45</v>
      </c>
      <c r="C1286" s="25" t="s">
        <v>282</v>
      </c>
      <c r="D1286" s="19">
        <v>434.87</v>
      </c>
      <c r="E1286" s="19">
        <v>439.88</v>
      </c>
      <c r="F1286" s="19">
        <v>433.37</v>
      </c>
      <c r="G1286" s="19">
        <v>437.56</v>
      </c>
      <c r="H1286" s="19">
        <v>437.56</v>
      </c>
      <c r="I1286" s="15">
        <v>12068932</v>
      </c>
      <c r="J1286" s="19">
        <f t="shared" si="97"/>
        <v>0.61857566629107497</v>
      </c>
      <c r="K1286" s="19">
        <f t="shared" si="98"/>
        <v>425.00349999999992</v>
      </c>
      <c r="L1286" s="19">
        <f t="shared" si="96"/>
        <v>410.80120000000011</v>
      </c>
      <c r="M1286" s="19">
        <f>MAX(G1050:G1286)</f>
        <v>444.59</v>
      </c>
      <c r="N1286" s="19">
        <f t="shared" si="99"/>
        <v>-1.5812321464720243</v>
      </c>
      <c r="O1286" s="9" t="str">
        <f t="shared" si="100"/>
        <v>2024-11</v>
      </c>
    </row>
    <row r="1287" spans="1:15" x14ac:dyDescent="0.25">
      <c r="A1287" s="9" t="s">
        <v>314</v>
      </c>
      <c r="B1287" s="9" t="s">
        <v>45</v>
      </c>
      <c r="C1287" s="25" t="s">
        <v>283</v>
      </c>
      <c r="D1287" s="19">
        <v>437.56</v>
      </c>
      <c r="E1287" s="19">
        <v>438.58</v>
      </c>
      <c r="F1287" s="19">
        <v>436.55</v>
      </c>
      <c r="G1287" s="19">
        <v>438.13</v>
      </c>
      <c r="H1287" s="19">
        <v>438.13</v>
      </c>
      <c r="I1287" s="15">
        <v>7850741</v>
      </c>
      <c r="J1287" s="19">
        <f t="shared" si="97"/>
        <v>0.13026784898070967</v>
      </c>
      <c r="K1287" s="19">
        <f t="shared" si="98"/>
        <v>426.4135</v>
      </c>
      <c r="L1287" s="19">
        <f t="shared" si="96"/>
        <v>411.2204000000001</v>
      </c>
      <c r="M1287" s="19">
        <f>MAX(G1050:G1287)</f>
        <v>444.59</v>
      </c>
      <c r="N1287" s="19">
        <f t="shared" si="99"/>
        <v>-1.4530241345959154</v>
      </c>
      <c r="O1287" s="9" t="str">
        <f t="shared" si="100"/>
        <v>2024-11</v>
      </c>
    </row>
    <row r="1288" spans="1:15" x14ac:dyDescent="0.25">
      <c r="A1288" s="9" t="s">
        <v>314</v>
      </c>
      <c r="B1288" s="9" t="s">
        <v>45</v>
      </c>
      <c r="C1288" s="25" t="s">
        <v>284</v>
      </c>
      <c r="D1288" s="19">
        <v>438.13</v>
      </c>
      <c r="E1288" s="19">
        <v>445.93</v>
      </c>
      <c r="F1288" s="19">
        <v>436.62</v>
      </c>
      <c r="G1288" s="19">
        <v>445.33</v>
      </c>
      <c r="H1288" s="19">
        <v>445.33</v>
      </c>
      <c r="I1288" s="15">
        <v>7661773</v>
      </c>
      <c r="J1288" s="19">
        <f t="shared" si="97"/>
        <v>1.6433478647889872</v>
      </c>
      <c r="K1288" s="19">
        <f t="shared" si="98"/>
        <v>427.96950000000004</v>
      </c>
      <c r="L1288" s="19">
        <f t="shared" si="96"/>
        <v>411.82780000000014</v>
      </c>
      <c r="M1288" s="19">
        <f>MAX(G1050:G1288)</f>
        <v>445.33</v>
      </c>
      <c r="N1288" s="19">
        <f t="shared" si="99"/>
        <v>0</v>
      </c>
      <c r="O1288" s="9" t="str">
        <f t="shared" si="100"/>
        <v>2024-11</v>
      </c>
    </row>
    <row r="1289" spans="1:15" x14ac:dyDescent="0.25">
      <c r="A1289" s="9" t="s">
        <v>314</v>
      </c>
      <c r="B1289" s="9" t="s">
        <v>45</v>
      </c>
      <c r="C1289" s="25" t="s">
        <v>285</v>
      </c>
      <c r="D1289" s="19">
        <v>445.33</v>
      </c>
      <c r="E1289" s="19">
        <v>447.96</v>
      </c>
      <c r="F1289" s="19">
        <v>444.56</v>
      </c>
      <c r="G1289" s="19">
        <v>447.62</v>
      </c>
      <c r="H1289" s="19">
        <v>447.62</v>
      </c>
      <c r="I1289" s="15">
        <v>4144214</v>
      </c>
      <c r="J1289" s="19">
        <f t="shared" si="97"/>
        <v>0.51422540587879106</v>
      </c>
      <c r="K1289" s="19">
        <f t="shared" si="98"/>
        <v>429.40150000000006</v>
      </c>
      <c r="L1289" s="19">
        <f t="shared" si="96"/>
        <v>412.52440000000007</v>
      </c>
      <c r="M1289" s="19">
        <f>MAX(G1050:G1289)</f>
        <v>447.62</v>
      </c>
      <c r="N1289" s="19">
        <f t="shared" si="99"/>
        <v>0</v>
      </c>
      <c r="O1289" s="9" t="str">
        <f t="shared" si="100"/>
        <v>2024-11</v>
      </c>
    </row>
    <row r="1290" spans="1:15" x14ac:dyDescent="0.25">
      <c r="A1290" s="9" t="s">
        <v>314</v>
      </c>
      <c r="B1290" s="9" t="s">
        <v>45</v>
      </c>
      <c r="C1290" s="25" t="s">
        <v>286</v>
      </c>
      <c r="D1290" s="19">
        <v>447.62</v>
      </c>
      <c r="E1290" s="19">
        <v>461.43</v>
      </c>
      <c r="F1290" s="19">
        <v>446.17</v>
      </c>
      <c r="G1290" s="19">
        <v>458.9</v>
      </c>
      <c r="H1290" s="19">
        <v>458.9</v>
      </c>
      <c r="I1290" s="15">
        <v>5664218</v>
      </c>
      <c r="J1290" s="19">
        <f t="shared" si="97"/>
        <v>2.5199946383092744</v>
      </c>
      <c r="K1290" s="19">
        <f t="shared" si="98"/>
        <v>431.38050000000004</v>
      </c>
      <c r="L1290" s="19">
        <f t="shared" si="96"/>
        <v>413.3916000000001</v>
      </c>
      <c r="M1290" s="19">
        <f>MAX(G1050:G1290)</f>
        <v>458.9</v>
      </c>
      <c r="N1290" s="19">
        <f t="shared" si="99"/>
        <v>0</v>
      </c>
      <c r="O1290" s="9" t="str">
        <f t="shared" si="100"/>
        <v>2024-12</v>
      </c>
    </row>
    <row r="1291" spans="1:15" x14ac:dyDescent="0.25">
      <c r="A1291" s="9" t="s">
        <v>314</v>
      </c>
      <c r="B1291" s="9" t="s">
        <v>45</v>
      </c>
      <c r="C1291" s="25" t="s">
        <v>287</v>
      </c>
      <c r="D1291" s="19">
        <v>458.9</v>
      </c>
      <c r="E1291" s="19">
        <v>462.57</v>
      </c>
      <c r="F1291" s="19">
        <v>457.46</v>
      </c>
      <c r="G1291" s="19">
        <v>461.53</v>
      </c>
      <c r="H1291" s="19">
        <v>461.53</v>
      </c>
      <c r="I1291" s="15">
        <v>6342701</v>
      </c>
      <c r="J1291" s="19">
        <f t="shared" si="97"/>
        <v>0.57310960993680449</v>
      </c>
      <c r="K1291" s="19">
        <f t="shared" si="98"/>
        <v>433.40500000000009</v>
      </c>
      <c r="L1291" s="19">
        <f t="shared" ref="L1291:L1354" si="101">AVERAGE(G1242:G1291)</f>
        <v>414.41740000000004</v>
      </c>
      <c r="M1291" s="19">
        <f>MAX(G1050:G1291)</f>
        <v>461.53</v>
      </c>
      <c r="N1291" s="19">
        <f t="shared" si="99"/>
        <v>0</v>
      </c>
      <c r="O1291" s="9" t="str">
        <f t="shared" si="100"/>
        <v>2024-12</v>
      </c>
    </row>
    <row r="1292" spans="1:15" x14ac:dyDescent="0.25">
      <c r="A1292" s="9" t="s">
        <v>314</v>
      </c>
      <c r="B1292" s="9" t="s">
        <v>45</v>
      </c>
      <c r="C1292" s="25" t="s">
        <v>288</v>
      </c>
      <c r="D1292" s="19">
        <v>461.53</v>
      </c>
      <c r="E1292" s="19">
        <v>463.06</v>
      </c>
      <c r="F1292" s="19">
        <v>452.82</v>
      </c>
      <c r="G1292" s="19">
        <v>455.93</v>
      </c>
      <c r="H1292" s="19">
        <v>455.93</v>
      </c>
      <c r="I1292" s="15">
        <v>7278072</v>
      </c>
      <c r="J1292" s="19">
        <f t="shared" si="97"/>
        <v>-1.2133555781855927</v>
      </c>
      <c r="K1292" s="19">
        <f t="shared" si="98"/>
        <v>434.93</v>
      </c>
      <c r="L1292" s="19">
        <f t="shared" si="101"/>
        <v>415.15500000000009</v>
      </c>
      <c r="M1292" s="19">
        <f>MAX(G1050:G1292)</f>
        <v>461.53</v>
      </c>
      <c r="N1292" s="19">
        <f t="shared" si="99"/>
        <v>-1.2133555781855927</v>
      </c>
      <c r="O1292" s="9" t="str">
        <f t="shared" si="100"/>
        <v>2024-12</v>
      </c>
    </row>
    <row r="1293" spans="1:15" x14ac:dyDescent="0.25">
      <c r="A1293" s="9" t="s">
        <v>314</v>
      </c>
      <c r="B1293" s="9" t="s">
        <v>45</v>
      </c>
      <c r="C1293" s="25" t="s">
        <v>289</v>
      </c>
      <c r="D1293" s="19">
        <v>455.93</v>
      </c>
      <c r="E1293" s="19">
        <v>468.42</v>
      </c>
      <c r="F1293" s="19">
        <v>455.02</v>
      </c>
      <c r="G1293" s="19">
        <v>466.56</v>
      </c>
      <c r="H1293" s="19">
        <v>466.56</v>
      </c>
      <c r="I1293" s="15">
        <v>9132805</v>
      </c>
      <c r="J1293" s="19">
        <f t="shared" si="97"/>
        <v>2.3314982563112747</v>
      </c>
      <c r="K1293" s="19">
        <f t="shared" si="98"/>
        <v>436.64099999999996</v>
      </c>
      <c r="L1293" s="19">
        <f t="shared" si="101"/>
        <v>416.02560000000011</v>
      </c>
      <c r="M1293" s="19">
        <f>MAX(G1050:G1293)</f>
        <v>466.56</v>
      </c>
      <c r="N1293" s="19">
        <f t="shared" si="99"/>
        <v>0</v>
      </c>
      <c r="O1293" s="9" t="str">
        <f t="shared" si="100"/>
        <v>2024-12</v>
      </c>
    </row>
    <row r="1294" spans="1:15" x14ac:dyDescent="0.25">
      <c r="A1294" s="9" t="s">
        <v>314</v>
      </c>
      <c r="B1294" s="9" t="s">
        <v>45</v>
      </c>
      <c r="C1294" s="25" t="s">
        <v>290</v>
      </c>
      <c r="D1294" s="19">
        <v>466.56</v>
      </c>
      <c r="E1294" s="19">
        <v>468.77</v>
      </c>
      <c r="F1294" s="19">
        <v>463.91</v>
      </c>
      <c r="G1294" s="19">
        <v>467.38</v>
      </c>
      <c r="H1294" s="19">
        <v>467.38</v>
      </c>
      <c r="I1294" s="15">
        <v>9635214</v>
      </c>
      <c r="J1294" s="19">
        <f t="shared" si="97"/>
        <v>0.17575445816186411</v>
      </c>
      <c r="K1294" s="19">
        <f t="shared" si="98"/>
        <v>438.91549999999995</v>
      </c>
      <c r="L1294" s="19">
        <f t="shared" si="101"/>
        <v>416.96240000000012</v>
      </c>
      <c r="M1294" s="19">
        <f>MAX(G1050:G1294)</f>
        <v>467.38</v>
      </c>
      <c r="N1294" s="19">
        <f t="shared" si="99"/>
        <v>0</v>
      </c>
      <c r="O1294" s="9" t="str">
        <f t="shared" si="100"/>
        <v>2024-12</v>
      </c>
    </row>
    <row r="1295" spans="1:15" x14ac:dyDescent="0.25">
      <c r="A1295" s="9" t="s">
        <v>314</v>
      </c>
      <c r="B1295" s="9" t="s">
        <v>45</v>
      </c>
      <c r="C1295" s="25" t="s">
        <v>291</v>
      </c>
      <c r="D1295" s="19">
        <v>467.38</v>
      </c>
      <c r="E1295" s="19">
        <v>471.93</v>
      </c>
      <c r="F1295" s="19">
        <v>466.1</v>
      </c>
      <c r="G1295" s="19">
        <v>468.72</v>
      </c>
      <c r="H1295" s="19">
        <v>468.72</v>
      </c>
      <c r="I1295" s="15">
        <v>7497646</v>
      </c>
      <c r="J1295" s="19">
        <f t="shared" si="97"/>
        <v>0.28670460866961184</v>
      </c>
      <c r="K1295" s="19">
        <f t="shared" si="98"/>
        <v>440.88249999999999</v>
      </c>
      <c r="L1295" s="19">
        <f t="shared" si="101"/>
        <v>418.01380000000012</v>
      </c>
      <c r="M1295" s="19">
        <f>MAX(G1050:G1295)</f>
        <v>468.72</v>
      </c>
      <c r="N1295" s="19">
        <f t="shared" si="99"/>
        <v>0</v>
      </c>
      <c r="O1295" s="9" t="str">
        <f t="shared" si="100"/>
        <v>2024-12</v>
      </c>
    </row>
    <row r="1296" spans="1:15" x14ac:dyDescent="0.25">
      <c r="A1296" s="9" t="s">
        <v>314</v>
      </c>
      <c r="B1296" s="9" t="s">
        <v>45</v>
      </c>
      <c r="C1296" s="25" t="s">
        <v>292</v>
      </c>
      <c r="D1296" s="19">
        <v>468.72</v>
      </c>
      <c r="E1296" s="19">
        <v>480.59</v>
      </c>
      <c r="F1296" s="19">
        <v>467.2</v>
      </c>
      <c r="G1296" s="19">
        <v>476.08</v>
      </c>
      <c r="H1296" s="19">
        <v>476.08</v>
      </c>
      <c r="I1296" s="15">
        <v>7352860</v>
      </c>
      <c r="J1296" s="19">
        <f t="shared" si="97"/>
        <v>1.5702338282983352</v>
      </c>
      <c r="K1296" s="19">
        <f t="shared" si="98"/>
        <v>443.53800000000001</v>
      </c>
      <c r="L1296" s="19">
        <f t="shared" si="101"/>
        <v>419.28240000000011</v>
      </c>
      <c r="M1296" s="19">
        <f>MAX(G1050:G1296)</f>
        <v>476.08</v>
      </c>
      <c r="N1296" s="19">
        <f t="shared" si="99"/>
        <v>0</v>
      </c>
      <c r="O1296" s="9" t="str">
        <f t="shared" si="100"/>
        <v>2024-12</v>
      </c>
    </row>
    <row r="1297" spans="1:15" x14ac:dyDescent="0.25">
      <c r="A1297" s="9" t="s">
        <v>314</v>
      </c>
      <c r="B1297" s="9" t="s">
        <v>45</v>
      </c>
      <c r="C1297" s="25" t="s">
        <v>293</v>
      </c>
      <c r="D1297" s="19">
        <v>476.08</v>
      </c>
      <c r="E1297" s="19">
        <v>485.04</v>
      </c>
      <c r="F1297" s="19">
        <v>473.54</v>
      </c>
      <c r="G1297" s="19">
        <v>483.8</v>
      </c>
      <c r="H1297" s="19">
        <v>483.8</v>
      </c>
      <c r="I1297" s="15">
        <v>9663004</v>
      </c>
      <c r="J1297" s="19">
        <f t="shared" si="97"/>
        <v>1.6215762056797236</v>
      </c>
      <c r="K1297" s="19">
        <f t="shared" si="98"/>
        <v>446.154</v>
      </c>
      <c r="L1297" s="19">
        <f t="shared" si="101"/>
        <v>420.6880000000001</v>
      </c>
      <c r="M1297" s="19">
        <f>MAX(G1050:G1297)</f>
        <v>483.8</v>
      </c>
      <c r="N1297" s="19">
        <f t="shared" si="99"/>
        <v>0</v>
      </c>
      <c r="O1297" s="9" t="str">
        <f t="shared" si="100"/>
        <v>2024-12</v>
      </c>
    </row>
    <row r="1298" spans="1:15" x14ac:dyDescent="0.25">
      <c r="A1298" s="9" t="s">
        <v>314</v>
      </c>
      <c r="B1298" s="9" t="s">
        <v>45</v>
      </c>
      <c r="C1298" s="25" t="s">
        <v>294</v>
      </c>
      <c r="D1298" s="19">
        <v>483.8</v>
      </c>
      <c r="E1298" s="19">
        <v>487.12</v>
      </c>
      <c r="F1298" s="19">
        <v>479</v>
      </c>
      <c r="G1298" s="19">
        <v>480.03</v>
      </c>
      <c r="H1298" s="19">
        <v>480.03</v>
      </c>
      <c r="I1298" s="15">
        <v>8442194</v>
      </c>
      <c r="J1298" s="19">
        <f t="shared" si="97"/>
        <v>-0.7792476229847124</v>
      </c>
      <c r="K1298" s="19">
        <f t="shared" si="98"/>
        <v>448.69100000000009</v>
      </c>
      <c r="L1298" s="19">
        <f t="shared" si="101"/>
        <v>422.24040000000008</v>
      </c>
      <c r="M1298" s="19">
        <f>MAX(G1050:G1298)</f>
        <v>483.8</v>
      </c>
      <c r="N1298" s="19">
        <f t="shared" si="99"/>
        <v>-0.7792476229847124</v>
      </c>
      <c r="O1298" s="9" t="str">
        <f t="shared" si="100"/>
        <v>2024-12</v>
      </c>
    </row>
    <row r="1299" spans="1:15" x14ac:dyDescent="0.25">
      <c r="A1299" s="9" t="s">
        <v>314</v>
      </c>
      <c r="B1299" s="9" t="s">
        <v>45</v>
      </c>
      <c r="C1299" s="25" t="s">
        <v>295</v>
      </c>
      <c r="D1299" s="19">
        <v>480.03</v>
      </c>
      <c r="E1299" s="19">
        <v>483.44</v>
      </c>
      <c r="F1299" s="19">
        <v>477.1</v>
      </c>
      <c r="G1299" s="19">
        <v>477.15</v>
      </c>
      <c r="H1299" s="19">
        <v>477.15</v>
      </c>
      <c r="I1299" s="15">
        <v>3392784</v>
      </c>
      <c r="J1299" s="19">
        <f t="shared" si="97"/>
        <v>-0.5999625023436026</v>
      </c>
      <c r="K1299" s="19">
        <f t="shared" si="98"/>
        <v>451.46850000000006</v>
      </c>
      <c r="L1299" s="19">
        <f t="shared" si="101"/>
        <v>423.90160000000009</v>
      </c>
      <c r="M1299" s="19">
        <f>MAX(G1050:G1299)</f>
        <v>483.8</v>
      </c>
      <c r="N1299" s="19">
        <f t="shared" si="99"/>
        <v>-1.3745349317900031</v>
      </c>
      <c r="O1299" s="9" t="str">
        <f t="shared" si="100"/>
        <v>2024-12</v>
      </c>
    </row>
    <row r="1300" spans="1:15" x14ac:dyDescent="0.25">
      <c r="A1300" s="9" t="s">
        <v>314</v>
      </c>
      <c r="B1300" s="9" t="s">
        <v>45</v>
      </c>
      <c r="C1300" s="25" t="s">
        <v>296</v>
      </c>
      <c r="D1300" s="19">
        <v>477.15</v>
      </c>
      <c r="E1300" s="19">
        <v>478.71</v>
      </c>
      <c r="F1300" s="19">
        <v>476.67</v>
      </c>
      <c r="G1300" s="19">
        <v>477.39</v>
      </c>
      <c r="H1300" s="19">
        <v>477.39</v>
      </c>
      <c r="I1300" s="15">
        <v>7097282</v>
      </c>
      <c r="J1300" s="19">
        <f t="shared" si="97"/>
        <v>5.0298648223830893E-2</v>
      </c>
      <c r="K1300" s="19">
        <f t="shared" si="98"/>
        <v>453.98050000000001</v>
      </c>
      <c r="L1300" s="19">
        <f t="shared" si="101"/>
        <v>425.55040000000008</v>
      </c>
      <c r="M1300" s="19">
        <f>MAX(G1050:G1300)</f>
        <v>483.8</v>
      </c>
      <c r="N1300" s="19">
        <f t="shared" si="99"/>
        <v>-1.3249276560562269</v>
      </c>
      <c r="O1300" s="9" t="str">
        <f t="shared" si="100"/>
        <v>2024-12</v>
      </c>
    </row>
    <row r="1301" spans="1:15" x14ac:dyDescent="0.25">
      <c r="A1301" s="9" t="s">
        <v>314</v>
      </c>
      <c r="B1301" s="9" t="s">
        <v>45</v>
      </c>
      <c r="C1301" s="25" t="s">
        <v>297</v>
      </c>
      <c r="D1301" s="19">
        <v>477.39</v>
      </c>
      <c r="E1301" s="19">
        <v>491.41</v>
      </c>
      <c r="F1301" s="19">
        <v>476.86</v>
      </c>
      <c r="G1301" s="19">
        <v>489.41</v>
      </c>
      <c r="H1301" s="19">
        <v>489.41</v>
      </c>
      <c r="I1301" s="15">
        <v>7328575</v>
      </c>
      <c r="J1301" s="19">
        <f t="shared" si="97"/>
        <v>2.5178575169148996</v>
      </c>
      <c r="K1301" s="19">
        <f t="shared" si="98"/>
        <v>457.32600000000002</v>
      </c>
      <c r="L1301" s="19">
        <f t="shared" si="101"/>
        <v>427.52300000000002</v>
      </c>
      <c r="M1301" s="19">
        <f>MAX(G1050:G1301)</f>
        <v>489.41</v>
      </c>
      <c r="N1301" s="19">
        <f t="shared" si="99"/>
        <v>0</v>
      </c>
      <c r="O1301" s="9" t="str">
        <f t="shared" si="100"/>
        <v>2024-12</v>
      </c>
    </row>
    <row r="1302" spans="1:15" x14ac:dyDescent="0.25">
      <c r="A1302" s="9" t="s">
        <v>314</v>
      </c>
      <c r="B1302" s="9" t="s">
        <v>45</v>
      </c>
      <c r="C1302" s="25" t="s">
        <v>298</v>
      </c>
      <c r="D1302" s="19">
        <v>489.41</v>
      </c>
      <c r="E1302" s="19">
        <v>495.85</v>
      </c>
      <c r="F1302" s="19">
        <v>488.06</v>
      </c>
      <c r="G1302" s="19">
        <v>495.17</v>
      </c>
      <c r="H1302" s="19">
        <v>495.17</v>
      </c>
      <c r="I1302" s="15">
        <v>8791950</v>
      </c>
      <c r="J1302" s="19">
        <f t="shared" si="97"/>
        <v>1.1769273206513946</v>
      </c>
      <c r="K1302" s="19">
        <f t="shared" si="98"/>
        <v>460.88350000000003</v>
      </c>
      <c r="L1302" s="19">
        <f t="shared" si="101"/>
        <v>429.61940000000004</v>
      </c>
      <c r="M1302" s="19">
        <f>MAX(G1050:G1302)</f>
        <v>495.17</v>
      </c>
      <c r="N1302" s="19">
        <f t="shared" si="99"/>
        <v>0</v>
      </c>
      <c r="O1302" s="9" t="str">
        <f t="shared" si="100"/>
        <v>2024-12</v>
      </c>
    </row>
    <row r="1303" spans="1:15" x14ac:dyDescent="0.25">
      <c r="A1303" s="9" t="s">
        <v>314</v>
      </c>
      <c r="B1303" s="9" t="s">
        <v>45</v>
      </c>
      <c r="C1303" s="25" t="s">
        <v>299</v>
      </c>
      <c r="D1303" s="19">
        <v>495.17</v>
      </c>
      <c r="E1303" s="19">
        <v>497.39</v>
      </c>
      <c r="F1303" s="19">
        <v>482.77</v>
      </c>
      <c r="G1303" s="19">
        <v>488.53</v>
      </c>
      <c r="H1303" s="19">
        <v>488.53</v>
      </c>
      <c r="I1303" s="15">
        <v>10987230</v>
      </c>
      <c r="J1303" s="19">
        <f t="shared" si="97"/>
        <v>-1.3409536118908743</v>
      </c>
      <c r="K1303" s="19">
        <f t="shared" si="98"/>
        <v>464.03550000000007</v>
      </c>
      <c r="L1303" s="19">
        <f t="shared" si="101"/>
        <v>431.63760000000002</v>
      </c>
      <c r="M1303" s="19">
        <f>MAX(G1050:G1303)</f>
        <v>495.17</v>
      </c>
      <c r="N1303" s="19">
        <f t="shared" si="99"/>
        <v>-1.3409536118908743</v>
      </c>
      <c r="O1303" s="9" t="str">
        <f t="shared" si="100"/>
        <v>2024-12</v>
      </c>
    </row>
    <row r="1304" spans="1:15" x14ac:dyDescent="0.25">
      <c r="A1304" s="9" t="s">
        <v>314</v>
      </c>
      <c r="B1304" s="9" t="s">
        <v>45</v>
      </c>
      <c r="C1304" s="25" t="s">
        <v>300</v>
      </c>
      <c r="D1304" s="19">
        <v>488.53</v>
      </c>
      <c r="E1304" s="19">
        <v>491.12</v>
      </c>
      <c r="F1304" s="19">
        <v>478.35</v>
      </c>
      <c r="G1304" s="19">
        <v>479.63</v>
      </c>
      <c r="H1304" s="19">
        <v>479.63</v>
      </c>
      <c r="I1304" s="15">
        <v>10413284</v>
      </c>
      <c r="J1304" s="19">
        <f t="shared" si="97"/>
        <v>-1.821791906331234</v>
      </c>
      <c r="K1304" s="19">
        <f t="shared" si="98"/>
        <v>466.48599999999999</v>
      </c>
      <c r="L1304" s="19">
        <f t="shared" si="101"/>
        <v>433.42500000000007</v>
      </c>
      <c r="M1304" s="19">
        <f>MAX(G1050:G1304)</f>
        <v>495.17</v>
      </c>
      <c r="N1304" s="19">
        <f t="shared" si="99"/>
        <v>-3.1383161338530243</v>
      </c>
      <c r="O1304" s="9" t="str">
        <f t="shared" si="100"/>
        <v>2024-12</v>
      </c>
    </row>
    <row r="1305" spans="1:15" x14ac:dyDescent="0.25">
      <c r="A1305" s="9" t="s">
        <v>314</v>
      </c>
      <c r="B1305" s="9" t="s">
        <v>45</v>
      </c>
      <c r="C1305" s="25" t="s">
        <v>301</v>
      </c>
      <c r="D1305" s="19">
        <v>479.63</v>
      </c>
      <c r="E1305" s="19">
        <v>482.25</v>
      </c>
      <c r="F1305" s="19">
        <v>471.84</v>
      </c>
      <c r="G1305" s="19">
        <v>472.28</v>
      </c>
      <c r="H1305" s="19">
        <v>472.28</v>
      </c>
      <c r="I1305" s="15">
        <v>5956624</v>
      </c>
      <c r="J1305" s="19">
        <f t="shared" si="97"/>
        <v>-1.5324312490878433</v>
      </c>
      <c r="K1305" s="19">
        <f t="shared" si="98"/>
        <v>468.35649999999998</v>
      </c>
      <c r="L1305" s="19">
        <f t="shared" si="101"/>
        <v>435.16399999999999</v>
      </c>
      <c r="M1305" s="19">
        <f>MAX(G1050:G1305)</f>
        <v>495.17</v>
      </c>
      <c r="N1305" s="19">
        <f t="shared" si="99"/>
        <v>-4.6226548458105388</v>
      </c>
      <c r="O1305" s="9" t="str">
        <f t="shared" si="100"/>
        <v>2024-12</v>
      </c>
    </row>
    <row r="1306" spans="1:15" x14ac:dyDescent="0.25">
      <c r="A1306" s="9" t="s">
        <v>314</v>
      </c>
      <c r="B1306" s="9" t="s">
        <v>45</v>
      </c>
      <c r="C1306" s="25" t="s">
        <v>302</v>
      </c>
      <c r="D1306" s="19">
        <v>472.28</v>
      </c>
      <c r="E1306" s="19">
        <v>479.42</v>
      </c>
      <c r="F1306" s="19">
        <v>471.49</v>
      </c>
      <c r="G1306" s="19">
        <v>473.77</v>
      </c>
      <c r="H1306" s="19">
        <v>473.77</v>
      </c>
      <c r="I1306" s="15">
        <v>10032793</v>
      </c>
      <c r="J1306" s="19">
        <f t="shared" si="97"/>
        <v>0.3154908105361246</v>
      </c>
      <c r="K1306" s="19">
        <f t="shared" si="98"/>
        <v>470.16700000000003</v>
      </c>
      <c r="L1306" s="19">
        <f t="shared" si="101"/>
        <v>436.98180000000002</v>
      </c>
      <c r="M1306" s="19">
        <f>MAX(G1050:G1306)</f>
        <v>495.17</v>
      </c>
      <c r="N1306" s="19">
        <f t="shared" si="99"/>
        <v>-4.3217480865157487</v>
      </c>
      <c r="O1306" s="9" t="str">
        <f t="shared" si="100"/>
        <v>2024-12</v>
      </c>
    </row>
    <row r="1307" spans="1:15" x14ac:dyDescent="0.25">
      <c r="A1307" s="9" t="s">
        <v>314</v>
      </c>
      <c r="B1307" s="9" t="s">
        <v>45</v>
      </c>
      <c r="C1307" s="25" t="s">
        <v>303</v>
      </c>
      <c r="D1307" s="19">
        <v>473.77</v>
      </c>
      <c r="E1307" s="19">
        <v>475.57</v>
      </c>
      <c r="F1307" s="19">
        <v>469.87</v>
      </c>
      <c r="G1307" s="19">
        <v>475.26</v>
      </c>
      <c r="H1307" s="19">
        <v>475.26</v>
      </c>
      <c r="I1307" s="15">
        <v>5285867</v>
      </c>
      <c r="J1307" s="19">
        <f t="shared" si="97"/>
        <v>0.31449859636532684</v>
      </c>
      <c r="K1307" s="19">
        <f t="shared" si="98"/>
        <v>472.02350000000007</v>
      </c>
      <c r="L1307" s="19">
        <f t="shared" si="101"/>
        <v>438.90259999999995</v>
      </c>
      <c r="M1307" s="19">
        <f>MAX(G1050:G1307)</f>
        <v>495.17</v>
      </c>
      <c r="N1307" s="19">
        <f t="shared" si="99"/>
        <v>-4.0208413272209595</v>
      </c>
      <c r="O1307" s="9" t="str">
        <f t="shared" si="100"/>
        <v>2024-12</v>
      </c>
    </row>
    <row r="1308" spans="1:15" x14ac:dyDescent="0.25">
      <c r="A1308" s="9" t="s">
        <v>314</v>
      </c>
      <c r="B1308" s="9" t="s">
        <v>45</v>
      </c>
      <c r="C1308" s="25" t="s">
        <v>304</v>
      </c>
      <c r="D1308" s="19">
        <v>475.26</v>
      </c>
      <c r="E1308" s="19">
        <v>480.52</v>
      </c>
      <c r="F1308" s="19">
        <v>473.29</v>
      </c>
      <c r="G1308" s="19">
        <v>478.74</v>
      </c>
      <c r="H1308" s="19">
        <v>478.74</v>
      </c>
      <c r="I1308" s="15">
        <v>9785157</v>
      </c>
      <c r="J1308" s="19">
        <f t="shared" si="97"/>
        <v>0.73223077894205668</v>
      </c>
      <c r="K1308" s="19">
        <f t="shared" si="98"/>
        <v>473.69399999999996</v>
      </c>
      <c r="L1308" s="19">
        <f t="shared" si="101"/>
        <v>440.81679999999994</v>
      </c>
      <c r="M1308" s="19">
        <f>MAX(G1050:G1308)</f>
        <v>495.17</v>
      </c>
      <c r="N1308" s="19">
        <f t="shared" si="99"/>
        <v>-3.3180523860492368</v>
      </c>
      <c r="O1308" s="9" t="str">
        <f t="shared" si="100"/>
        <v>2024-12</v>
      </c>
    </row>
    <row r="1309" spans="1:15" x14ac:dyDescent="0.25">
      <c r="A1309" s="9" t="s">
        <v>314</v>
      </c>
      <c r="B1309" s="9" t="s">
        <v>45</v>
      </c>
      <c r="C1309" s="25" t="s">
        <v>305</v>
      </c>
      <c r="D1309" s="19">
        <v>478.74</v>
      </c>
      <c r="E1309" s="19">
        <v>483.18</v>
      </c>
      <c r="F1309" s="19">
        <v>477.38</v>
      </c>
      <c r="G1309" s="19">
        <v>479.83</v>
      </c>
      <c r="H1309" s="19">
        <v>479.83</v>
      </c>
      <c r="I1309" s="15">
        <v>4979588</v>
      </c>
      <c r="J1309" s="19">
        <f t="shared" si="97"/>
        <v>0.22768099594769078</v>
      </c>
      <c r="K1309" s="19">
        <f t="shared" si="98"/>
        <v>475.3044999999999</v>
      </c>
      <c r="L1309" s="19">
        <f t="shared" si="101"/>
        <v>442.65479999999997</v>
      </c>
      <c r="M1309" s="19">
        <f>MAX(G1050:G1309)</f>
        <v>495.17</v>
      </c>
      <c r="N1309" s="19">
        <f t="shared" si="99"/>
        <v>-3.0979259648201691</v>
      </c>
      <c r="O1309" s="9" t="str">
        <f t="shared" si="100"/>
        <v>2024-12</v>
      </c>
    </row>
    <row r="1310" spans="1:15" x14ac:dyDescent="0.25">
      <c r="A1310" s="9" t="s">
        <v>314</v>
      </c>
      <c r="B1310" s="9" t="s">
        <v>45</v>
      </c>
      <c r="C1310" s="25" t="s">
        <v>306</v>
      </c>
      <c r="D1310" s="19">
        <v>479.83</v>
      </c>
      <c r="E1310" s="19">
        <v>480.42</v>
      </c>
      <c r="F1310" s="19">
        <v>475.99</v>
      </c>
      <c r="G1310" s="19">
        <v>478.71</v>
      </c>
      <c r="H1310" s="19">
        <v>478.71</v>
      </c>
      <c r="I1310" s="15">
        <v>9439662</v>
      </c>
      <c r="J1310" s="19">
        <f t="shared" si="97"/>
        <v>-0.23341600150053238</v>
      </c>
      <c r="K1310" s="19">
        <f t="shared" si="98"/>
        <v>476.2949999999999</v>
      </c>
      <c r="L1310" s="19">
        <f t="shared" si="101"/>
        <v>444.53</v>
      </c>
      <c r="M1310" s="19">
        <f>MAX(G1050:G1310)</f>
        <v>495.17</v>
      </c>
      <c r="N1310" s="19">
        <f t="shared" si="99"/>
        <v>-3.3241109114041709</v>
      </c>
      <c r="O1310" s="9" t="str">
        <f t="shared" si="100"/>
        <v>2024-12</v>
      </c>
    </row>
    <row r="1311" spans="1:15" x14ac:dyDescent="0.25">
      <c r="A1311" s="9" t="s">
        <v>314</v>
      </c>
      <c r="B1311" s="9" t="s">
        <v>45</v>
      </c>
      <c r="C1311" s="25" t="s">
        <v>307</v>
      </c>
      <c r="D1311" s="19">
        <v>478.71</v>
      </c>
      <c r="E1311" s="19">
        <v>479.84</v>
      </c>
      <c r="F1311" s="19">
        <v>476.11</v>
      </c>
      <c r="G1311" s="19">
        <v>478.06</v>
      </c>
      <c r="H1311" s="19">
        <v>478.06</v>
      </c>
      <c r="I1311" s="15">
        <v>13012262</v>
      </c>
      <c r="J1311" s="19">
        <f t="shared" si="97"/>
        <v>-0.13578157966200355</v>
      </c>
      <c r="K1311" s="19">
        <f t="shared" si="98"/>
        <v>477.12149999999991</v>
      </c>
      <c r="L1311" s="19">
        <f t="shared" si="101"/>
        <v>446.19240000000008</v>
      </c>
      <c r="M1311" s="19">
        <f>MAX(G1050:G1311)</f>
        <v>495.17</v>
      </c>
      <c r="N1311" s="19">
        <f t="shared" si="99"/>
        <v>-3.4553789607609535</v>
      </c>
      <c r="O1311" s="9" t="str">
        <f t="shared" si="100"/>
        <v>2024-12</v>
      </c>
    </row>
    <row r="1312" spans="1:15" x14ac:dyDescent="0.25">
      <c r="A1312" s="9" t="s">
        <v>315</v>
      </c>
      <c r="B1312" s="9" t="s">
        <v>45</v>
      </c>
      <c r="C1312" s="25" t="s">
        <v>46</v>
      </c>
      <c r="D1312" s="19">
        <v>480</v>
      </c>
      <c r="E1312" s="19">
        <v>480.63</v>
      </c>
      <c r="F1312" s="19">
        <v>464.4</v>
      </c>
      <c r="G1312" s="19">
        <v>465.04</v>
      </c>
      <c r="H1312" s="19">
        <v>465.04</v>
      </c>
      <c r="I1312" s="15">
        <v>8291506</v>
      </c>
      <c r="J1312" s="19"/>
      <c r="K1312" s="19"/>
      <c r="L1312" s="19"/>
      <c r="M1312" s="19">
        <f>MAX(G1312:G1312)</f>
        <v>465.04</v>
      </c>
      <c r="N1312" s="19">
        <f t="shared" si="99"/>
        <v>0</v>
      </c>
      <c r="O1312" s="9" t="str">
        <f t="shared" si="100"/>
        <v>2024-01</v>
      </c>
    </row>
    <row r="1313" spans="1:15" x14ac:dyDescent="0.25">
      <c r="A1313" s="9" t="s">
        <v>315</v>
      </c>
      <c r="B1313" s="9" t="s">
        <v>45</v>
      </c>
      <c r="C1313" s="25" t="s">
        <v>47</v>
      </c>
      <c r="D1313" s="19">
        <v>465.04</v>
      </c>
      <c r="E1313" s="19">
        <v>466.28</v>
      </c>
      <c r="F1313" s="19">
        <v>456.73</v>
      </c>
      <c r="G1313" s="19">
        <v>458.16</v>
      </c>
      <c r="H1313" s="19">
        <v>458.16</v>
      </c>
      <c r="I1313" s="15">
        <v>12446473</v>
      </c>
      <c r="J1313" s="19">
        <f t="shared" ref="J1313:J1376" si="102">IFERROR((G1313-G1312)/G1312*100,"")</f>
        <v>-1.479442628591088</v>
      </c>
      <c r="K1313" s="19"/>
      <c r="L1313" s="19"/>
      <c r="M1313" s="19">
        <f>MAX(G1312:G1313)</f>
        <v>465.04</v>
      </c>
      <c r="N1313" s="19">
        <f t="shared" si="99"/>
        <v>-1.479442628591088</v>
      </c>
      <c r="O1313" s="9" t="str">
        <f t="shared" si="100"/>
        <v>2024-01</v>
      </c>
    </row>
    <row r="1314" spans="1:15" x14ac:dyDescent="0.25">
      <c r="A1314" s="9" t="s">
        <v>315</v>
      </c>
      <c r="B1314" s="9" t="s">
        <v>45</v>
      </c>
      <c r="C1314" s="25" t="s">
        <v>48</v>
      </c>
      <c r="D1314" s="19">
        <v>458.16</v>
      </c>
      <c r="E1314" s="19">
        <v>458.34</v>
      </c>
      <c r="F1314" s="19">
        <v>447.79</v>
      </c>
      <c r="G1314" s="19">
        <v>448.17</v>
      </c>
      <c r="H1314" s="19">
        <v>448.17</v>
      </c>
      <c r="I1314" s="15">
        <v>8318234</v>
      </c>
      <c r="J1314" s="19">
        <f t="shared" si="102"/>
        <v>-2.1804609743321128</v>
      </c>
      <c r="K1314" s="19"/>
      <c r="L1314" s="19"/>
      <c r="M1314" s="19">
        <f>MAX(G1312:G1314)</f>
        <v>465.04</v>
      </c>
      <c r="N1314" s="19">
        <f t="shared" si="99"/>
        <v>-3.627644933769139</v>
      </c>
      <c r="O1314" s="9" t="str">
        <f t="shared" si="100"/>
        <v>2024-01</v>
      </c>
    </row>
    <row r="1315" spans="1:15" x14ac:dyDescent="0.25">
      <c r="A1315" s="9" t="s">
        <v>315</v>
      </c>
      <c r="B1315" s="9" t="s">
        <v>45</v>
      </c>
      <c r="C1315" s="25" t="s">
        <v>49</v>
      </c>
      <c r="D1315" s="19">
        <v>448.17</v>
      </c>
      <c r="E1315" s="19">
        <v>451.42</v>
      </c>
      <c r="F1315" s="19">
        <v>423.34</v>
      </c>
      <c r="G1315" s="19">
        <v>425.71</v>
      </c>
      <c r="H1315" s="19">
        <v>425.71</v>
      </c>
      <c r="I1315" s="15">
        <v>23579857</v>
      </c>
      <c r="J1315" s="19">
        <f t="shared" si="102"/>
        <v>-5.0114911752236955</v>
      </c>
      <c r="K1315" s="19"/>
      <c r="L1315" s="19"/>
      <c r="M1315" s="19">
        <f>MAX(G1312:G1315)</f>
        <v>465.04</v>
      </c>
      <c r="N1315" s="19">
        <f t="shared" si="99"/>
        <v>-8.4573370032685453</v>
      </c>
      <c r="O1315" s="9" t="str">
        <f t="shared" si="100"/>
        <v>2024-01</v>
      </c>
    </row>
    <row r="1316" spans="1:15" x14ac:dyDescent="0.25">
      <c r="A1316" s="9" t="s">
        <v>315</v>
      </c>
      <c r="B1316" s="9" t="s">
        <v>45</v>
      </c>
      <c r="C1316" s="25" t="s">
        <v>50</v>
      </c>
      <c r="D1316" s="19">
        <v>425.71</v>
      </c>
      <c r="E1316" s="19">
        <v>431.47</v>
      </c>
      <c r="F1316" s="19">
        <v>420.35</v>
      </c>
      <c r="G1316" s="19">
        <v>430.01</v>
      </c>
      <c r="H1316" s="19">
        <v>430.01</v>
      </c>
      <c r="I1316" s="15">
        <v>10653441</v>
      </c>
      <c r="J1316" s="19">
        <f t="shared" si="102"/>
        <v>1.0100772826572106</v>
      </c>
      <c r="K1316" s="19"/>
      <c r="L1316" s="19"/>
      <c r="M1316" s="19">
        <f>MAX(G1312:G1316)</f>
        <v>465.04</v>
      </c>
      <c r="N1316" s="19">
        <f t="shared" si="99"/>
        <v>-7.5326853603991122</v>
      </c>
      <c r="O1316" s="9" t="str">
        <f t="shared" si="100"/>
        <v>2024-01</v>
      </c>
    </row>
    <row r="1317" spans="1:15" x14ac:dyDescent="0.25">
      <c r="A1317" s="9" t="s">
        <v>315</v>
      </c>
      <c r="B1317" s="9" t="s">
        <v>45</v>
      </c>
      <c r="C1317" s="25" t="s">
        <v>51</v>
      </c>
      <c r="D1317" s="19">
        <v>430.01</v>
      </c>
      <c r="E1317" s="19">
        <v>431.82</v>
      </c>
      <c r="F1317" s="19">
        <v>428.29</v>
      </c>
      <c r="G1317" s="19">
        <v>429.08</v>
      </c>
      <c r="H1317" s="19">
        <v>429.08</v>
      </c>
      <c r="I1317" s="15">
        <v>7200685</v>
      </c>
      <c r="J1317" s="19">
        <f t="shared" si="102"/>
        <v>-0.21627404013860302</v>
      </c>
      <c r="K1317" s="19"/>
      <c r="L1317" s="19"/>
      <c r="M1317" s="19">
        <f>MAX(G1312:G1317)</f>
        <v>465.04</v>
      </c>
      <c r="N1317" s="19">
        <f t="shared" si="99"/>
        <v>-7.7326681575778506</v>
      </c>
      <c r="O1317" s="9" t="str">
        <f t="shared" si="100"/>
        <v>2024-01</v>
      </c>
    </row>
    <row r="1318" spans="1:15" x14ac:dyDescent="0.25">
      <c r="A1318" s="9" t="s">
        <v>315</v>
      </c>
      <c r="B1318" s="9" t="s">
        <v>45</v>
      </c>
      <c r="C1318" s="25" t="s">
        <v>52</v>
      </c>
      <c r="D1318" s="19">
        <v>429.08</v>
      </c>
      <c r="E1318" s="19">
        <v>431.18</v>
      </c>
      <c r="F1318" s="19">
        <v>425.56</v>
      </c>
      <c r="G1318" s="19">
        <v>425.81</v>
      </c>
      <c r="H1318" s="19">
        <v>425.81</v>
      </c>
      <c r="I1318" s="15">
        <v>11700733</v>
      </c>
      <c r="J1318" s="19">
        <f t="shared" si="102"/>
        <v>-0.76209564649948303</v>
      </c>
      <c r="K1318" s="19"/>
      <c r="L1318" s="19"/>
      <c r="M1318" s="19">
        <f>MAX(G1312:G1318)</f>
        <v>465.04</v>
      </c>
      <c r="N1318" s="19">
        <f t="shared" si="99"/>
        <v>-8.4358334766901812</v>
      </c>
      <c r="O1318" s="9" t="str">
        <f t="shared" si="100"/>
        <v>2024-01</v>
      </c>
    </row>
    <row r="1319" spans="1:15" x14ac:dyDescent="0.25">
      <c r="A1319" s="9" t="s">
        <v>315</v>
      </c>
      <c r="B1319" s="9" t="s">
        <v>45</v>
      </c>
      <c r="C1319" s="25" t="s">
        <v>53</v>
      </c>
      <c r="D1319" s="19">
        <v>425.81</v>
      </c>
      <c r="E1319" s="19">
        <v>428.17</v>
      </c>
      <c r="F1319" s="19">
        <v>405.86</v>
      </c>
      <c r="G1319" s="19">
        <v>408.7</v>
      </c>
      <c r="H1319" s="19">
        <v>408.7</v>
      </c>
      <c r="I1319" s="15">
        <v>9029523</v>
      </c>
      <c r="J1319" s="19">
        <f t="shared" si="102"/>
        <v>-4.0182240905568243</v>
      </c>
      <c r="K1319" s="19"/>
      <c r="L1319" s="19"/>
      <c r="M1319" s="19">
        <f>MAX(G1312:G1319)</f>
        <v>465.04</v>
      </c>
      <c r="N1319" s="19">
        <f t="shared" si="99"/>
        <v>-12.115086874247382</v>
      </c>
      <c r="O1319" s="9" t="str">
        <f t="shared" si="100"/>
        <v>2024-01</v>
      </c>
    </row>
    <row r="1320" spans="1:15" x14ac:dyDescent="0.25">
      <c r="A1320" s="9" t="s">
        <v>315</v>
      </c>
      <c r="B1320" s="9" t="s">
        <v>45</v>
      </c>
      <c r="C1320" s="25" t="s">
        <v>54</v>
      </c>
      <c r="D1320" s="19">
        <v>408.7</v>
      </c>
      <c r="E1320" s="19">
        <v>413.83</v>
      </c>
      <c r="F1320" s="19">
        <v>407.35</v>
      </c>
      <c r="G1320" s="19">
        <v>413.62</v>
      </c>
      <c r="H1320" s="19">
        <v>413.62</v>
      </c>
      <c r="I1320" s="15">
        <v>7382453</v>
      </c>
      <c r="J1320" s="19">
        <f t="shared" si="102"/>
        <v>1.2038169806704224</v>
      </c>
      <c r="K1320" s="19"/>
      <c r="L1320" s="19"/>
      <c r="M1320" s="19">
        <f>MAX(G1312:G1320)</f>
        <v>465.04</v>
      </c>
      <c r="N1320" s="19">
        <f t="shared" si="99"/>
        <v>-11.057113366592123</v>
      </c>
      <c r="O1320" s="9" t="str">
        <f t="shared" si="100"/>
        <v>2024-01</v>
      </c>
    </row>
    <row r="1321" spans="1:15" x14ac:dyDescent="0.25">
      <c r="A1321" s="9" t="s">
        <v>315</v>
      </c>
      <c r="B1321" s="9" t="s">
        <v>45</v>
      </c>
      <c r="C1321" s="25" t="s">
        <v>55</v>
      </c>
      <c r="D1321" s="19">
        <v>413.62</v>
      </c>
      <c r="E1321" s="19">
        <v>415.18</v>
      </c>
      <c r="F1321" s="19">
        <v>399.75</v>
      </c>
      <c r="G1321" s="19">
        <v>401.56</v>
      </c>
      <c r="H1321" s="19">
        <v>401.56</v>
      </c>
      <c r="I1321" s="15">
        <v>12909570</v>
      </c>
      <c r="J1321" s="19">
        <f t="shared" si="102"/>
        <v>-2.9157197427590544</v>
      </c>
      <c r="K1321" s="19"/>
      <c r="L1321" s="19"/>
      <c r="M1321" s="19">
        <f>MAX(G1312:G1321)</f>
        <v>465.04</v>
      </c>
      <c r="N1321" s="19">
        <f t="shared" si="99"/>
        <v>-13.650438671942203</v>
      </c>
      <c r="O1321" s="9" t="str">
        <f t="shared" si="100"/>
        <v>2024-01</v>
      </c>
    </row>
    <row r="1322" spans="1:15" x14ac:dyDescent="0.25">
      <c r="A1322" s="9" t="s">
        <v>315</v>
      </c>
      <c r="B1322" s="9" t="s">
        <v>45</v>
      </c>
      <c r="C1322" s="25" t="s">
        <v>56</v>
      </c>
      <c r="D1322" s="19">
        <v>401.56</v>
      </c>
      <c r="E1322" s="19">
        <v>409.35</v>
      </c>
      <c r="F1322" s="19">
        <v>400.46</v>
      </c>
      <c r="G1322" s="19">
        <v>408.86</v>
      </c>
      <c r="H1322" s="19">
        <v>408.86</v>
      </c>
      <c r="I1322" s="15">
        <v>6896245</v>
      </c>
      <c r="J1322" s="19">
        <f t="shared" si="102"/>
        <v>1.8179101504133905</v>
      </c>
      <c r="K1322" s="19"/>
      <c r="L1322" s="19"/>
      <c r="M1322" s="19">
        <f>MAX(G1312:G1322)</f>
        <v>465.04</v>
      </c>
      <c r="N1322" s="19">
        <f t="shared" si="99"/>
        <v>-12.080681231722004</v>
      </c>
      <c r="O1322" s="9" t="str">
        <f t="shared" si="100"/>
        <v>2024-01</v>
      </c>
    </row>
    <row r="1323" spans="1:15" x14ac:dyDescent="0.25">
      <c r="A1323" s="9" t="s">
        <v>315</v>
      </c>
      <c r="B1323" s="9" t="s">
        <v>45</v>
      </c>
      <c r="C1323" s="25" t="s">
        <v>57</v>
      </c>
      <c r="D1323" s="19">
        <v>408.86</v>
      </c>
      <c r="E1323" s="19">
        <v>412.48</v>
      </c>
      <c r="F1323" s="19">
        <v>408.16</v>
      </c>
      <c r="G1323" s="19">
        <v>411.07</v>
      </c>
      <c r="H1323" s="19">
        <v>411.07</v>
      </c>
      <c r="I1323" s="15">
        <v>6162533</v>
      </c>
      <c r="J1323" s="19">
        <f t="shared" si="102"/>
        <v>0.54052731986498548</v>
      </c>
      <c r="K1323" s="19"/>
      <c r="L1323" s="19"/>
      <c r="M1323" s="19">
        <f>MAX(G1312:G1323)</f>
        <v>465.04</v>
      </c>
      <c r="N1323" s="19">
        <f t="shared" si="99"/>
        <v>-11.605453294340277</v>
      </c>
      <c r="O1323" s="9" t="str">
        <f t="shared" si="100"/>
        <v>2024-01</v>
      </c>
    </row>
    <row r="1324" spans="1:15" x14ac:dyDescent="0.25">
      <c r="A1324" s="9" t="s">
        <v>315</v>
      </c>
      <c r="B1324" s="9" t="s">
        <v>45</v>
      </c>
      <c r="C1324" s="25" t="s">
        <v>58</v>
      </c>
      <c r="D1324" s="19">
        <v>411.07</v>
      </c>
      <c r="E1324" s="19">
        <v>423.81</v>
      </c>
      <c r="F1324" s="19">
        <v>409.77</v>
      </c>
      <c r="G1324" s="19">
        <v>421.22</v>
      </c>
      <c r="H1324" s="19">
        <v>421.22</v>
      </c>
      <c r="I1324" s="15">
        <v>10094622</v>
      </c>
      <c r="J1324" s="19">
        <f t="shared" si="102"/>
        <v>2.4691658355024777</v>
      </c>
      <c r="K1324" s="19"/>
      <c r="L1324" s="19"/>
      <c r="M1324" s="19">
        <f>MAX(G1312:G1324)</f>
        <v>465.04</v>
      </c>
      <c r="N1324" s="19">
        <f t="shared" si="99"/>
        <v>-9.422845346636846</v>
      </c>
      <c r="O1324" s="9" t="str">
        <f t="shared" si="100"/>
        <v>2024-01</v>
      </c>
    </row>
    <row r="1325" spans="1:15" x14ac:dyDescent="0.25">
      <c r="A1325" s="9" t="s">
        <v>315</v>
      </c>
      <c r="B1325" s="9" t="s">
        <v>45</v>
      </c>
      <c r="C1325" s="25" t="s">
        <v>59</v>
      </c>
      <c r="D1325" s="19">
        <v>421.22</v>
      </c>
      <c r="E1325" s="19">
        <v>424.51</v>
      </c>
      <c r="F1325" s="19">
        <v>408.96</v>
      </c>
      <c r="G1325" s="19">
        <v>411.78</v>
      </c>
      <c r="H1325" s="19">
        <v>411.78</v>
      </c>
      <c r="I1325" s="15">
        <v>9982216</v>
      </c>
      <c r="J1325" s="19">
        <f t="shared" si="102"/>
        <v>-2.2411091591092669</v>
      </c>
      <c r="K1325" s="19"/>
      <c r="L1325" s="19"/>
      <c r="M1325" s="19">
        <f>MAX(G1312:G1325)</f>
        <v>465.04</v>
      </c>
      <c r="N1325" s="19">
        <f t="shared" si="99"/>
        <v>-11.452778255633934</v>
      </c>
      <c r="O1325" s="9" t="str">
        <f t="shared" si="100"/>
        <v>2024-01</v>
      </c>
    </row>
    <row r="1326" spans="1:15" x14ac:dyDescent="0.25">
      <c r="A1326" s="9" t="s">
        <v>315</v>
      </c>
      <c r="B1326" s="9" t="s">
        <v>45</v>
      </c>
      <c r="C1326" s="25" t="s">
        <v>60</v>
      </c>
      <c r="D1326" s="19">
        <v>411.78</v>
      </c>
      <c r="E1326" s="19">
        <v>435.14</v>
      </c>
      <c r="F1326" s="19">
        <v>411.75</v>
      </c>
      <c r="G1326" s="19">
        <v>434.46</v>
      </c>
      <c r="H1326" s="19">
        <v>434.46</v>
      </c>
      <c r="I1326" s="15">
        <v>16617652</v>
      </c>
      <c r="J1326" s="19">
        <f t="shared" si="102"/>
        <v>5.507795424741369</v>
      </c>
      <c r="K1326" s="19"/>
      <c r="L1326" s="19"/>
      <c r="M1326" s="19">
        <f>MAX(G1312:G1326)</f>
        <v>465.04</v>
      </c>
      <c r="N1326" s="19">
        <f t="shared" si="99"/>
        <v>-6.5757784276621445</v>
      </c>
      <c r="O1326" s="9" t="str">
        <f t="shared" si="100"/>
        <v>2024-01</v>
      </c>
    </row>
    <row r="1327" spans="1:15" x14ac:dyDescent="0.25">
      <c r="A1327" s="9" t="s">
        <v>315</v>
      </c>
      <c r="B1327" s="9" t="s">
        <v>45</v>
      </c>
      <c r="C1327" s="25" t="s">
        <v>61</v>
      </c>
      <c r="D1327" s="19">
        <v>434.46</v>
      </c>
      <c r="E1327" s="19">
        <v>435.58</v>
      </c>
      <c r="F1327" s="19">
        <v>419.06</v>
      </c>
      <c r="G1327" s="19">
        <v>419.43</v>
      </c>
      <c r="H1327" s="19">
        <v>419.43</v>
      </c>
      <c r="I1327" s="15">
        <v>4681049</v>
      </c>
      <c r="J1327" s="19">
        <f t="shared" si="102"/>
        <v>-3.4594669244579412</v>
      </c>
      <c r="K1327" s="19"/>
      <c r="L1327" s="19"/>
      <c r="M1327" s="19">
        <f>MAX(G1312:G1327)</f>
        <v>465.04</v>
      </c>
      <c r="N1327" s="19">
        <f t="shared" si="99"/>
        <v>-9.8077584723894748</v>
      </c>
      <c r="O1327" s="9" t="str">
        <f t="shared" si="100"/>
        <v>2024-01</v>
      </c>
    </row>
    <row r="1328" spans="1:15" x14ac:dyDescent="0.25">
      <c r="A1328" s="9" t="s">
        <v>315</v>
      </c>
      <c r="B1328" s="9" t="s">
        <v>45</v>
      </c>
      <c r="C1328" s="25" t="s">
        <v>62</v>
      </c>
      <c r="D1328" s="19">
        <v>419.43</v>
      </c>
      <c r="E1328" s="19">
        <v>427.08</v>
      </c>
      <c r="F1328" s="19">
        <v>419.39</v>
      </c>
      <c r="G1328" s="19">
        <v>425.8</v>
      </c>
      <c r="H1328" s="19">
        <v>425.8</v>
      </c>
      <c r="I1328" s="15">
        <v>5632018</v>
      </c>
      <c r="J1328" s="19">
        <f t="shared" si="102"/>
        <v>1.5187277972486481</v>
      </c>
      <c r="K1328" s="19"/>
      <c r="L1328" s="19"/>
      <c r="M1328" s="19">
        <f>MAX(G1312:G1328)</f>
        <v>465.04</v>
      </c>
      <c r="N1328" s="19">
        <f t="shared" si="99"/>
        <v>-8.4379838293480134</v>
      </c>
      <c r="O1328" s="9" t="str">
        <f t="shared" si="100"/>
        <v>2024-01</v>
      </c>
    </row>
    <row r="1329" spans="1:15" x14ac:dyDescent="0.25">
      <c r="A1329" s="9" t="s">
        <v>315</v>
      </c>
      <c r="B1329" s="9" t="s">
        <v>45</v>
      </c>
      <c r="C1329" s="25" t="s">
        <v>63</v>
      </c>
      <c r="D1329" s="19">
        <v>425.8</v>
      </c>
      <c r="E1329" s="19">
        <v>434.94</v>
      </c>
      <c r="F1329" s="19">
        <v>424.96</v>
      </c>
      <c r="G1329" s="19">
        <v>434.86</v>
      </c>
      <c r="H1329" s="19">
        <v>434.86</v>
      </c>
      <c r="I1329" s="15">
        <v>11247060</v>
      </c>
      <c r="J1329" s="19">
        <f t="shared" si="102"/>
        <v>2.1277595115077506</v>
      </c>
      <c r="K1329" s="19"/>
      <c r="L1329" s="19"/>
      <c r="M1329" s="19">
        <f>MAX(G1312:G1329)</f>
        <v>465.04</v>
      </c>
      <c r="N1329" s="19">
        <f t="shared" si="99"/>
        <v>-6.4897643213487024</v>
      </c>
      <c r="O1329" s="9" t="str">
        <f t="shared" si="100"/>
        <v>2024-01</v>
      </c>
    </row>
    <row r="1330" spans="1:15" x14ac:dyDescent="0.25">
      <c r="A1330" s="9" t="s">
        <v>315</v>
      </c>
      <c r="B1330" s="9" t="s">
        <v>45</v>
      </c>
      <c r="C1330" s="25" t="s">
        <v>64</v>
      </c>
      <c r="D1330" s="19">
        <v>434.86</v>
      </c>
      <c r="E1330" s="19">
        <v>436</v>
      </c>
      <c r="F1330" s="19">
        <v>403.99</v>
      </c>
      <c r="G1330" s="19">
        <v>406.29</v>
      </c>
      <c r="H1330" s="19">
        <v>406.29</v>
      </c>
      <c r="I1330" s="15">
        <v>30601303</v>
      </c>
      <c r="J1330" s="19">
        <f t="shared" si="102"/>
        <v>-6.5699305523616776</v>
      </c>
      <c r="K1330" s="19"/>
      <c r="L1330" s="19"/>
      <c r="M1330" s="19">
        <f>MAX(G1312:G1330)</f>
        <v>465.04</v>
      </c>
      <c r="N1330" s="19">
        <f t="shared" si="99"/>
        <v>-12.633321864785824</v>
      </c>
      <c r="O1330" s="9" t="str">
        <f t="shared" si="100"/>
        <v>2024-01</v>
      </c>
    </row>
    <row r="1331" spans="1:15" x14ac:dyDescent="0.25">
      <c r="A1331" s="9" t="s">
        <v>315</v>
      </c>
      <c r="B1331" s="9" t="s">
        <v>45</v>
      </c>
      <c r="C1331" s="25" t="s">
        <v>65</v>
      </c>
      <c r="D1331" s="19">
        <v>406.29</v>
      </c>
      <c r="E1331" s="19">
        <v>409.31</v>
      </c>
      <c r="F1331" s="19">
        <v>399.03</v>
      </c>
      <c r="G1331" s="19">
        <v>399.35</v>
      </c>
      <c r="H1331" s="19">
        <v>399.35</v>
      </c>
      <c r="I1331" s="15">
        <v>8443584</v>
      </c>
      <c r="J1331" s="19">
        <f t="shared" si="102"/>
        <v>-1.7081395062639979</v>
      </c>
      <c r="K1331" s="19">
        <f t="shared" ref="K1331:K1394" si="103">AVERAGE(G1312:G1331)</f>
        <v>423.94899999999996</v>
      </c>
      <c r="L1331" s="19"/>
      <c r="M1331" s="19">
        <f>MAX(G1312:G1331)</f>
        <v>465.04</v>
      </c>
      <c r="N1331" s="19">
        <f t="shared" si="99"/>
        <v>-14.125666609323929</v>
      </c>
      <c r="O1331" s="9" t="str">
        <f t="shared" si="100"/>
        <v>2024-01</v>
      </c>
    </row>
    <row r="1332" spans="1:15" x14ac:dyDescent="0.25">
      <c r="A1332" s="9" t="s">
        <v>315</v>
      </c>
      <c r="B1332" s="9" t="s">
        <v>45</v>
      </c>
      <c r="C1332" s="25" t="s">
        <v>66</v>
      </c>
      <c r="D1332" s="19">
        <v>399.35</v>
      </c>
      <c r="E1332" s="19">
        <v>404.98</v>
      </c>
      <c r="F1332" s="19">
        <v>396.45</v>
      </c>
      <c r="G1332" s="19">
        <v>404.08</v>
      </c>
      <c r="H1332" s="19">
        <v>404.08</v>
      </c>
      <c r="I1332" s="15">
        <v>9528924</v>
      </c>
      <c r="J1332" s="19">
        <f t="shared" si="102"/>
        <v>1.1844246901214377</v>
      </c>
      <c r="K1332" s="19">
        <f t="shared" si="103"/>
        <v>420.90100000000001</v>
      </c>
      <c r="L1332" s="19"/>
      <c r="M1332" s="19">
        <f>MAX(G1312:G1332)</f>
        <v>465.04</v>
      </c>
      <c r="N1332" s="19">
        <f t="shared" si="99"/>
        <v>-13.108549802167563</v>
      </c>
      <c r="O1332" s="9" t="str">
        <f t="shared" si="100"/>
        <v>2024-01</v>
      </c>
    </row>
    <row r="1333" spans="1:15" x14ac:dyDescent="0.25">
      <c r="A1333" s="9" t="s">
        <v>315</v>
      </c>
      <c r="B1333" s="9" t="s">
        <v>45</v>
      </c>
      <c r="C1333" s="25" t="s">
        <v>67</v>
      </c>
      <c r="D1333" s="19">
        <v>404.08</v>
      </c>
      <c r="E1333" s="19">
        <v>408.64</v>
      </c>
      <c r="F1333" s="19">
        <v>402.2</v>
      </c>
      <c r="G1333" s="19">
        <v>408.23</v>
      </c>
      <c r="H1333" s="19">
        <v>408.23</v>
      </c>
      <c r="I1333" s="15">
        <v>7142203</v>
      </c>
      <c r="J1333" s="19">
        <f t="shared" si="102"/>
        <v>1.0270243516135504</v>
      </c>
      <c r="K1333" s="19">
        <f t="shared" si="103"/>
        <v>418.40449999999998</v>
      </c>
      <c r="L1333" s="19"/>
      <c r="M1333" s="19">
        <f>MAX(G1312:G1333)</f>
        <v>465.04</v>
      </c>
      <c r="N1333" s="19">
        <f t="shared" si="99"/>
        <v>-12.216153449165663</v>
      </c>
      <c r="O1333" s="9" t="str">
        <f t="shared" si="100"/>
        <v>2024-01</v>
      </c>
    </row>
    <row r="1334" spans="1:15" x14ac:dyDescent="0.25">
      <c r="A1334" s="9" t="s">
        <v>315</v>
      </c>
      <c r="B1334" s="9" t="s">
        <v>45</v>
      </c>
      <c r="C1334" s="25" t="s">
        <v>68</v>
      </c>
      <c r="D1334" s="19">
        <v>408.23</v>
      </c>
      <c r="E1334" s="19">
        <v>421.67</v>
      </c>
      <c r="F1334" s="19">
        <v>407.78</v>
      </c>
      <c r="G1334" s="19">
        <v>421.17</v>
      </c>
      <c r="H1334" s="19">
        <v>421.17</v>
      </c>
      <c r="I1334" s="15">
        <v>7278932</v>
      </c>
      <c r="J1334" s="19">
        <f t="shared" si="102"/>
        <v>3.169781740685397</v>
      </c>
      <c r="K1334" s="19">
        <f t="shared" si="103"/>
        <v>417.05450000000002</v>
      </c>
      <c r="L1334" s="19"/>
      <c r="M1334" s="19">
        <f>MAX(G1312:G1334)</f>
        <v>465.04</v>
      </c>
      <c r="N1334" s="19">
        <f t="shared" si="99"/>
        <v>-9.4335971099260281</v>
      </c>
      <c r="O1334" s="9" t="str">
        <f t="shared" si="100"/>
        <v>2024-01</v>
      </c>
    </row>
    <row r="1335" spans="1:15" x14ac:dyDescent="0.25">
      <c r="A1335" s="9" t="s">
        <v>315</v>
      </c>
      <c r="B1335" s="9" t="s">
        <v>45</v>
      </c>
      <c r="C1335" s="25" t="s">
        <v>69</v>
      </c>
      <c r="D1335" s="19">
        <v>421.17</v>
      </c>
      <c r="E1335" s="19">
        <v>447.31</v>
      </c>
      <c r="F1335" s="19">
        <v>420.64</v>
      </c>
      <c r="G1335" s="19">
        <v>445.5</v>
      </c>
      <c r="H1335" s="19">
        <v>445.5</v>
      </c>
      <c r="I1335" s="15">
        <v>27573885</v>
      </c>
      <c r="J1335" s="19">
        <f t="shared" si="102"/>
        <v>5.7767647268323916</v>
      </c>
      <c r="K1335" s="19">
        <f t="shared" si="103"/>
        <v>418.04400000000004</v>
      </c>
      <c r="L1335" s="19"/>
      <c r="M1335" s="19">
        <f>MAX(G1312:G1335)</f>
        <v>465.04</v>
      </c>
      <c r="N1335" s="19">
        <f t="shared" si="99"/>
        <v>-4.2017890934113229</v>
      </c>
      <c r="O1335" s="9" t="str">
        <f t="shared" si="100"/>
        <v>2024-02</v>
      </c>
    </row>
    <row r="1336" spans="1:15" x14ac:dyDescent="0.25">
      <c r="A1336" s="9" t="s">
        <v>315</v>
      </c>
      <c r="B1336" s="9" t="s">
        <v>45</v>
      </c>
      <c r="C1336" s="25" t="s">
        <v>70</v>
      </c>
      <c r="D1336" s="19">
        <v>445.5</v>
      </c>
      <c r="E1336" s="19">
        <v>445.61</v>
      </c>
      <c r="F1336" s="19">
        <v>443.62</v>
      </c>
      <c r="G1336" s="19">
        <v>443.83</v>
      </c>
      <c r="H1336" s="19">
        <v>443.83</v>
      </c>
      <c r="I1336" s="15">
        <v>5969366</v>
      </c>
      <c r="J1336" s="19">
        <f t="shared" si="102"/>
        <v>-0.37485970819304509</v>
      </c>
      <c r="K1336" s="19">
        <f t="shared" si="103"/>
        <v>418.73500000000001</v>
      </c>
      <c r="L1336" s="19"/>
      <c r="M1336" s="19">
        <f>MAX(G1312:G1336)</f>
        <v>465.04</v>
      </c>
      <c r="N1336" s="19">
        <f t="shared" si="99"/>
        <v>-4.5608979872699198</v>
      </c>
      <c r="O1336" s="9" t="str">
        <f t="shared" si="100"/>
        <v>2024-02</v>
      </c>
    </row>
    <row r="1337" spans="1:15" x14ac:dyDescent="0.25">
      <c r="A1337" s="9" t="s">
        <v>315</v>
      </c>
      <c r="B1337" s="9" t="s">
        <v>45</v>
      </c>
      <c r="C1337" s="25" t="s">
        <v>71</v>
      </c>
      <c r="D1337" s="19">
        <v>443.83</v>
      </c>
      <c r="E1337" s="19">
        <v>444.57</v>
      </c>
      <c r="F1337" s="19">
        <v>434.53</v>
      </c>
      <c r="G1337" s="19">
        <v>435.74</v>
      </c>
      <c r="H1337" s="19">
        <v>435.74</v>
      </c>
      <c r="I1337" s="15">
        <v>8297333</v>
      </c>
      <c r="J1337" s="19">
        <f t="shared" si="102"/>
        <v>-1.8227699794966485</v>
      </c>
      <c r="K1337" s="19">
        <f t="shared" si="103"/>
        <v>419.06800000000004</v>
      </c>
      <c r="L1337" s="19"/>
      <c r="M1337" s="19">
        <f>MAX(G1312:G1337)</f>
        <v>465.04</v>
      </c>
      <c r="N1337" s="19">
        <f t="shared" si="99"/>
        <v>-6.3005332874591451</v>
      </c>
      <c r="O1337" s="9" t="str">
        <f t="shared" si="100"/>
        <v>2024-02</v>
      </c>
    </row>
    <row r="1338" spans="1:15" x14ac:dyDescent="0.25">
      <c r="A1338" s="9" t="s">
        <v>315</v>
      </c>
      <c r="B1338" s="9" t="s">
        <v>45</v>
      </c>
      <c r="C1338" s="25" t="s">
        <v>72</v>
      </c>
      <c r="D1338" s="19">
        <v>435.74</v>
      </c>
      <c r="E1338" s="19">
        <v>436.08</v>
      </c>
      <c r="F1338" s="19">
        <v>420.92</v>
      </c>
      <c r="G1338" s="19">
        <v>421.25</v>
      </c>
      <c r="H1338" s="19">
        <v>421.25</v>
      </c>
      <c r="I1338" s="15">
        <v>7622928</v>
      </c>
      <c r="J1338" s="19">
        <f t="shared" si="102"/>
        <v>-3.3253775187038164</v>
      </c>
      <c r="K1338" s="19">
        <f t="shared" si="103"/>
        <v>418.84</v>
      </c>
      <c r="L1338" s="19"/>
      <c r="M1338" s="19">
        <f>MAX(G1312:G1338)</f>
        <v>465.04</v>
      </c>
      <c r="N1338" s="19">
        <f t="shared" si="99"/>
        <v>-9.4163942886633443</v>
      </c>
      <c r="O1338" s="9" t="str">
        <f t="shared" si="100"/>
        <v>2024-02</v>
      </c>
    </row>
    <row r="1339" spans="1:15" x14ac:dyDescent="0.25">
      <c r="A1339" s="9" t="s">
        <v>315</v>
      </c>
      <c r="B1339" s="9" t="s">
        <v>45</v>
      </c>
      <c r="C1339" s="25" t="s">
        <v>73</v>
      </c>
      <c r="D1339" s="19">
        <v>421.25</v>
      </c>
      <c r="E1339" s="19">
        <v>432.04</v>
      </c>
      <c r="F1339" s="19">
        <v>419.61</v>
      </c>
      <c r="G1339" s="19">
        <v>431.35</v>
      </c>
      <c r="H1339" s="19">
        <v>431.35</v>
      </c>
      <c r="I1339" s="15">
        <v>4352243</v>
      </c>
      <c r="J1339" s="19">
        <f t="shared" si="102"/>
        <v>2.3976261127596494</v>
      </c>
      <c r="K1339" s="19">
        <f t="shared" si="103"/>
        <v>419.97250000000003</v>
      </c>
      <c r="L1339" s="19"/>
      <c r="M1339" s="19">
        <f>MAX(G1312:G1339)</f>
        <v>465.04</v>
      </c>
      <c r="N1339" s="19">
        <f t="shared" si="99"/>
        <v>-7.2445381042490959</v>
      </c>
      <c r="O1339" s="9" t="str">
        <f t="shared" si="100"/>
        <v>2024-02</v>
      </c>
    </row>
    <row r="1340" spans="1:15" x14ac:dyDescent="0.25">
      <c r="A1340" s="9" t="s">
        <v>315</v>
      </c>
      <c r="B1340" s="9" t="s">
        <v>45</v>
      </c>
      <c r="C1340" s="25" t="s">
        <v>74</v>
      </c>
      <c r="D1340" s="19">
        <v>431.35</v>
      </c>
      <c r="E1340" s="19">
        <v>433.2</v>
      </c>
      <c r="F1340" s="19">
        <v>412.85</v>
      </c>
      <c r="G1340" s="19">
        <v>413.42</v>
      </c>
      <c r="H1340" s="19">
        <v>413.42</v>
      </c>
      <c r="I1340" s="15">
        <v>7890088</v>
      </c>
      <c r="J1340" s="19">
        <f t="shared" si="102"/>
        <v>-4.1567172829488834</v>
      </c>
      <c r="K1340" s="19">
        <f t="shared" si="103"/>
        <v>419.96249999999998</v>
      </c>
      <c r="L1340" s="19"/>
      <c r="M1340" s="19">
        <f>MAX(G1312:G1340)</f>
        <v>465.04</v>
      </c>
      <c r="N1340" s="19">
        <f t="shared" si="99"/>
        <v>-11.100120419748839</v>
      </c>
      <c r="O1340" s="9" t="str">
        <f t="shared" si="100"/>
        <v>2024-02</v>
      </c>
    </row>
    <row r="1341" spans="1:15" x14ac:dyDescent="0.25">
      <c r="A1341" s="9" t="s">
        <v>315</v>
      </c>
      <c r="B1341" s="9" t="s">
        <v>45</v>
      </c>
      <c r="C1341" s="25" t="s">
        <v>75</v>
      </c>
      <c r="D1341" s="19">
        <v>413.42</v>
      </c>
      <c r="E1341" s="19">
        <v>433.07</v>
      </c>
      <c r="F1341" s="19">
        <v>413.38</v>
      </c>
      <c r="G1341" s="19">
        <v>430.37</v>
      </c>
      <c r="H1341" s="19">
        <v>430.37</v>
      </c>
      <c r="I1341" s="15">
        <v>8539041</v>
      </c>
      <c r="J1341" s="19">
        <f t="shared" si="102"/>
        <v>4.099946785351456</v>
      </c>
      <c r="K1341" s="19">
        <f t="shared" si="103"/>
        <v>421.40300000000008</v>
      </c>
      <c r="L1341" s="19"/>
      <c r="M1341" s="19">
        <f>MAX(G1312:G1341)</f>
        <v>465.04</v>
      </c>
      <c r="N1341" s="19">
        <f t="shared" si="99"/>
        <v>-7.4552726647170164</v>
      </c>
      <c r="O1341" s="9" t="str">
        <f t="shared" si="100"/>
        <v>2024-02</v>
      </c>
    </row>
    <row r="1342" spans="1:15" x14ac:dyDescent="0.25">
      <c r="A1342" s="9" t="s">
        <v>315</v>
      </c>
      <c r="B1342" s="9" t="s">
        <v>45</v>
      </c>
      <c r="C1342" s="25" t="s">
        <v>76</v>
      </c>
      <c r="D1342" s="19">
        <v>430.37</v>
      </c>
      <c r="E1342" s="19">
        <v>430.93</v>
      </c>
      <c r="F1342" s="19">
        <v>417.78</v>
      </c>
      <c r="G1342" s="19">
        <v>418.41</v>
      </c>
      <c r="H1342" s="19">
        <v>418.41</v>
      </c>
      <c r="I1342" s="15">
        <v>3945396</v>
      </c>
      <c r="J1342" s="19">
        <f t="shared" si="102"/>
        <v>-2.7790041127401954</v>
      </c>
      <c r="K1342" s="19">
        <f t="shared" si="103"/>
        <v>421.88050000000004</v>
      </c>
      <c r="L1342" s="19"/>
      <c r="M1342" s="19">
        <f>MAX(G1312:G1342)</f>
        <v>465.04</v>
      </c>
      <c r="N1342" s="19">
        <f t="shared" si="99"/>
        <v>-10.02709444348873</v>
      </c>
      <c r="O1342" s="9" t="str">
        <f t="shared" si="100"/>
        <v>2024-02</v>
      </c>
    </row>
    <row r="1343" spans="1:15" x14ac:dyDescent="0.25">
      <c r="A1343" s="9" t="s">
        <v>315</v>
      </c>
      <c r="B1343" s="9" t="s">
        <v>45</v>
      </c>
      <c r="C1343" s="25" t="s">
        <v>77</v>
      </c>
      <c r="D1343" s="19">
        <v>418.41</v>
      </c>
      <c r="E1343" s="19">
        <v>435.41</v>
      </c>
      <c r="F1343" s="19">
        <v>417.77</v>
      </c>
      <c r="G1343" s="19">
        <v>434.94</v>
      </c>
      <c r="H1343" s="19">
        <v>434.94</v>
      </c>
      <c r="I1343" s="15">
        <v>10457951</v>
      </c>
      <c r="J1343" s="19">
        <f t="shared" si="102"/>
        <v>3.9506703950670325</v>
      </c>
      <c r="K1343" s="19">
        <f t="shared" si="103"/>
        <v>423.07399999999996</v>
      </c>
      <c r="L1343" s="19"/>
      <c r="M1343" s="19">
        <f>MAX(G1312:G1343)</f>
        <v>465.04</v>
      </c>
      <c r="N1343" s="19">
        <f t="shared" si="99"/>
        <v>-6.4725615000860186</v>
      </c>
      <c r="O1343" s="9" t="str">
        <f t="shared" si="100"/>
        <v>2024-02</v>
      </c>
    </row>
    <row r="1344" spans="1:15" x14ac:dyDescent="0.25">
      <c r="A1344" s="9" t="s">
        <v>315</v>
      </c>
      <c r="B1344" s="9" t="s">
        <v>45</v>
      </c>
      <c r="C1344" s="25" t="s">
        <v>78</v>
      </c>
      <c r="D1344" s="19">
        <v>434.94</v>
      </c>
      <c r="E1344" s="19">
        <v>449.37</v>
      </c>
      <c r="F1344" s="19">
        <v>433.27</v>
      </c>
      <c r="G1344" s="19">
        <v>449.32</v>
      </c>
      <c r="H1344" s="19">
        <v>449.32</v>
      </c>
      <c r="I1344" s="15">
        <v>6395932</v>
      </c>
      <c r="J1344" s="19">
        <f t="shared" si="102"/>
        <v>3.306203154458085</v>
      </c>
      <c r="K1344" s="19">
        <f t="shared" si="103"/>
        <v>424.47899999999998</v>
      </c>
      <c r="L1344" s="19"/>
      <c r="M1344" s="19">
        <f>MAX(G1312:G1344)</f>
        <v>465.04</v>
      </c>
      <c r="N1344" s="19">
        <f t="shared" si="99"/>
        <v>-3.3803543781180165</v>
      </c>
      <c r="O1344" s="9" t="str">
        <f t="shared" si="100"/>
        <v>2024-02</v>
      </c>
    </row>
    <row r="1345" spans="1:15" x14ac:dyDescent="0.25">
      <c r="A1345" s="9" t="s">
        <v>315</v>
      </c>
      <c r="B1345" s="9" t="s">
        <v>45</v>
      </c>
      <c r="C1345" s="25" t="s">
        <v>79</v>
      </c>
      <c r="D1345" s="19">
        <v>449.32</v>
      </c>
      <c r="E1345" s="19">
        <v>449.79</v>
      </c>
      <c r="F1345" s="19">
        <v>437.92</v>
      </c>
      <c r="G1345" s="19">
        <v>441.09</v>
      </c>
      <c r="H1345" s="19">
        <v>441.09</v>
      </c>
      <c r="I1345" s="15">
        <v>11672820</v>
      </c>
      <c r="J1345" s="19">
        <f t="shared" si="102"/>
        <v>-1.8316567257188683</v>
      </c>
      <c r="K1345" s="19">
        <f t="shared" si="103"/>
        <v>425.94449999999995</v>
      </c>
      <c r="L1345" s="19"/>
      <c r="M1345" s="19">
        <f>MAX(G1312:G1345)</f>
        <v>465.04</v>
      </c>
      <c r="N1345" s="19">
        <f t="shared" si="99"/>
        <v>-5.150094615516954</v>
      </c>
      <c r="O1345" s="9" t="str">
        <f t="shared" si="100"/>
        <v>2024-02</v>
      </c>
    </row>
    <row r="1346" spans="1:15" x14ac:dyDescent="0.25">
      <c r="A1346" s="9" t="s">
        <v>315</v>
      </c>
      <c r="B1346" s="9" t="s">
        <v>45</v>
      </c>
      <c r="C1346" s="25" t="s">
        <v>80</v>
      </c>
      <c r="D1346" s="19">
        <v>441.09</v>
      </c>
      <c r="E1346" s="19">
        <v>442.7</v>
      </c>
      <c r="F1346" s="19">
        <v>426.63</v>
      </c>
      <c r="G1346" s="19">
        <v>427.25</v>
      </c>
      <c r="H1346" s="19">
        <v>427.25</v>
      </c>
      <c r="I1346" s="15">
        <v>4087204</v>
      </c>
      <c r="J1346" s="19">
        <f t="shared" si="102"/>
        <v>-3.1376816522705062</v>
      </c>
      <c r="K1346" s="19">
        <f t="shared" si="103"/>
        <v>425.584</v>
      </c>
      <c r="L1346" s="19"/>
      <c r="M1346" s="19">
        <f>MAX(G1312:G1346)</f>
        <v>465.04</v>
      </c>
      <c r="N1346" s="19">
        <f t="shared" ref="N1346:N1409" si="104">(G1346-M1346)/M1346*100</f>
        <v>-8.1261826939618143</v>
      </c>
      <c r="O1346" s="9" t="str">
        <f t="shared" ref="O1346:O1409" si="105">TEXT(C1346,"yyyy-mm")</f>
        <v>2024-02</v>
      </c>
    </row>
    <row r="1347" spans="1:15" x14ac:dyDescent="0.25">
      <c r="A1347" s="9" t="s">
        <v>315</v>
      </c>
      <c r="B1347" s="9" t="s">
        <v>45</v>
      </c>
      <c r="C1347" s="25" t="s">
        <v>81</v>
      </c>
      <c r="D1347" s="19">
        <v>427.25</v>
      </c>
      <c r="E1347" s="19">
        <v>427.64</v>
      </c>
      <c r="F1347" s="19">
        <v>418.05</v>
      </c>
      <c r="G1347" s="19">
        <v>420.91</v>
      </c>
      <c r="H1347" s="19">
        <v>420.91</v>
      </c>
      <c r="I1347" s="15">
        <v>9979588</v>
      </c>
      <c r="J1347" s="19">
        <f t="shared" si="102"/>
        <v>-1.4839087185488531</v>
      </c>
      <c r="K1347" s="19">
        <f t="shared" si="103"/>
        <v>425.65800000000002</v>
      </c>
      <c r="L1347" s="19"/>
      <c r="M1347" s="19">
        <f>MAX(G1312:G1347)</f>
        <v>465.04</v>
      </c>
      <c r="N1347" s="19">
        <f t="shared" si="104"/>
        <v>-9.4895062790297597</v>
      </c>
      <c r="O1347" s="9" t="str">
        <f t="shared" si="105"/>
        <v>2024-02</v>
      </c>
    </row>
    <row r="1348" spans="1:15" x14ac:dyDescent="0.25">
      <c r="A1348" s="9" t="s">
        <v>315</v>
      </c>
      <c r="B1348" s="9" t="s">
        <v>45</v>
      </c>
      <c r="C1348" s="25" t="s">
        <v>82</v>
      </c>
      <c r="D1348" s="19">
        <v>420.91</v>
      </c>
      <c r="E1348" s="19">
        <v>424.45</v>
      </c>
      <c r="F1348" s="19">
        <v>409.81</v>
      </c>
      <c r="G1348" s="19">
        <v>410.31</v>
      </c>
      <c r="H1348" s="19">
        <v>410.31</v>
      </c>
      <c r="I1348" s="15">
        <v>8604294</v>
      </c>
      <c r="J1348" s="19">
        <f t="shared" si="102"/>
        <v>-2.5183530921099573</v>
      </c>
      <c r="K1348" s="19">
        <f t="shared" si="103"/>
        <v>424.88350000000003</v>
      </c>
      <c r="L1348" s="19"/>
      <c r="M1348" s="19">
        <f>MAX(G1312:G1348)</f>
        <v>465.04</v>
      </c>
      <c r="N1348" s="19">
        <f t="shared" si="104"/>
        <v>-11.768880096335803</v>
      </c>
      <c r="O1348" s="9" t="str">
        <f t="shared" si="105"/>
        <v>2024-02</v>
      </c>
    </row>
    <row r="1349" spans="1:15" x14ac:dyDescent="0.25">
      <c r="A1349" s="9" t="s">
        <v>315</v>
      </c>
      <c r="B1349" s="9" t="s">
        <v>45</v>
      </c>
      <c r="C1349" s="25" t="s">
        <v>83</v>
      </c>
      <c r="D1349" s="19">
        <v>410.31</v>
      </c>
      <c r="E1349" s="19">
        <v>412.8</v>
      </c>
      <c r="F1349" s="19">
        <v>407.3</v>
      </c>
      <c r="G1349" s="19">
        <v>412.2</v>
      </c>
      <c r="H1349" s="19">
        <v>412.2</v>
      </c>
      <c r="I1349" s="15">
        <v>6063735</v>
      </c>
      <c r="J1349" s="19">
        <f t="shared" si="102"/>
        <v>0.46062733055494298</v>
      </c>
      <c r="K1349" s="19">
        <f t="shared" si="103"/>
        <v>423.75049999999999</v>
      </c>
      <c r="L1349" s="19"/>
      <c r="M1349" s="19">
        <f>MAX(G1312:G1349)</f>
        <v>465.04</v>
      </c>
      <c r="N1349" s="19">
        <f t="shared" si="104"/>
        <v>-11.362463444004824</v>
      </c>
      <c r="O1349" s="9" t="str">
        <f t="shared" si="105"/>
        <v>2024-02</v>
      </c>
    </row>
    <row r="1350" spans="1:15" x14ac:dyDescent="0.25">
      <c r="A1350" s="9" t="s">
        <v>315</v>
      </c>
      <c r="B1350" s="9" t="s">
        <v>45</v>
      </c>
      <c r="C1350" s="25" t="s">
        <v>84</v>
      </c>
      <c r="D1350" s="19">
        <v>412.2</v>
      </c>
      <c r="E1350" s="19">
        <v>413.32</v>
      </c>
      <c r="F1350" s="19">
        <v>406.65</v>
      </c>
      <c r="G1350" s="19">
        <v>408.02</v>
      </c>
      <c r="H1350" s="19">
        <v>408.02</v>
      </c>
      <c r="I1350" s="15">
        <v>12964244</v>
      </c>
      <c r="J1350" s="19">
        <f t="shared" si="102"/>
        <v>-1.014070839398352</v>
      </c>
      <c r="K1350" s="19">
        <f t="shared" si="103"/>
        <v>423.83699999999988</v>
      </c>
      <c r="L1350" s="19"/>
      <c r="M1350" s="19">
        <f>MAX(G1312:G1350)</f>
        <v>465.04</v>
      </c>
      <c r="N1350" s="19">
        <f t="shared" si="104"/>
        <v>-12.261310854980225</v>
      </c>
      <c r="O1350" s="9" t="str">
        <f t="shared" si="105"/>
        <v>2024-02</v>
      </c>
    </row>
    <row r="1351" spans="1:15" x14ac:dyDescent="0.25">
      <c r="A1351" s="9" t="s">
        <v>315</v>
      </c>
      <c r="B1351" s="9" t="s">
        <v>45</v>
      </c>
      <c r="C1351" s="25" t="s">
        <v>85</v>
      </c>
      <c r="D1351" s="19">
        <v>408.02</v>
      </c>
      <c r="E1351" s="19">
        <v>410.76</v>
      </c>
      <c r="F1351" s="19">
        <v>397.86</v>
      </c>
      <c r="G1351" s="19">
        <v>399.72</v>
      </c>
      <c r="H1351" s="19">
        <v>399.72</v>
      </c>
      <c r="I1351" s="15">
        <v>7085124</v>
      </c>
      <c r="J1351" s="19">
        <f t="shared" si="102"/>
        <v>-2.0342140091171892</v>
      </c>
      <c r="K1351" s="19">
        <f t="shared" si="103"/>
        <v>423.85549999999995</v>
      </c>
      <c r="L1351" s="19"/>
      <c r="M1351" s="19">
        <f>MAX(G1312:G1351)</f>
        <v>465.04</v>
      </c>
      <c r="N1351" s="19">
        <f t="shared" si="104"/>
        <v>-14.046103560983999</v>
      </c>
      <c r="O1351" s="9" t="str">
        <f t="shared" si="105"/>
        <v>2024-02</v>
      </c>
    </row>
    <row r="1352" spans="1:15" x14ac:dyDescent="0.25">
      <c r="A1352" s="9" t="s">
        <v>315</v>
      </c>
      <c r="B1352" s="9" t="s">
        <v>45</v>
      </c>
      <c r="C1352" s="25" t="s">
        <v>86</v>
      </c>
      <c r="D1352" s="19">
        <v>399.72</v>
      </c>
      <c r="E1352" s="19">
        <v>401.26</v>
      </c>
      <c r="F1352" s="19">
        <v>385.5</v>
      </c>
      <c r="G1352" s="19">
        <v>388.47</v>
      </c>
      <c r="H1352" s="19">
        <v>388.47</v>
      </c>
      <c r="I1352" s="15">
        <v>5850915</v>
      </c>
      <c r="J1352" s="19">
        <f t="shared" si="102"/>
        <v>-2.8144701290903633</v>
      </c>
      <c r="K1352" s="19">
        <f t="shared" si="103"/>
        <v>423.07499999999999</v>
      </c>
      <c r="L1352" s="19"/>
      <c r="M1352" s="19">
        <f>MAX(G1312:G1352)</f>
        <v>465.04</v>
      </c>
      <c r="N1352" s="19">
        <f t="shared" si="104"/>
        <v>-16.46525030104937</v>
      </c>
      <c r="O1352" s="9" t="str">
        <f t="shared" si="105"/>
        <v>2024-02</v>
      </c>
    </row>
    <row r="1353" spans="1:15" x14ac:dyDescent="0.25">
      <c r="A1353" s="9" t="s">
        <v>315</v>
      </c>
      <c r="B1353" s="9" t="s">
        <v>45</v>
      </c>
      <c r="C1353" s="25" t="s">
        <v>87</v>
      </c>
      <c r="D1353" s="19">
        <v>388.47</v>
      </c>
      <c r="E1353" s="19">
        <v>389.47</v>
      </c>
      <c r="F1353" s="19">
        <v>371.49</v>
      </c>
      <c r="G1353" s="19">
        <v>373.16</v>
      </c>
      <c r="H1353" s="19">
        <v>373.16</v>
      </c>
      <c r="I1353" s="15">
        <v>8457523</v>
      </c>
      <c r="J1353" s="19">
        <f t="shared" si="102"/>
        <v>-3.941102273019796</v>
      </c>
      <c r="K1353" s="19">
        <f t="shared" si="103"/>
        <v>421.32150000000001</v>
      </c>
      <c r="L1353" s="19"/>
      <c r="M1353" s="19">
        <f>MAX(G1312:G1353)</f>
        <v>465.04</v>
      </c>
      <c r="N1353" s="19">
        <f t="shared" si="104"/>
        <v>-19.757440220196109</v>
      </c>
      <c r="O1353" s="9" t="str">
        <f t="shared" si="105"/>
        <v>2024-02</v>
      </c>
    </row>
    <row r="1354" spans="1:15" x14ac:dyDescent="0.25">
      <c r="A1354" s="9" t="s">
        <v>315</v>
      </c>
      <c r="B1354" s="9" t="s">
        <v>45</v>
      </c>
      <c r="C1354" s="25" t="s">
        <v>88</v>
      </c>
      <c r="D1354" s="19">
        <v>373.16</v>
      </c>
      <c r="E1354" s="19">
        <v>374.04</v>
      </c>
      <c r="F1354" s="19">
        <v>350.71</v>
      </c>
      <c r="G1354" s="19">
        <v>351.16</v>
      </c>
      <c r="H1354" s="19">
        <v>351.16</v>
      </c>
      <c r="I1354" s="15">
        <v>25630720</v>
      </c>
      <c r="J1354" s="19">
        <f t="shared" si="102"/>
        <v>-5.8955943831064417</v>
      </c>
      <c r="K1354" s="19">
        <f t="shared" si="103"/>
        <v>417.82100000000003</v>
      </c>
      <c r="L1354" s="19"/>
      <c r="M1354" s="19">
        <f>MAX(G1312:G1354)</f>
        <v>465.04</v>
      </c>
      <c r="N1354" s="19">
        <f t="shared" si="104"/>
        <v>-24.488216067435058</v>
      </c>
      <c r="O1354" s="9" t="str">
        <f t="shared" si="105"/>
        <v>2024-02</v>
      </c>
    </row>
    <row r="1355" spans="1:15" x14ac:dyDescent="0.25">
      <c r="A1355" s="9" t="s">
        <v>315</v>
      </c>
      <c r="B1355" s="9" t="s">
        <v>45</v>
      </c>
      <c r="C1355" s="25" t="s">
        <v>89</v>
      </c>
      <c r="D1355" s="19">
        <v>351.16</v>
      </c>
      <c r="E1355" s="19">
        <v>362.43</v>
      </c>
      <c r="F1355" s="19">
        <v>349.51</v>
      </c>
      <c r="G1355" s="19">
        <v>360.54</v>
      </c>
      <c r="H1355" s="19">
        <v>360.54</v>
      </c>
      <c r="I1355" s="15">
        <v>7162375</v>
      </c>
      <c r="J1355" s="19">
        <f t="shared" si="102"/>
        <v>2.6711470554732872</v>
      </c>
      <c r="K1355" s="19">
        <f t="shared" si="103"/>
        <v>413.57300000000004</v>
      </c>
      <c r="L1355" s="19"/>
      <c r="M1355" s="19">
        <f>MAX(G1312:G1355)</f>
        <v>465.04</v>
      </c>
      <c r="N1355" s="19">
        <f t="shared" si="104"/>
        <v>-22.471185274384997</v>
      </c>
      <c r="O1355" s="9" t="str">
        <f t="shared" si="105"/>
        <v>2024-02</v>
      </c>
    </row>
    <row r="1356" spans="1:15" x14ac:dyDescent="0.25">
      <c r="A1356" s="9" t="s">
        <v>315</v>
      </c>
      <c r="B1356" s="9" t="s">
        <v>45</v>
      </c>
      <c r="C1356" s="25" t="s">
        <v>90</v>
      </c>
      <c r="D1356" s="19">
        <v>360.54</v>
      </c>
      <c r="E1356" s="19">
        <v>365.2</v>
      </c>
      <c r="F1356" s="19">
        <v>359.87</v>
      </c>
      <c r="G1356" s="19">
        <v>364.69</v>
      </c>
      <c r="H1356" s="19">
        <v>364.69</v>
      </c>
      <c r="I1356" s="15">
        <v>4664122</v>
      </c>
      <c r="J1356" s="19">
        <f t="shared" si="102"/>
        <v>1.151051200976307</v>
      </c>
      <c r="K1356" s="19">
        <f t="shared" si="103"/>
        <v>409.61599999999999</v>
      </c>
      <c r="L1356" s="19"/>
      <c r="M1356" s="19">
        <f>MAX(G1312:G1356)</f>
        <v>465.04</v>
      </c>
      <c r="N1356" s="19">
        <f t="shared" si="104"/>
        <v>-21.578788921383111</v>
      </c>
      <c r="O1356" s="9" t="str">
        <f t="shared" si="105"/>
        <v>2024-03</v>
      </c>
    </row>
    <row r="1357" spans="1:15" x14ac:dyDescent="0.25">
      <c r="A1357" s="9" t="s">
        <v>315</v>
      </c>
      <c r="B1357" s="9" t="s">
        <v>45</v>
      </c>
      <c r="C1357" s="25" t="s">
        <v>91</v>
      </c>
      <c r="D1357" s="19">
        <v>364.69</v>
      </c>
      <c r="E1357" s="19">
        <v>364.97</v>
      </c>
      <c r="F1357" s="19">
        <v>353.49</v>
      </c>
      <c r="G1357" s="19">
        <v>353.84</v>
      </c>
      <c r="H1357" s="19">
        <v>353.84</v>
      </c>
      <c r="I1357" s="15">
        <v>7671583</v>
      </c>
      <c r="J1357" s="19">
        <f t="shared" si="102"/>
        <v>-2.9751295620938394</v>
      </c>
      <c r="K1357" s="19">
        <f t="shared" si="103"/>
        <v>405.52100000000002</v>
      </c>
      <c r="L1357" s="19"/>
      <c r="M1357" s="19">
        <f>MAX(G1312:G1357)</f>
        <v>465.04</v>
      </c>
      <c r="N1357" s="19">
        <f t="shared" si="104"/>
        <v>-23.911921555135052</v>
      </c>
      <c r="O1357" s="9" t="str">
        <f t="shared" si="105"/>
        <v>2024-03</v>
      </c>
    </row>
    <row r="1358" spans="1:15" x14ac:dyDescent="0.25">
      <c r="A1358" s="9" t="s">
        <v>315</v>
      </c>
      <c r="B1358" s="9" t="s">
        <v>45</v>
      </c>
      <c r="C1358" s="25" t="s">
        <v>92</v>
      </c>
      <c r="D1358" s="19">
        <v>353.84</v>
      </c>
      <c r="E1358" s="19">
        <v>365.55</v>
      </c>
      <c r="F1358" s="19">
        <v>353.19</v>
      </c>
      <c r="G1358" s="19">
        <v>365.4</v>
      </c>
      <c r="H1358" s="19">
        <v>365.4</v>
      </c>
      <c r="I1358" s="15">
        <v>4285988</v>
      </c>
      <c r="J1358" s="19">
        <f t="shared" si="102"/>
        <v>3.2670133393624248</v>
      </c>
      <c r="K1358" s="19">
        <f t="shared" si="103"/>
        <v>402.7285</v>
      </c>
      <c r="L1358" s="19"/>
      <c r="M1358" s="19">
        <f>MAX(G1312:G1358)</f>
        <v>465.04</v>
      </c>
      <c r="N1358" s="19">
        <f t="shared" si="104"/>
        <v>-21.426113882676766</v>
      </c>
      <c r="O1358" s="9" t="str">
        <f t="shared" si="105"/>
        <v>2024-03</v>
      </c>
    </row>
    <row r="1359" spans="1:15" x14ac:dyDescent="0.25">
      <c r="A1359" s="9" t="s">
        <v>315</v>
      </c>
      <c r="B1359" s="9" t="s">
        <v>45</v>
      </c>
      <c r="C1359" s="25" t="s">
        <v>93</v>
      </c>
      <c r="D1359" s="19">
        <v>365.4</v>
      </c>
      <c r="E1359" s="19">
        <v>366.99</v>
      </c>
      <c r="F1359" s="19">
        <v>364.85</v>
      </c>
      <c r="G1359" s="19">
        <v>366.76</v>
      </c>
      <c r="H1359" s="19">
        <v>366.76</v>
      </c>
      <c r="I1359" s="15">
        <v>5839613</v>
      </c>
      <c r="J1359" s="19">
        <f t="shared" si="102"/>
        <v>0.37219485495347943</v>
      </c>
      <c r="K1359" s="19">
        <f t="shared" si="103"/>
        <v>399.49899999999997</v>
      </c>
      <c r="L1359" s="19"/>
      <c r="M1359" s="19">
        <f>MAX(G1312:G1359)</f>
        <v>465.04</v>
      </c>
      <c r="N1359" s="19">
        <f t="shared" si="104"/>
        <v>-21.133665921211083</v>
      </c>
      <c r="O1359" s="9" t="str">
        <f t="shared" si="105"/>
        <v>2024-03</v>
      </c>
    </row>
    <row r="1360" spans="1:15" x14ac:dyDescent="0.25">
      <c r="A1360" s="9" t="s">
        <v>315</v>
      </c>
      <c r="B1360" s="9" t="s">
        <v>45</v>
      </c>
      <c r="C1360" s="25" t="s">
        <v>94</v>
      </c>
      <c r="D1360" s="19">
        <v>366.76</v>
      </c>
      <c r="E1360" s="19">
        <v>367.85</v>
      </c>
      <c r="F1360" s="19">
        <v>364.02</v>
      </c>
      <c r="G1360" s="19">
        <v>367.06</v>
      </c>
      <c r="H1360" s="19">
        <v>367.06</v>
      </c>
      <c r="I1360" s="15">
        <v>7058463</v>
      </c>
      <c r="J1360" s="19">
        <f t="shared" si="102"/>
        <v>8.1797360671832089E-2</v>
      </c>
      <c r="K1360" s="19">
        <f t="shared" si="103"/>
        <v>397.18099999999998</v>
      </c>
      <c r="L1360" s="19"/>
      <c r="M1360" s="19">
        <f>MAX(G1312:G1360)</f>
        <v>465.04</v>
      </c>
      <c r="N1360" s="19">
        <f t="shared" si="104"/>
        <v>-21.069155341476005</v>
      </c>
      <c r="O1360" s="9" t="str">
        <f t="shared" si="105"/>
        <v>2024-03</v>
      </c>
    </row>
    <row r="1361" spans="1:15" x14ac:dyDescent="0.25">
      <c r="A1361" s="9" t="s">
        <v>315</v>
      </c>
      <c r="B1361" s="9" t="s">
        <v>45</v>
      </c>
      <c r="C1361" s="25" t="s">
        <v>95</v>
      </c>
      <c r="D1361" s="19">
        <v>367.06</v>
      </c>
      <c r="E1361" s="19">
        <v>379.86</v>
      </c>
      <c r="F1361" s="19">
        <v>365.73</v>
      </c>
      <c r="G1361" s="19">
        <v>379.8</v>
      </c>
      <c r="H1361" s="19">
        <v>379.8</v>
      </c>
      <c r="I1361" s="15">
        <v>100000</v>
      </c>
      <c r="J1361" s="19">
        <f t="shared" si="102"/>
        <v>3.4708222089031793</v>
      </c>
      <c r="K1361" s="19">
        <f t="shared" si="103"/>
        <v>394.65250000000003</v>
      </c>
      <c r="L1361" s="19">
        <f t="shared" ref="L1361:L1424" si="106">AVERAGE(G1312:G1361)</f>
        <v>412.5394</v>
      </c>
      <c r="M1361" s="19">
        <f>MAX(G1312:G1361)</f>
        <v>465.04</v>
      </c>
      <c r="N1361" s="19">
        <f t="shared" si="104"/>
        <v>-18.329606055393086</v>
      </c>
      <c r="O1361" s="9" t="str">
        <f t="shared" si="105"/>
        <v>2024-03</v>
      </c>
    </row>
    <row r="1362" spans="1:15" x14ac:dyDescent="0.25">
      <c r="A1362" s="9" t="s">
        <v>315</v>
      </c>
      <c r="B1362" s="9" t="s">
        <v>45</v>
      </c>
      <c r="C1362" s="25" t="s">
        <v>96</v>
      </c>
      <c r="D1362" s="19">
        <v>379.8</v>
      </c>
      <c r="E1362" s="19">
        <v>380.72</v>
      </c>
      <c r="F1362" s="19">
        <v>377.28</v>
      </c>
      <c r="G1362" s="19">
        <v>377.92</v>
      </c>
      <c r="H1362" s="19">
        <v>377.92</v>
      </c>
      <c r="I1362" s="15">
        <v>5292589</v>
      </c>
      <c r="J1362" s="19">
        <f t="shared" si="102"/>
        <v>-0.49499736703528052</v>
      </c>
      <c r="K1362" s="19">
        <f t="shared" si="103"/>
        <v>392.62799999999999</v>
      </c>
      <c r="L1362" s="19">
        <f t="shared" si="106"/>
        <v>410.79700000000003</v>
      </c>
      <c r="M1362" s="19">
        <f>MAX(G1312:G1362)</f>
        <v>465.04</v>
      </c>
      <c r="N1362" s="19">
        <f t="shared" si="104"/>
        <v>-18.733872355066232</v>
      </c>
      <c r="O1362" s="9" t="str">
        <f t="shared" si="105"/>
        <v>2024-03</v>
      </c>
    </row>
    <row r="1363" spans="1:15" x14ac:dyDescent="0.25">
      <c r="A1363" s="9" t="s">
        <v>315</v>
      </c>
      <c r="B1363" s="9" t="s">
        <v>45</v>
      </c>
      <c r="C1363" s="25" t="s">
        <v>97</v>
      </c>
      <c r="D1363" s="19">
        <v>377.92</v>
      </c>
      <c r="E1363" s="19">
        <v>385.99</v>
      </c>
      <c r="F1363" s="19">
        <v>375.5</v>
      </c>
      <c r="G1363" s="19">
        <v>385.12</v>
      </c>
      <c r="H1363" s="19">
        <v>385.12</v>
      </c>
      <c r="I1363" s="15">
        <v>6221154</v>
      </c>
      <c r="J1363" s="19">
        <f t="shared" si="102"/>
        <v>1.905165114309904</v>
      </c>
      <c r="K1363" s="19">
        <f t="shared" si="103"/>
        <v>390.137</v>
      </c>
      <c r="L1363" s="19">
        <f t="shared" si="106"/>
        <v>409.33619999999996</v>
      </c>
      <c r="M1363" s="19">
        <f>MAX(G1312:G1363)</f>
        <v>465.04</v>
      </c>
      <c r="N1363" s="19">
        <f t="shared" si="104"/>
        <v>-17.185618441424396</v>
      </c>
      <c r="O1363" s="9" t="str">
        <f t="shared" si="105"/>
        <v>2024-03</v>
      </c>
    </row>
    <row r="1364" spans="1:15" x14ac:dyDescent="0.25">
      <c r="A1364" s="9" t="s">
        <v>315</v>
      </c>
      <c r="B1364" s="9" t="s">
        <v>45</v>
      </c>
      <c r="C1364" s="25" t="s">
        <v>98</v>
      </c>
      <c r="D1364" s="19">
        <v>385.12</v>
      </c>
      <c r="E1364" s="19">
        <v>403.01</v>
      </c>
      <c r="F1364" s="19">
        <v>382.89</v>
      </c>
      <c r="G1364" s="19">
        <v>402.96</v>
      </c>
      <c r="H1364" s="19">
        <v>402.96</v>
      </c>
      <c r="I1364" s="15">
        <v>5189034</v>
      </c>
      <c r="J1364" s="19">
        <f t="shared" si="102"/>
        <v>4.6323223930203508</v>
      </c>
      <c r="K1364" s="19">
        <f t="shared" si="103"/>
        <v>387.81900000000002</v>
      </c>
      <c r="L1364" s="19">
        <f t="shared" si="106"/>
        <v>408.43199999999996</v>
      </c>
      <c r="M1364" s="19">
        <f>MAX(G1312:G1364)</f>
        <v>465.04</v>
      </c>
      <c r="N1364" s="19">
        <f t="shared" si="104"/>
        <v>-13.349389299845182</v>
      </c>
      <c r="O1364" s="9" t="str">
        <f t="shared" si="105"/>
        <v>2024-03</v>
      </c>
    </row>
    <row r="1365" spans="1:15" x14ac:dyDescent="0.25">
      <c r="A1365" s="9" t="s">
        <v>315</v>
      </c>
      <c r="B1365" s="9" t="s">
        <v>45</v>
      </c>
      <c r="C1365" s="25" t="s">
        <v>99</v>
      </c>
      <c r="D1365" s="19">
        <v>402.96</v>
      </c>
      <c r="E1365" s="19">
        <v>412.15</v>
      </c>
      <c r="F1365" s="19">
        <v>402.52</v>
      </c>
      <c r="G1365" s="19">
        <v>409.62</v>
      </c>
      <c r="H1365" s="19">
        <v>409.62</v>
      </c>
      <c r="I1365" s="15">
        <v>7116036</v>
      </c>
      <c r="J1365" s="19">
        <f t="shared" si="102"/>
        <v>1.652769505658136</v>
      </c>
      <c r="K1365" s="19">
        <f t="shared" si="103"/>
        <v>386.24549999999999</v>
      </c>
      <c r="L1365" s="19">
        <f t="shared" si="106"/>
        <v>408.11019999999991</v>
      </c>
      <c r="M1365" s="19">
        <f>MAX(G1312:G1365)</f>
        <v>465.04</v>
      </c>
      <c r="N1365" s="19">
        <f t="shared" si="104"/>
        <v>-11.917254429726478</v>
      </c>
      <c r="O1365" s="9" t="str">
        <f t="shared" si="105"/>
        <v>2024-03</v>
      </c>
    </row>
    <row r="1366" spans="1:15" x14ac:dyDescent="0.25">
      <c r="A1366" s="9" t="s">
        <v>315</v>
      </c>
      <c r="B1366" s="9" t="s">
        <v>45</v>
      </c>
      <c r="C1366" s="25" t="s">
        <v>100</v>
      </c>
      <c r="D1366" s="19">
        <v>409.62</v>
      </c>
      <c r="E1366" s="19">
        <v>410.68</v>
      </c>
      <c r="F1366" s="19">
        <v>393.33</v>
      </c>
      <c r="G1366" s="19">
        <v>394.39</v>
      </c>
      <c r="H1366" s="19">
        <v>394.39</v>
      </c>
      <c r="I1366" s="15">
        <v>12976477</v>
      </c>
      <c r="J1366" s="19">
        <f t="shared" si="102"/>
        <v>-3.7180801718666125</v>
      </c>
      <c r="K1366" s="19">
        <f t="shared" si="103"/>
        <v>384.60250000000002</v>
      </c>
      <c r="L1366" s="19">
        <f t="shared" si="106"/>
        <v>407.3977999999999</v>
      </c>
      <c r="M1366" s="19">
        <f>MAX(G1312:G1366)</f>
        <v>465.04</v>
      </c>
      <c r="N1366" s="19">
        <f t="shared" si="104"/>
        <v>-15.192241527610534</v>
      </c>
      <c r="O1366" s="9" t="str">
        <f t="shared" si="105"/>
        <v>2024-03</v>
      </c>
    </row>
    <row r="1367" spans="1:15" x14ac:dyDescent="0.25">
      <c r="A1367" s="9" t="s">
        <v>315</v>
      </c>
      <c r="B1367" s="9" t="s">
        <v>45</v>
      </c>
      <c r="C1367" s="25" t="s">
        <v>101</v>
      </c>
      <c r="D1367" s="19">
        <v>394.39</v>
      </c>
      <c r="E1367" s="19">
        <v>396.32</v>
      </c>
      <c r="F1367" s="19">
        <v>381.78</v>
      </c>
      <c r="G1367" s="19">
        <v>384.65</v>
      </c>
      <c r="H1367" s="19">
        <v>384.65</v>
      </c>
      <c r="I1367" s="15">
        <v>7145878</v>
      </c>
      <c r="J1367" s="19">
        <f t="shared" si="102"/>
        <v>-2.4696366540733816</v>
      </c>
      <c r="K1367" s="19">
        <f t="shared" si="103"/>
        <v>382.78950000000003</v>
      </c>
      <c r="L1367" s="19">
        <f t="shared" si="106"/>
        <v>406.50919999999996</v>
      </c>
      <c r="M1367" s="19">
        <f>MAX(G1312:G1367)</f>
        <v>465.04</v>
      </c>
      <c r="N1367" s="19">
        <f t="shared" si="104"/>
        <v>-17.286685016342691</v>
      </c>
      <c r="O1367" s="9" t="str">
        <f t="shared" si="105"/>
        <v>2024-03</v>
      </c>
    </row>
    <row r="1368" spans="1:15" x14ac:dyDescent="0.25">
      <c r="A1368" s="9" t="s">
        <v>315</v>
      </c>
      <c r="B1368" s="9" t="s">
        <v>45</v>
      </c>
      <c r="C1368" s="25" t="s">
        <v>102</v>
      </c>
      <c r="D1368" s="19">
        <v>384.65</v>
      </c>
      <c r="E1368" s="19">
        <v>384.83</v>
      </c>
      <c r="F1368" s="19">
        <v>378.95</v>
      </c>
      <c r="G1368" s="19">
        <v>379.24</v>
      </c>
      <c r="H1368" s="19">
        <v>379.24</v>
      </c>
      <c r="I1368" s="15">
        <v>10577994</v>
      </c>
      <c r="J1368" s="19">
        <f t="shared" si="102"/>
        <v>-1.4064734173924265</v>
      </c>
      <c r="K1368" s="19">
        <f t="shared" si="103"/>
        <v>381.23599999999999</v>
      </c>
      <c r="L1368" s="19">
        <f t="shared" si="106"/>
        <v>405.57779999999997</v>
      </c>
      <c r="M1368" s="19">
        <f>MAX(G1312:G1368)</f>
        <v>465.04</v>
      </c>
      <c r="N1368" s="19">
        <f t="shared" si="104"/>
        <v>-18.450025804231895</v>
      </c>
      <c r="O1368" s="9" t="str">
        <f t="shared" si="105"/>
        <v>2024-03</v>
      </c>
    </row>
    <row r="1369" spans="1:15" x14ac:dyDescent="0.25">
      <c r="A1369" s="9" t="s">
        <v>315</v>
      </c>
      <c r="B1369" s="9" t="s">
        <v>45</v>
      </c>
      <c r="C1369" s="25" t="s">
        <v>103</v>
      </c>
      <c r="D1369" s="19">
        <v>379.24</v>
      </c>
      <c r="E1369" s="19">
        <v>390.08</v>
      </c>
      <c r="F1369" s="19">
        <v>379.01</v>
      </c>
      <c r="G1369" s="19">
        <v>389.31</v>
      </c>
      <c r="H1369" s="19">
        <v>389.31</v>
      </c>
      <c r="I1369" s="15">
        <v>11839301</v>
      </c>
      <c r="J1369" s="19">
        <f t="shared" si="102"/>
        <v>2.6553106212424833</v>
      </c>
      <c r="K1369" s="19">
        <f t="shared" si="103"/>
        <v>380.09150000000005</v>
      </c>
      <c r="L1369" s="19">
        <f t="shared" si="106"/>
        <v>405.19</v>
      </c>
      <c r="M1369" s="19">
        <f>MAX(G1312:G1369)</f>
        <v>465.04</v>
      </c>
      <c r="N1369" s="19">
        <f t="shared" si="104"/>
        <v>-16.28462067779116</v>
      </c>
      <c r="O1369" s="9" t="str">
        <f t="shared" si="105"/>
        <v>2024-03</v>
      </c>
    </row>
    <row r="1370" spans="1:15" x14ac:dyDescent="0.25">
      <c r="A1370" s="9" t="s">
        <v>315</v>
      </c>
      <c r="B1370" s="9" t="s">
        <v>45</v>
      </c>
      <c r="C1370" s="25" t="s">
        <v>104</v>
      </c>
      <c r="D1370" s="19">
        <v>389.31</v>
      </c>
      <c r="E1370" s="19">
        <v>391.1</v>
      </c>
      <c r="F1370" s="19">
        <v>379.69</v>
      </c>
      <c r="G1370" s="19">
        <v>381.41</v>
      </c>
      <c r="H1370" s="19">
        <v>381.41</v>
      </c>
      <c r="I1370" s="15">
        <v>4993697</v>
      </c>
      <c r="J1370" s="19">
        <f t="shared" si="102"/>
        <v>-2.029231203924887</v>
      </c>
      <c r="K1370" s="19">
        <f t="shared" si="103"/>
        <v>378.76100000000002</v>
      </c>
      <c r="L1370" s="19">
        <f t="shared" si="106"/>
        <v>404.54580000000004</v>
      </c>
      <c r="M1370" s="19">
        <f>MAX(G1312:G1370)</f>
        <v>465.04</v>
      </c>
      <c r="N1370" s="19">
        <f t="shared" si="104"/>
        <v>-17.983399277481503</v>
      </c>
      <c r="O1370" s="9" t="str">
        <f t="shared" si="105"/>
        <v>2024-03</v>
      </c>
    </row>
    <row r="1371" spans="1:15" x14ac:dyDescent="0.25">
      <c r="A1371" s="9" t="s">
        <v>315</v>
      </c>
      <c r="B1371" s="9" t="s">
        <v>45</v>
      </c>
      <c r="C1371" s="25" t="s">
        <v>105</v>
      </c>
      <c r="D1371" s="19">
        <v>381.41</v>
      </c>
      <c r="E1371" s="19">
        <v>381.94</v>
      </c>
      <c r="F1371" s="19">
        <v>370.38</v>
      </c>
      <c r="G1371" s="19">
        <v>371.92</v>
      </c>
      <c r="H1371" s="19">
        <v>371.92</v>
      </c>
      <c r="I1371" s="15">
        <v>3866956</v>
      </c>
      <c r="J1371" s="19">
        <f t="shared" si="102"/>
        <v>-2.4881361264780706</v>
      </c>
      <c r="K1371" s="19">
        <f t="shared" si="103"/>
        <v>377.37100000000004</v>
      </c>
      <c r="L1371" s="19">
        <f t="shared" si="106"/>
        <v>403.95299999999997</v>
      </c>
      <c r="M1371" s="19">
        <f>MAX(G1312:G1371)</f>
        <v>465.04</v>
      </c>
      <c r="N1371" s="19">
        <f t="shared" si="104"/>
        <v>-20.024083949767764</v>
      </c>
      <c r="O1371" s="9" t="str">
        <f t="shared" si="105"/>
        <v>2024-03</v>
      </c>
    </row>
    <row r="1372" spans="1:15" x14ac:dyDescent="0.25">
      <c r="A1372" s="9" t="s">
        <v>315</v>
      </c>
      <c r="B1372" s="9" t="s">
        <v>45</v>
      </c>
      <c r="C1372" s="25" t="s">
        <v>106</v>
      </c>
      <c r="D1372" s="19">
        <v>371.92</v>
      </c>
      <c r="E1372" s="19">
        <v>373.73</v>
      </c>
      <c r="F1372" s="19">
        <v>369.28</v>
      </c>
      <c r="G1372" s="19">
        <v>373.6</v>
      </c>
      <c r="H1372" s="19">
        <v>373.6</v>
      </c>
      <c r="I1372" s="15">
        <v>8390897</v>
      </c>
      <c r="J1372" s="19">
        <f t="shared" si="102"/>
        <v>0.45171004517100632</v>
      </c>
      <c r="K1372" s="19">
        <f t="shared" si="103"/>
        <v>376.6275</v>
      </c>
      <c r="L1372" s="19">
        <f t="shared" si="106"/>
        <v>403.24779999999998</v>
      </c>
      <c r="M1372" s="19">
        <f>MAX(G1312:G1372)</f>
        <v>465.04</v>
      </c>
      <c r="N1372" s="19">
        <f t="shared" si="104"/>
        <v>-19.662824703251331</v>
      </c>
      <c r="O1372" s="9" t="str">
        <f t="shared" si="105"/>
        <v>2024-03</v>
      </c>
    </row>
    <row r="1373" spans="1:15" x14ac:dyDescent="0.25">
      <c r="A1373" s="9" t="s">
        <v>315</v>
      </c>
      <c r="B1373" s="9" t="s">
        <v>45</v>
      </c>
      <c r="C1373" s="25" t="s">
        <v>107</v>
      </c>
      <c r="D1373" s="19">
        <v>373.6</v>
      </c>
      <c r="E1373" s="19">
        <v>373.76</v>
      </c>
      <c r="F1373" s="19">
        <v>367.06</v>
      </c>
      <c r="G1373" s="19">
        <v>369.67</v>
      </c>
      <c r="H1373" s="19">
        <v>369.67</v>
      </c>
      <c r="I1373" s="15">
        <v>9561778</v>
      </c>
      <c r="J1373" s="19">
        <f t="shared" si="102"/>
        <v>-1.0519271948608153</v>
      </c>
      <c r="K1373" s="19">
        <f t="shared" si="103"/>
        <v>376.45300000000009</v>
      </c>
      <c r="L1373" s="19">
        <f t="shared" si="106"/>
        <v>402.41979999999995</v>
      </c>
      <c r="M1373" s="19">
        <f>MAX(G1312:G1373)</f>
        <v>465.04</v>
      </c>
      <c r="N1373" s="19">
        <f t="shared" si="104"/>
        <v>-20.507913297780835</v>
      </c>
      <c r="O1373" s="9" t="str">
        <f t="shared" si="105"/>
        <v>2024-03</v>
      </c>
    </row>
    <row r="1374" spans="1:15" x14ac:dyDescent="0.25">
      <c r="A1374" s="9" t="s">
        <v>315</v>
      </c>
      <c r="B1374" s="9" t="s">
        <v>45</v>
      </c>
      <c r="C1374" s="25" t="s">
        <v>108</v>
      </c>
      <c r="D1374" s="19">
        <v>369.67</v>
      </c>
      <c r="E1374" s="19">
        <v>393.86</v>
      </c>
      <c r="F1374" s="19">
        <v>367.74</v>
      </c>
      <c r="G1374" s="19">
        <v>387.57</v>
      </c>
      <c r="H1374" s="19">
        <v>387.57</v>
      </c>
      <c r="I1374" s="15">
        <v>6113850</v>
      </c>
      <c r="J1374" s="19">
        <f t="shared" si="102"/>
        <v>4.8421565179754849</v>
      </c>
      <c r="K1374" s="19">
        <f t="shared" si="103"/>
        <v>378.27350000000001</v>
      </c>
      <c r="L1374" s="19">
        <f t="shared" si="106"/>
        <v>401.74679999999995</v>
      </c>
      <c r="M1374" s="19">
        <f>MAX(G1312:G1374)</f>
        <v>465.04</v>
      </c>
      <c r="N1374" s="19">
        <f t="shared" si="104"/>
        <v>-16.658782040254607</v>
      </c>
      <c r="O1374" s="9" t="str">
        <f t="shared" si="105"/>
        <v>2024-03</v>
      </c>
    </row>
    <row r="1375" spans="1:15" x14ac:dyDescent="0.25">
      <c r="A1375" s="9" t="s">
        <v>315</v>
      </c>
      <c r="B1375" s="9" t="s">
        <v>45</v>
      </c>
      <c r="C1375" s="25" t="s">
        <v>109</v>
      </c>
      <c r="D1375" s="19">
        <v>387.57</v>
      </c>
      <c r="E1375" s="19">
        <v>387.67</v>
      </c>
      <c r="F1375" s="19">
        <v>367.64</v>
      </c>
      <c r="G1375" s="19">
        <v>367.76</v>
      </c>
      <c r="H1375" s="19">
        <v>367.76</v>
      </c>
      <c r="I1375" s="15">
        <v>32701697</v>
      </c>
      <c r="J1375" s="19">
        <f t="shared" si="102"/>
        <v>-5.1113347266300293</v>
      </c>
      <c r="K1375" s="19">
        <f t="shared" si="103"/>
        <v>378.6345</v>
      </c>
      <c r="L1375" s="19">
        <f t="shared" si="106"/>
        <v>400.86639999999994</v>
      </c>
      <c r="M1375" s="19">
        <f>MAX(G1312:G1375)</f>
        <v>465.04</v>
      </c>
      <c r="N1375" s="19">
        <f t="shared" si="104"/>
        <v>-20.918630655427496</v>
      </c>
      <c r="O1375" s="9" t="str">
        <f t="shared" si="105"/>
        <v>2024-03</v>
      </c>
    </row>
    <row r="1376" spans="1:15" x14ac:dyDescent="0.25">
      <c r="A1376" s="9" t="s">
        <v>315</v>
      </c>
      <c r="B1376" s="9" t="s">
        <v>45</v>
      </c>
      <c r="C1376" s="25" t="s">
        <v>110</v>
      </c>
      <c r="D1376" s="19">
        <v>367.76</v>
      </c>
      <c r="E1376" s="19">
        <v>368.03</v>
      </c>
      <c r="F1376" s="19">
        <v>366.49</v>
      </c>
      <c r="G1376" s="19">
        <v>367.35</v>
      </c>
      <c r="H1376" s="19">
        <v>367.35</v>
      </c>
      <c r="I1376" s="15">
        <v>9692817</v>
      </c>
      <c r="J1376" s="19">
        <f t="shared" si="102"/>
        <v>-0.11148575157710686</v>
      </c>
      <c r="K1376" s="19">
        <f t="shared" si="103"/>
        <v>378.76750000000004</v>
      </c>
      <c r="L1376" s="19">
        <f t="shared" si="106"/>
        <v>399.52419999999989</v>
      </c>
      <c r="M1376" s="19">
        <f>MAX(G1312:G1376)</f>
        <v>465.04</v>
      </c>
      <c r="N1376" s="19">
        <f t="shared" si="104"/>
        <v>-21.006795114398759</v>
      </c>
      <c r="O1376" s="9" t="str">
        <f t="shared" si="105"/>
        <v>2024-03</v>
      </c>
    </row>
    <row r="1377" spans="1:15" x14ac:dyDescent="0.25">
      <c r="A1377" s="9" t="s">
        <v>315</v>
      </c>
      <c r="B1377" s="9" t="s">
        <v>45</v>
      </c>
      <c r="C1377" s="25" t="s">
        <v>111</v>
      </c>
      <c r="D1377" s="19">
        <v>367.35</v>
      </c>
      <c r="E1377" s="19">
        <v>368.03</v>
      </c>
      <c r="F1377" s="19">
        <v>359.25</v>
      </c>
      <c r="G1377" s="19">
        <v>359.65</v>
      </c>
      <c r="H1377" s="19">
        <v>359.65</v>
      </c>
      <c r="I1377" s="15">
        <v>7615854</v>
      </c>
      <c r="J1377" s="19">
        <f t="shared" ref="J1377:J1440" si="107">IFERROR((G1377-G1376)/G1376*100,"")</f>
        <v>-2.0960936436640929</v>
      </c>
      <c r="K1377" s="19">
        <f t="shared" si="103"/>
        <v>379.05800000000005</v>
      </c>
      <c r="L1377" s="19">
        <f t="shared" si="106"/>
        <v>398.32859999999988</v>
      </c>
      <c r="M1377" s="19">
        <f>MAX(G1312:G1377)</f>
        <v>465.04</v>
      </c>
      <c r="N1377" s="19">
        <f t="shared" si="104"/>
        <v>-22.662566660932402</v>
      </c>
      <c r="O1377" s="9" t="str">
        <f t="shared" si="105"/>
        <v>2024-04</v>
      </c>
    </row>
    <row r="1378" spans="1:15" x14ac:dyDescent="0.25">
      <c r="A1378" s="9" t="s">
        <v>315</v>
      </c>
      <c r="B1378" s="9" t="s">
        <v>45</v>
      </c>
      <c r="C1378" s="25" t="s">
        <v>112</v>
      </c>
      <c r="D1378" s="19">
        <v>359.65</v>
      </c>
      <c r="E1378" s="19">
        <v>360.78</v>
      </c>
      <c r="F1378" s="19">
        <v>354.75</v>
      </c>
      <c r="G1378" s="19">
        <v>355.65</v>
      </c>
      <c r="H1378" s="19">
        <v>355.65</v>
      </c>
      <c r="I1378" s="15">
        <v>8784737</v>
      </c>
      <c r="J1378" s="19">
        <f t="shared" si="107"/>
        <v>-1.1121924092868067</v>
      </c>
      <c r="K1378" s="19">
        <f t="shared" si="103"/>
        <v>378.57049999999998</v>
      </c>
      <c r="L1378" s="19">
        <f t="shared" si="106"/>
        <v>396.92559999999992</v>
      </c>
      <c r="M1378" s="19">
        <f>MAX(G1312:G1378)</f>
        <v>465.04</v>
      </c>
      <c r="N1378" s="19">
        <f t="shared" si="104"/>
        <v>-23.522707724066755</v>
      </c>
      <c r="O1378" s="9" t="str">
        <f t="shared" si="105"/>
        <v>2024-04</v>
      </c>
    </row>
    <row r="1379" spans="1:15" x14ac:dyDescent="0.25">
      <c r="A1379" s="9" t="s">
        <v>315</v>
      </c>
      <c r="B1379" s="9" t="s">
        <v>45</v>
      </c>
      <c r="C1379" s="25" t="s">
        <v>113</v>
      </c>
      <c r="D1379" s="19">
        <v>355.65</v>
      </c>
      <c r="E1379" s="19">
        <v>362.74</v>
      </c>
      <c r="F1379" s="19">
        <v>355.32</v>
      </c>
      <c r="G1379" s="19">
        <v>362.49</v>
      </c>
      <c r="H1379" s="19">
        <v>362.49</v>
      </c>
      <c r="I1379" s="15">
        <v>8596843</v>
      </c>
      <c r="J1379" s="19">
        <f t="shared" si="107"/>
        <v>1.9232391396035518</v>
      </c>
      <c r="K1379" s="19">
        <f t="shared" si="103"/>
        <v>378.35700000000003</v>
      </c>
      <c r="L1379" s="19">
        <f t="shared" si="106"/>
        <v>395.4781999999999</v>
      </c>
      <c r="M1379" s="19">
        <f>MAX(G1312:G1379)</f>
        <v>465.04</v>
      </c>
      <c r="N1379" s="19">
        <f t="shared" si="104"/>
        <v>-22.051866506107004</v>
      </c>
      <c r="O1379" s="9" t="str">
        <f t="shared" si="105"/>
        <v>2024-04</v>
      </c>
    </row>
    <row r="1380" spans="1:15" x14ac:dyDescent="0.25">
      <c r="A1380" s="9" t="s">
        <v>315</v>
      </c>
      <c r="B1380" s="9" t="s">
        <v>45</v>
      </c>
      <c r="C1380" s="25" t="s">
        <v>114</v>
      </c>
      <c r="D1380" s="19">
        <v>362.49</v>
      </c>
      <c r="E1380" s="19">
        <v>364.19</v>
      </c>
      <c r="F1380" s="19">
        <v>356.35</v>
      </c>
      <c r="G1380" s="19">
        <v>356.64</v>
      </c>
      <c r="H1380" s="19">
        <v>356.64</v>
      </c>
      <c r="I1380" s="15">
        <v>9084363</v>
      </c>
      <c r="J1380" s="19">
        <f t="shared" si="107"/>
        <v>-1.6138376231068503</v>
      </c>
      <c r="K1380" s="19">
        <f t="shared" si="103"/>
        <v>377.83599999999996</v>
      </c>
      <c r="L1380" s="19">
        <f t="shared" si="106"/>
        <v>394.48519999999985</v>
      </c>
      <c r="M1380" s="19">
        <f>MAX(G1312:G1380)</f>
        <v>465.04</v>
      </c>
      <c r="N1380" s="19">
        <f t="shared" si="104"/>
        <v>-23.309822810941</v>
      </c>
      <c r="O1380" s="9" t="str">
        <f t="shared" si="105"/>
        <v>2024-04</v>
      </c>
    </row>
    <row r="1381" spans="1:15" x14ac:dyDescent="0.25">
      <c r="A1381" s="9" t="s">
        <v>315</v>
      </c>
      <c r="B1381" s="9" t="s">
        <v>45</v>
      </c>
      <c r="C1381" s="25" t="s">
        <v>115</v>
      </c>
      <c r="D1381" s="19">
        <v>356.64</v>
      </c>
      <c r="E1381" s="19">
        <v>376.52</v>
      </c>
      <c r="F1381" s="19">
        <v>355.99</v>
      </c>
      <c r="G1381" s="19">
        <v>375.3</v>
      </c>
      <c r="H1381" s="19">
        <v>375.3</v>
      </c>
      <c r="I1381" s="15">
        <v>35073548</v>
      </c>
      <c r="J1381" s="19">
        <f t="shared" si="107"/>
        <v>5.2321668909825103</v>
      </c>
      <c r="K1381" s="19">
        <f t="shared" si="103"/>
        <v>377.61099999999999</v>
      </c>
      <c r="L1381" s="19">
        <f t="shared" si="106"/>
        <v>394.00419999999991</v>
      </c>
      <c r="M1381" s="19">
        <f>MAX(G1312:G1381)</f>
        <v>465.04</v>
      </c>
      <c r="N1381" s="19">
        <f t="shared" si="104"/>
        <v>-19.297264751419231</v>
      </c>
      <c r="O1381" s="9" t="str">
        <f t="shared" si="105"/>
        <v>2024-04</v>
      </c>
    </row>
    <row r="1382" spans="1:15" x14ac:dyDescent="0.25">
      <c r="A1382" s="9" t="s">
        <v>315</v>
      </c>
      <c r="B1382" s="9" t="s">
        <v>45</v>
      </c>
      <c r="C1382" s="25" t="s">
        <v>116</v>
      </c>
      <c r="D1382" s="19">
        <v>375.3</v>
      </c>
      <c r="E1382" s="19">
        <v>375.79</v>
      </c>
      <c r="F1382" s="19">
        <v>351.64</v>
      </c>
      <c r="G1382" s="19">
        <v>354.76</v>
      </c>
      <c r="H1382" s="19">
        <v>354.76</v>
      </c>
      <c r="I1382" s="15">
        <v>12446018</v>
      </c>
      <c r="J1382" s="19">
        <f t="shared" si="107"/>
        <v>-5.4729549693578523</v>
      </c>
      <c r="K1382" s="19">
        <f t="shared" si="103"/>
        <v>376.45299999999997</v>
      </c>
      <c r="L1382" s="19">
        <f t="shared" si="106"/>
        <v>393.01779999999997</v>
      </c>
      <c r="M1382" s="19">
        <f>MAX(G1312:G1382)</f>
        <v>465.04</v>
      </c>
      <c r="N1382" s="19">
        <f t="shared" si="104"/>
        <v>-23.714089110614147</v>
      </c>
      <c r="O1382" s="9" t="str">
        <f t="shared" si="105"/>
        <v>2024-04</v>
      </c>
    </row>
    <row r="1383" spans="1:15" x14ac:dyDescent="0.25">
      <c r="A1383" s="9" t="s">
        <v>315</v>
      </c>
      <c r="B1383" s="9" t="s">
        <v>45</v>
      </c>
      <c r="C1383" s="25" t="s">
        <v>117</v>
      </c>
      <c r="D1383" s="19">
        <v>354.76</v>
      </c>
      <c r="E1383" s="19">
        <v>361.3</v>
      </c>
      <c r="F1383" s="19">
        <v>354.73</v>
      </c>
      <c r="G1383" s="19">
        <v>360.15</v>
      </c>
      <c r="H1383" s="19">
        <v>360.15</v>
      </c>
      <c r="I1383" s="15">
        <v>11178390</v>
      </c>
      <c r="J1383" s="19">
        <f t="shared" si="107"/>
        <v>1.5193370165745819</v>
      </c>
      <c r="K1383" s="19">
        <f t="shared" si="103"/>
        <v>375.2045</v>
      </c>
      <c r="L1383" s="19">
        <f t="shared" si="106"/>
        <v>392.05620000000005</v>
      </c>
      <c r="M1383" s="19">
        <f>MAX(G1312:G1383)</f>
        <v>465.04</v>
      </c>
      <c r="N1383" s="19">
        <f t="shared" si="104"/>
        <v>-22.555049028040607</v>
      </c>
      <c r="O1383" s="9" t="str">
        <f t="shared" si="105"/>
        <v>2024-04</v>
      </c>
    </row>
    <row r="1384" spans="1:15" x14ac:dyDescent="0.25">
      <c r="A1384" s="9" t="s">
        <v>315</v>
      </c>
      <c r="B1384" s="9" t="s">
        <v>45</v>
      </c>
      <c r="C1384" s="25" t="s">
        <v>118</v>
      </c>
      <c r="D1384" s="19">
        <v>360.15</v>
      </c>
      <c r="E1384" s="19">
        <v>360.54</v>
      </c>
      <c r="F1384" s="19">
        <v>358.11</v>
      </c>
      <c r="G1384" s="19">
        <v>359.8</v>
      </c>
      <c r="H1384" s="19">
        <v>359.8</v>
      </c>
      <c r="I1384" s="15">
        <v>10352538</v>
      </c>
      <c r="J1384" s="19">
        <f t="shared" si="107"/>
        <v>-9.7181729834781599E-2</v>
      </c>
      <c r="K1384" s="19">
        <f t="shared" si="103"/>
        <v>373.04650000000004</v>
      </c>
      <c r="L1384" s="19">
        <f t="shared" si="106"/>
        <v>390.82880000000006</v>
      </c>
      <c r="M1384" s="19">
        <f>MAX(G1312:G1384)</f>
        <v>465.04</v>
      </c>
      <c r="N1384" s="19">
        <f t="shared" si="104"/>
        <v>-22.630311371064856</v>
      </c>
      <c r="O1384" s="9" t="str">
        <f t="shared" si="105"/>
        <v>2024-04</v>
      </c>
    </row>
    <row r="1385" spans="1:15" x14ac:dyDescent="0.25">
      <c r="A1385" s="9" t="s">
        <v>315</v>
      </c>
      <c r="B1385" s="9" t="s">
        <v>45</v>
      </c>
      <c r="C1385" s="25" t="s">
        <v>119</v>
      </c>
      <c r="D1385" s="19">
        <v>359.8</v>
      </c>
      <c r="E1385" s="19">
        <v>361.8</v>
      </c>
      <c r="F1385" s="19">
        <v>351.64</v>
      </c>
      <c r="G1385" s="19">
        <v>352.53</v>
      </c>
      <c r="H1385" s="19">
        <v>352.53</v>
      </c>
      <c r="I1385" s="15">
        <v>7759054</v>
      </c>
      <c r="J1385" s="19">
        <f t="shared" si="107"/>
        <v>-2.0205669816564864</v>
      </c>
      <c r="K1385" s="19">
        <f t="shared" si="103"/>
        <v>370.19200000000001</v>
      </c>
      <c r="L1385" s="19">
        <f t="shared" si="106"/>
        <v>388.96940000000001</v>
      </c>
      <c r="M1385" s="19">
        <f>MAX(G1312:G1385)</f>
        <v>465.04</v>
      </c>
      <c r="N1385" s="19">
        <f t="shared" si="104"/>
        <v>-24.193617753311553</v>
      </c>
      <c r="O1385" s="9" t="str">
        <f t="shared" si="105"/>
        <v>2024-04</v>
      </c>
    </row>
    <row r="1386" spans="1:15" x14ac:dyDescent="0.25">
      <c r="A1386" s="9" t="s">
        <v>315</v>
      </c>
      <c r="B1386" s="9" t="s">
        <v>45</v>
      </c>
      <c r="C1386" s="25" t="s">
        <v>120</v>
      </c>
      <c r="D1386" s="19">
        <v>352.53</v>
      </c>
      <c r="E1386" s="19">
        <v>354.31</v>
      </c>
      <c r="F1386" s="19">
        <v>350.05</v>
      </c>
      <c r="G1386" s="19">
        <v>351.07</v>
      </c>
      <c r="H1386" s="19">
        <v>351.07</v>
      </c>
      <c r="I1386" s="15">
        <v>2627110</v>
      </c>
      <c r="J1386" s="19">
        <f t="shared" si="107"/>
        <v>-0.41414915042690831</v>
      </c>
      <c r="K1386" s="19">
        <f t="shared" si="103"/>
        <v>368.02599999999995</v>
      </c>
      <c r="L1386" s="19">
        <f t="shared" si="106"/>
        <v>387.11419999999993</v>
      </c>
      <c r="M1386" s="19">
        <f>MAX(G1312:G1386)</f>
        <v>465.04</v>
      </c>
      <c r="N1386" s="19">
        <f t="shared" si="104"/>
        <v>-24.507569241355586</v>
      </c>
      <c r="O1386" s="9" t="str">
        <f t="shared" si="105"/>
        <v>2024-04</v>
      </c>
    </row>
    <row r="1387" spans="1:15" x14ac:dyDescent="0.25">
      <c r="A1387" s="9" t="s">
        <v>315</v>
      </c>
      <c r="B1387" s="9" t="s">
        <v>45</v>
      </c>
      <c r="C1387" s="25" t="s">
        <v>121</v>
      </c>
      <c r="D1387" s="19">
        <v>351.07</v>
      </c>
      <c r="E1387" s="19">
        <v>365.35</v>
      </c>
      <c r="F1387" s="19">
        <v>350.61</v>
      </c>
      <c r="G1387" s="19">
        <v>363.77</v>
      </c>
      <c r="H1387" s="19">
        <v>363.77</v>
      </c>
      <c r="I1387" s="15">
        <v>9204306</v>
      </c>
      <c r="J1387" s="19">
        <f t="shared" si="107"/>
        <v>3.6175121770587029</v>
      </c>
      <c r="K1387" s="19">
        <f t="shared" si="103"/>
        <v>366.98199999999997</v>
      </c>
      <c r="L1387" s="19">
        <f t="shared" si="106"/>
        <v>385.67479999999989</v>
      </c>
      <c r="M1387" s="19">
        <f>MAX(G1312:G1387)</f>
        <v>465.04</v>
      </c>
      <c r="N1387" s="19">
        <f t="shared" si="104"/>
        <v>-21.776621365904017</v>
      </c>
      <c r="O1387" s="9" t="str">
        <f t="shared" si="105"/>
        <v>2024-04</v>
      </c>
    </row>
    <row r="1388" spans="1:15" x14ac:dyDescent="0.25">
      <c r="A1388" s="9" t="s">
        <v>315</v>
      </c>
      <c r="B1388" s="9" t="s">
        <v>45</v>
      </c>
      <c r="C1388" s="25" t="s">
        <v>122</v>
      </c>
      <c r="D1388" s="19">
        <v>363.77</v>
      </c>
      <c r="E1388" s="19">
        <v>364.22</v>
      </c>
      <c r="F1388" s="19">
        <v>347.5</v>
      </c>
      <c r="G1388" s="19">
        <v>350.11</v>
      </c>
      <c r="H1388" s="19">
        <v>350.11</v>
      </c>
      <c r="I1388" s="15">
        <v>10592781</v>
      </c>
      <c r="J1388" s="19">
        <f t="shared" si="107"/>
        <v>-3.7551199934024155</v>
      </c>
      <c r="K1388" s="19">
        <f t="shared" si="103"/>
        <v>365.52550000000008</v>
      </c>
      <c r="L1388" s="19">
        <f t="shared" si="106"/>
        <v>384.2519999999999</v>
      </c>
      <c r="M1388" s="19">
        <f>MAX(G1312:G1388)</f>
        <v>465.04</v>
      </c>
      <c r="N1388" s="19">
        <f t="shared" si="104"/>
        <v>-24.714003096507827</v>
      </c>
      <c r="O1388" s="9" t="str">
        <f t="shared" si="105"/>
        <v>2024-04</v>
      </c>
    </row>
    <row r="1389" spans="1:15" x14ac:dyDescent="0.25">
      <c r="A1389" s="9" t="s">
        <v>315</v>
      </c>
      <c r="B1389" s="9" t="s">
        <v>45</v>
      </c>
      <c r="C1389" s="25" t="s">
        <v>123</v>
      </c>
      <c r="D1389" s="19">
        <v>350.11</v>
      </c>
      <c r="E1389" s="19">
        <v>358.7</v>
      </c>
      <c r="F1389" s="19">
        <v>349.86</v>
      </c>
      <c r="G1389" s="19">
        <v>357.6</v>
      </c>
      <c r="H1389" s="19">
        <v>357.6</v>
      </c>
      <c r="I1389" s="15">
        <v>8348474</v>
      </c>
      <c r="J1389" s="19">
        <f t="shared" si="107"/>
        <v>2.1393276398846099</v>
      </c>
      <c r="K1389" s="19">
        <f t="shared" si="103"/>
        <v>363.94</v>
      </c>
      <c r="L1389" s="19">
        <f t="shared" si="106"/>
        <v>382.77699999999987</v>
      </c>
      <c r="M1389" s="19">
        <f>MAX(G1312:G1389)</f>
        <v>465.04</v>
      </c>
      <c r="N1389" s="19">
        <f t="shared" si="104"/>
        <v>-23.103388955788748</v>
      </c>
      <c r="O1389" s="9" t="str">
        <f t="shared" si="105"/>
        <v>2024-04</v>
      </c>
    </row>
    <row r="1390" spans="1:15" x14ac:dyDescent="0.25">
      <c r="A1390" s="9" t="s">
        <v>315</v>
      </c>
      <c r="B1390" s="9" t="s">
        <v>45</v>
      </c>
      <c r="C1390" s="25" t="s">
        <v>124</v>
      </c>
      <c r="D1390" s="19">
        <v>357.6</v>
      </c>
      <c r="E1390" s="19">
        <v>357.94</v>
      </c>
      <c r="F1390" s="19">
        <v>352.72</v>
      </c>
      <c r="G1390" s="19">
        <v>353.8</v>
      </c>
      <c r="H1390" s="19">
        <v>353.8</v>
      </c>
      <c r="I1390" s="15">
        <v>9305830</v>
      </c>
      <c r="J1390" s="19">
        <f t="shared" si="107"/>
        <v>-1.0626398210290857</v>
      </c>
      <c r="K1390" s="19">
        <f t="shared" si="103"/>
        <v>362.55949999999996</v>
      </c>
      <c r="L1390" s="19">
        <f t="shared" si="106"/>
        <v>381.58459999999991</v>
      </c>
      <c r="M1390" s="19">
        <f>MAX(G1312:G1390)</f>
        <v>465.04</v>
      </c>
      <c r="N1390" s="19">
        <f t="shared" si="104"/>
        <v>-23.920522965766384</v>
      </c>
      <c r="O1390" s="9" t="str">
        <f t="shared" si="105"/>
        <v>2024-04</v>
      </c>
    </row>
    <row r="1391" spans="1:15" x14ac:dyDescent="0.25">
      <c r="A1391" s="9" t="s">
        <v>315</v>
      </c>
      <c r="B1391" s="9" t="s">
        <v>45</v>
      </c>
      <c r="C1391" s="25" t="s">
        <v>125</v>
      </c>
      <c r="D1391" s="19">
        <v>353.8</v>
      </c>
      <c r="E1391" s="19">
        <v>362.8</v>
      </c>
      <c r="F1391" s="19">
        <v>353.72</v>
      </c>
      <c r="G1391" s="19">
        <v>362.2</v>
      </c>
      <c r="H1391" s="19">
        <v>362.2</v>
      </c>
      <c r="I1391" s="15">
        <v>7829111</v>
      </c>
      <c r="J1391" s="19">
        <f t="shared" si="107"/>
        <v>2.3742227247032157</v>
      </c>
      <c r="K1391" s="19">
        <f t="shared" si="103"/>
        <v>362.07349999999991</v>
      </c>
      <c r="L1391" s="19">
        <f t="shared" si="106"/>
        <v>380.2211999999999</v>
      </c>
      <c r="M1391" s="19">
        <f>MAX(G1312:G1391)</f>
        <v>465.04</v>
      </c>
      <c r="N1391" s="19">
        <f t="shared" si="104"/>
        <v>-22.114226733184246</v>
      </c>
      <c r="O1391" s="9" t="str">
        <f t="shared" si="105"/>
        <v>2024-04</v>
      </c>
    </row>
    <row r="1392" spans="1:15" x14ac:dyDescent="0.25">
      <c r="A1392" s="9" t="s">
        <v>315</v>
      </c>
      <c r="B1392" s="9" t="s">
        <v>45</v>
      </c>
      <c r="C1392" s="25" t="s">
        <v>126</v>
      </c>
      <c r="D1392" s="19">
        <v>362.2</v>
      </c>
      <c r="E1392" s="19">
        <v>363.91</v>
      </c>
      <c r="F1392" s="19">
        <v>362.15</v>
      </c>
      <c r="G1392" s="19">
        <v>363.23</v>
      </c>
      <c r="H1392" s="19">
        <v>363.23</v>
      </c>
      <c r="I1392" s="15">
        <v>8749137</v>
      </c>
      <c r="J1392" s="19">
        <f t="shared" si="107"/>
        <v>0.28437327443402249</v>
      </c>
      <c r="K1392" s="19">
        <f t="shared" si="103"/>
        <v>361.55500000000001</v>
      </c>
      <c r="L1392" s="19">
        <f t="shared" si="106"/>
        <v>379.11759999999987</v>
      </c>
      <c r="M1392" s="19">
        <f>MAX(G1312:G1392)</f>
        <v>465.04</v>
      </c>
      <c r="N1392" s="19">
        <f t="shared" si="104"/>
        <v>-21.892740409427144</v>
      </c>
      <c r="O1392" s="9" t="str">
        <f t="shared" si="105"/>
        <v>2024-04</v>
      </c>
    </row>
    <row r="1393" spans="1:15" x14ac:dyDescent="0.25">
      <c r="A1393" s="9" t="s">
        <v>315</v>
      </c>
      <c r="B1393" s="9" t="s">
        <v>45</v>
      </c>
      <c r="C1393" s="25" t="s">
        <v>127</v>
      </c>
      <c r="D1393" s="19">
        <v>363.23</v>
      </c>
      <c r="E1393" s="19">
        <v>365</v>
      </c>
      <c r="F1393" s="19">
        <v>348.04</v>
      </c>
      <c r="G1393" s="19">
        <v>349.01</v>
      </c>
      <c r="H1393" s="19">
        <v>349.01</v>
      </c>
      <c r="I1393" s="15">
        <v>8366380</v>
      </c>
      <c r="J1393" s="19">
        <f t="shared" si="107"/>
        <v>-3.9148748726702163</v>
      </c>
      <c r="K1393" s="19">
        <f t="shared" si="103"/>
        <v>360.52200000000005</v>
      </c>
      <c r="L1393" s="19">
        <f t="shared" si="106"/>
        <v>377.39899999999989</v>
      </c>
      <c r="M1393" s="19">
        <f>MAX(G1312:G1393)</f>
        <v>465.04</v>
      </c>
      <c r="N1393" s="19">
        <f t="shared" si="104"/>
        <v>-24.950541888869779</v>
      </c>
      <c r="O1393" s="9" t="str">
        <f t="shared" si="105"/>
        <v>2024-04</v>
      </c>
    </row>
    <row r="1394" spans="1:15" x14ac:dyDescent="0.25">
      <c r="A1394" s="9" t="s">
        <v>315</v>
      </c>
      <c r="B1394" s="9" t="s">
        <v>45</v>
      </c>
      <c r="C1394" s="25" t="s">
        <v>128</v>
      </c>
      <c r="D1394" s="19">
        <v>349.01</v>
      </c>
      <c r="E1394" s="19">
        <v>349.89</v>
      </c>
      <c r="F1394" s="19">
        <v>337.47</v>
      </c>
      <c r="G1394" s="19">
        <v>340.72</v>
      </c>
      <c r="H1394" s="19">
        <v>340.72</v>
      </c>
      <c r="I1394" s="15">
        <v>11464673</v>
      </c>
      <c r="J1394" s="19">
        <f t="shared" si="107"/>
        <v>-2.3752901063006688</v>
      </c>
      <c r="K1394" s="19">
        <f t="shared" si="103"/>
        <v>358.17950000000008</v>
      </c>
      <c r="L1394" s="19">
        <f t="shared" si="106"/>
        <v>375.22699999999992</v>
      </c>
      <c r="M1394" s="19">
        <f>MAX(G1312:G1394)</f>
        <v>465.04</v>
      </c>
      <c r="N1394" s="19">
        <f t="shared" si="104"/>
        <v>-26.733184242215717</v>
      </c>
      <c r="O1394" s="9" t="str">
        <f t="shared" si="105"/>
        <v>2024-04</v>
      </c>
    </row>
    <row r="1395" spans="1:15" x14ac:dyDescent="0.25">
      <c r="A1395" s="9" t="s">
        <v>315</v>
      </c>
      <c r="B1395" s="9" t="s">
        <v>45</v>
      </c>
      <c r="C1395" s="25" t="s">
        <v>129</v>
      </c>
      <c r="D1395" s="19">
        <v>340.72</v>
      </c>
      <c r="E1395" s="19">
        <v>341.71</v>
      </c>
      <c r="F1395" s="19">
        <v>325.24</v>
      </c>
      <c r="G1395" s="19">
        <v>325.31</v>
      </c>
      <c r="H1395" s="19">
        <v>325.31</v>
      </c>
      <c r="I1395" s="15">
        <v>5320276</v>
      </c>
      <c r="J1395" s="19">
        <f t="shared" si="107"/>
        <v>-4.5227752993660548</v>
      </c>
      <c r="K1395" s="19">
        <f t="shared" ref="K1395:K1458" si="108">AVERAGE(G1376:G1395)</f>
        <v>356.05700000000007</v>
      </c>
      <c r="L1395" s="19">
        <f t="shared" si="106"/>
        <v>372.91140000000001</v>
      </c>
      <c r="M1395" s="19">
        <f>MAX(G1312:G1395)</f>
        <v>465.04</v>
      </c>
      <c r="N1395" s="19">
        <f t="shared" si="104"/>
        <v>-30.046877687940825</v>
      </c>
      <c r="O1395" s="9" t="str">
        <f t="shared" si="105"/>
        <v>2024-04</v>
      </c>
    </row>
    <row r="1396" spans="1:15" x14ac:dyDescent="0.25">
      <c r="A1396" s="9" t="s">
        <v>315</v>
      </c>
      <c r="B1396" s="9" t="s">
        <v>45</v>
      </c>
      <c r="C1396" s="25" t="s">
        <v>130</v>
      </c>
      <c r="D1396" s="19">
        <v>325.31</v>
      </c>
      <c r="E1396" s="19">
        <v>325.95</v>
      </c>
      <c r="F1396" s="19">
        <v>318.73</v>
      </c>
      <c r="G1396" s="19">
        <v>319.37</v>
      </c>
      <c r="H1396" s="19">
        <v>319.37</v>
      </c>
      <c r="I1396" s="15">
        <v>6867397</v>
      </c>
      <c r="J1396" s="19">
        <f t="shared" si="107"/>
        <v>-1.8259506317051422</v>
      </c>
      <c r="K1396" s="19">
        <f t="shared" si="108"/>
        <v>353.65800000000002</v>
      </c>
      <c r="L1396" s="19">
        <f t="shared" si="106"/>
        <v>370.75379999999996</v>
      </c>
      <c r="M1396" s="19">
        <f>MAX(G1312:G1396)</f>
        <v>465.04</v>
      </c>
      <c r="N1396" s="19">
        <f t="shared" si="104"/>
        <v>-31.324187166695339</v>
      </c>
      <c r="O1396" s="9" t="str">
        <f t="shared" si="105"/>
        <v>2024-04</v>
      </c>
    </row>
    <row r="1397" spans="1:15" x14ac:dyDescent="0.25">
      <c r="A1397" s="9" t="s">
        <v>315</v>
      </c>
      <c r="B1397" s="9" t="s">
        <v>45</v>
      </c>
      <c r="C1397" s="25" t="s">
        <v>131</v>
      </c>
      <c r="D1397" s="19">
        <v>319.37</v>
      </c>
      <c r="E1397" s="19">
        <v>319.92</v>
      </c>
      <c r="F1397" s="19">
        <v>299.83999999999997</v>
      </c>
      <c r="G1397" s="19">
        <v>302.98</v>
      </c>
      <c r="H1397" s="19">
        <v>302.98</v>
      </c>
      <c r="I1397" s="15">
        <v>26423332</v>
      </c>
      <c r="J1397" s="19">
        <f t="shared" si="107"/>
        <v>-5.131978582834952</v>
      </c>
      <c r="K1397" s="19">
        <f t="shared" si="108"/>
        <v>350.82450000000006</v>
      </c>
      <c r="L1397" s="19">
        <f t="shared" si="106"/>
        <v>368.39519999999999</v>
      </c>
      <c r="M1397" s="19">
        <f>MAX(G1312:G1397)</f>
        <v>465.04</v>
      </c>
      <c r="N1397" s="19">
        <f t="shared" si="104"/>
        <v>-34.848615172888351</v>
      </c>
      <c r="O1397" s="9" t="str">
        <f t="shared" si="105"/>
        <v>2024-04</v>
      </c>
    </row>
    <row r="1398" spans="1:15" x14ac:dyDescent="0.25">
      <c r="A1398" s="9" t="s">
        <v>315</v>
      </c>
      <c r="B1398" s="9" t="s">
        <v>45</v>
      </c>
      <c r="C1398" s="25" t="s">
        <v>132</v>
      </c>
      <c r="D1398" s="19">
        <v>302.98</v>
      </c>
      <c r="E1398" s="19">
        <v>309.7</v>
      </c>
      <c r="F1398" s="19">
        <v>302.89</v>
      </c>
      <c r="G1398" s="19">
        <v>309.25</v>
      </c>
      <c r="H1398" s="19">
        <v>309.25</v>
      </c>
      <c r="I1398" s="15">
        <v>9839424</v>
      </c>
      <c r="J1398" s="19">
        <f t="shared" si="107"/>
        <v>2.0694435276255798</v>
      </c>
      <c r="K1398" s="19">
        <f t="shared" si="108"/>
        <v>348.50450000000012</v>
      </c>
      <c r="L1398" s="19">
        <f t="shared" si="106"/>
        <v>366.37400000000002</v>
      </c>
      <c r="M1398" s="19">
        <f>MAX(G1312:G1398)</f>
        <v>465.04</v>
      </c>
      <c r="N1398" s="19">
        <f t="shared" si="104"/>
        <v>-33.500344056425256</v>
      </c>
      <c r="O1398" s="9" t="str">
        <f t="shared" si="105"/>
        <v>2024-04</v>
      </c>
    </row>
    <row r="1399" spans="1:15" x14ac:dyDescent="0.25">
      <c r="A1399" s="9" t="s">
        <v>315</v>
      </c>
      <c r="B1399" s="9" t="s">
        <v>45</v>
      </c>
      <c r="C1399" s="25" t="s">
        <v>133</v>
      </c>
      <c r="D1399" s="19">
        <v>309.25</v>
      </c>
      <c r="E1399" s="19">
        <v>316.22000000000003</v>
      </c>
      <c r="F1399" s="19">
        <v>307.35000000000002</v>
      </c>
      <c r="G1399" s="19">
        <v>314.43</v>
      </c>
      <c r="H1399" s="19">
        <v>314.43</v>
      </c>
      <c r="I1399" s="15">
        <v>6973732</v>
      </c>
      <c r="J1399" s="19">
        <f t="shared" si="107"/>
        <v>1.6750202101859359</v>
      </c>
      <c r="K1399" s="19">
        <f t="shared" si="108"/>
        <v>346.1015000000001</v>
      </c>
      <c r="L1399" s="19">
        <f t="shared" si="106"/>
        <v>364.41860000000003</v>
      </c>
      <c r="M1399" s="19">
        <f>MAX(G1312:G1399)</f>
        <v>465.04</v>
      </c>
      <c r="N1399" s="19">
        <f t="shared" si="104"/>
        <v>-32.386461379666265</v>
      </c>
      <c r="O1399" s="9" t="str">
        <f t="shared" si="105"/>
        <v>2024-05</v>
      </c>
    </row>
    <row r="1400" spans="1:15" x14ac:dyDescent="0.25">
      <c r="A1400" s="9" t="s">
        <v>315</v>
      </c>
      <c r="B1400" s="9" t="s">
        <v>45</v>
      </c>
      <c r="C1400" s="25" t="s">
        <v>134</v>
      </c>
      <c r="D1400" s="19">
        <v>314.43</v>
      </c>
      <c r="E1400" s="19">
        <v>321.81</v>
      </c>
      <c r="F1400" s="19">
        <v>313.66000000000003</v>
      </c>
      <c r="G1400" s="19">
        <v>321.64</v>
      </c>
      <c r="H1400" s="19">
        <v>321.64</v>
      </c>
      <c r="I1400" s="15">
        <v>7404472</v>
      </c>
      <c r="J1400" s="19">
        <f t="shared" si="107"/>
        <v>2.2930381961008743</v>
      </c>
      <c r="K1400" s="19">
        <f t="shared" si="108"/>
        <v>344.3515000000001</v>
      </c>
      <c r="L1400" s="19">
        <f t="shared" si="106"/>
        <v>362.69099999999992</v>
      </c>
      <c r="M1400" s="19">
        <f>MAX(G1312:G1400)</f>
        <v>465.04</v>
      </c>
      <c r="N1400" s="19">
        <f t="shared" si="104"/>
        <v>-30.8360571133666</v>
      </c>
      <c r="O1400" s="9" t="str">
        <f t="shared" si="105"/>
        <v>2024-05</v>
      </c>
    </row>
    <row r="1401" spans="1:15" x14ac:dyDescent="0.25">
      <c r="A1401" s="9" t="s">
        <v>315</v>
      </c>
      <c r="B1401" s="9" t="s">
        <v>45</v>
      </c>
      <c r="C1401" s="25" t="s">
        <v>135</v>
      </c>
      <c r="D1401" s="19">
        <v>321.64</v>
      </c>
      <c r="E1401" s="19">
        <v>323.18</v>
      </c>
      <c r="F1401" s="19">
        <v>321.31</v>
      </c>
      <c r="G1401" s="19">
        <v>322.3</v>
      </c>
      <c r="H1401" s="19">
        <v>322.3</v>
      </c>
      <c r="I1401" s="15">
        <v>8530614</v>
      </c>
      <c r="J1401" s="19">
        <f t="shared" si="107"/>
        <v>0.20519835841314049</v>
      </c>
      <c r="K1401" s="19">
        <f t="shared" si="108"/>
        <v>341.70150000000001</v>
      </c>
      <c r="L1401" s="19">
        <f t="shared" si="106"/>
        <v>361.14259999999996</v>
      </c>
      <c r="M1401" s="19">
        <f>MAX(G1312:G1401)</f>
        <v>465.04</v>
      </c>
      <c r="N1401" s="19">
        <f t="shared" si="104"/>
        <v>-30.694133837949423</v>
      </c>
      <c r="O1401" s="9" t="str">
        <f t="shared" si="105"/>
        <v>2024-05</v>
      </c>
    </row>
    <row r="1402" spans="1:15" x14ac:dyDescent="0.25">
      <c r="A1402" s="9" t="s">
        <v>315</v>
      </c>
      <c r="B1402" s="9" t="s">
        <v>45</v>
      </c>
      <c r="C1402" s="25" t="s">
        <v>136</v>
      </c>
      <c r="D1402" s="19">
        <v>322.3</v>
      </c>
      <c r="E1402" s="19">
        <v>324.95999999999998</v>
      </c>
      <c r="F1402" s="19">
        <v>313.92</v>
      </c>
      <c r="G1402" s="19">
        <v>314.69</v>
      </c>
      <c r="H1402" s="19">
        <v>314.69</v>
      </c>
      <c r="I1402" s="15">
        <v>8769535</v>
      </c>
      <c r="J1402" s="19">
        <f t="shared" si="107"/>
        <v>-2.3611542041576215</v>
      </c>
      <c r="K1402" s="19">
        <f t="shared" si="108"/>
        <v>339.69799999999998</v>
      </c>
      <c r="L1402" s="19">
        <f t="shared" si="106"/>
        <v>359.66699999999997</v>
      </c>
      <c r="M1402" s="19">
        <f>MAX(G1312:G1402)</f>
        <v>465.04</v>
      </c>
      <c r="N1402" s="19">
        <f t="shared" si="104"/>
        <v>-32.330552210562537</v>
      </c>
      <c r="O1402" s="9" t="str">
        <f t="shared" si="105"/>
        <v>2024-05</v>
      </c>
    </row>
    <row r="1403" spans="1:15" x14ac:dyDescent="0.25">
      <c r="A1403" s="9" t="s">
        <v>315</v>
      </c>
      <c r="B1403" s="9" t="s">
        <v>45</v>
      </c>
      <c r="C1403" s="25" t="s">
        <v>137</v>
      </c>
      <c r="D1403" s="19">
        <v>314.69</v>
      </c>
      <c r="E1403" s="19">
        <v>316.02</v>
      </c>
      <c r="F1403" s="19">
        <v>314.22000000000003</v>
      </c>
      <c r="G1403" s="19">
        <v>315.26</v>
      </c>
      <c r="H1403" s="19">
        <v>315.26</v>
      </c>
      <c r="I1403" s="15">
        <v>5386314</v>
      </c>
      <c r="J1403" s="19">
        <f t="shared" si="107"/>
        <v>0.18113063649940997</v>
      </c>
      <c r="K1403" s="19">
        <f t="shared" si="108"/>
        <v>337.45350000000002</v>
      </c>
      <c r="L1403" s="19">
        <f t="shared" si="106"/>
        <v>358.50899999999984</v>
      </c>
      <c r="M1403" s="19">
        <f>MAX(G1312:G1403)</f>
        <v>465.04</v>
      </c>
      <c r="N1403" s="19">
        <f t="shared" si="104"/>
        <v>-32.207982109065888</v>
      </c>
      <c r="O1403" s="9" t="str">
        <f t="shared" si="105"/>
        <v>2024-05</v>
      </c>
    </row>
    <row r="1404" spans="1:15" x14ac:dyDescent="0.25">
      <c r="A1404" s="9" t="s">
        <v>315</v>
      </c>
      <c r="B1404" s="9" t="s">
        <v>45</v>
      </c>
      <c r="C1404" s="25" t="s">
        <v>138</v>
      </c>
      <c r="D1404" s="19">
        <v>315.26</v>
      </c>
      <c r="E1404" s="19">
        <v>316.54000000000002</v>
      </c>
      <c r="F1404" s="19">
        <v>307.25</v>
      </c>
      <c r="G1404" s="19">
        <v>308.54000000000002</v>
      </c>
      <c r="H1404" s="19">
        <v>308.54000000000002</v>
      </c>
      <c r="I1404" s="15">
        <v>10421799</v>
      </c>
      <c r="J1404" s="19">
        <f t="shared" si="107"/>
        <v>-2.1315739389709987</v>
      </c>
      <c r="K1404" s="19">
        <f t="shared" si="108"/>
        <v>334.89050000000009</v>
      </c>
      <c r="L1404" s="19">
        <f t="shared" si="106"/>
        <v>357.65659999999991</v>
      </c>
      <c r="M1404" s="19">
        <f>MAX(G1312:G1404)</f>
        <v>465.04</v>
      </c>
      <c r="N1404" s="19">
        <f t="shared" si="104"/>
        <v>-33.653019095131597</v>
      </c>
      <c r="O1404" s="9" t="str">
        <f t="shared" si="105"/>
        <v>2024-05</v>
      </c>
    </row>
    <row r="1405" spans="1:15" x14ac:dyDescent="0.25">
      <c r="A1405" s="9" t="s">
        <v>315</v>
      </c>
      <c r="B1405" s="9" t="s">
        <v>45</v>
      </c>
      <c r="C1405" s="25" t="s">
        <v>139</v>
      </c>
      <c r="D1405" s="19">
        <v>308.54000000000002</v>
      </c>
      <c r="E1405" s="19">
        <v>312.04000000000002</v>
      </c>
      <c r="F1405" s="19">
        <v>307.10000000000002</v>
      </c>
      <c r="G1405" s="19">
        <v>311.47000000000003</v>
      </c>
      <c r="H1405" s="19">
        <v>311.47000000000003</v>
      </c>
      <c r="I1405" s="15">
        <v>9653910</v>
      </c>
      <c r="J1405" s="19">
        <f t="shared" si="107"/>
        <v>0.94963375899397384</v>
      </c>
      <c r="K1405" s="19">
        <f t="shared" si="108"/>
        <v>332.83750000000003</v>
      </c>
      <c r="L1405" s="19">
        <f t="shared" si="106"/>
        <v>356.67519999999996</v>
      </c>
      <c r="M1405" s="19">
        <f>MAX(G1312:G1405)</f>
        <v>465.04</v>
      </c>
      <c r="N1405" s="19">
        <f t="shared" si="104"/>
        <v>-33.022965766385688</v>
      </c>
      <c r="O1405" s="9" t="str">
        <f t="shared" si="105"/>
        <v>2024-05</v>
      </c>
    </row>
    <row r="1406" spans="1:15" x14ac:dyDescent="0.25">
      <c r="A1406" s="9" t="s">
        <v>315</v>
      </c>
      <c r="B1406" s="9" t="s">
        <v>45</v>
      </c>
      <c r="C1406" s="25" t="s">
        <v>140</v>
      </c>
      <c r="D1406" s="19">
        <v>311.47000000000003</v>
      </c>
      <c r="E1406" s="19">
        <v>323.58</v>
      </c>
      <c r="F1406" s="19">
        <v>310.74</v>
      </c>
      <c r="G1406" s="19">
        <v>323.25</v>
      </c>
      <c r="H1406" s="19">
        <v>323.25</v>
      </c>
      <c r="I1406" s="15">
        <v>11756190</v>
      </c>
      <c r="J1406" s="19">
        <f t="shared" si="107"/>
        <v>3.7820656885093173</v>
      </c>
      <c r="K1406" s="19">
        <f t="shared" si="108"/>
        <v>331.44650000000007</v>
      </c>
      <c r="L1406" s="19">
        <f t="shared" si="106"/>
        <v>355.8463999999999</v>
      </c>
      <c r="M1406" s="19">
        <f>MAX(G1312:G1406)</f>
        <v>465.04</v>
      </c>
      <c r="N1406" s="19">
        <f t="shared" si="104"/>
        <v>-30.489850335455017</v>
      </c>
      <c r="O1406" s="9" t="str">
        <f t="shared" si="105"/>
        <v>2024-05</v>
      </c>
    </row>
    <row r="1407" spans="1:15" x14ac:dyDescent="0.25">
      <c r="A1407" s="9" t="s">
        <v>315</v>
      </c>
      <c r="B1407" s="9" t="s">
        <v>45</v>
      </c>
      <c r="C1407" s="25" t="s">
        <v>141</v>
      </c>
      <c r="D1407" s="19">
        <v>323.25</v>
      </c>
      <c r="E1407" s="19">
        <v>340.28</v>
      </c>
      <c r="F1407" s="19">
        <v>322.32</v>
      </c>
      <c r="G1407" s="19">
        <v>339.87</v>
      </c>
      <c r="H1407" s="19">
        <v>339.87</v>
      </c>
      <c r="I1407" s="15">
        <v>26317477</v>
      </c>
      <c r="J1407" s="19">
        <f t="shared" si="107"/>
        <v>5.1415313225058021</v>
      </c>
      <c r="K1407" s="19">
        <f t="shared" si="108"/>
        <v>330.25149999999996</v>
      </c>
      <c r="L1407" s="19">
        <f t="shared" si="106"/>
        <v>355.56699999999995</v>
      </c>
      <c r="M1407" s="19">
        <f>MAX(G1312:G1407)</f>
        <v>465.04</v>
      </c>
      <c r="N1407" s="19">
        <f t="shared" si="104"/>
        <v>-26.915964218131776</v>
      </c>
      <c r="O1407" s="9" t="str">
        <f t="shared" si="105"/>
        <v>2024-05</v>
      </c>
    </row>
    <row r="1408" spans="1:15" x14ac:dyDescent="0.25">
      <c r="A1408" s="9" t="s">
        <v>315</v>
      </c>
      <c r="B1408" s="9" t="s">
        <v>45</v>
      </c>
      <c r="C1408" s="25" t="s">
        <v>142</v>
      </c>
      <c r="D1408" s="19">
        <v>339.87</v>
      </c>
      <c r="E1408" s="19">
        <v>348.5</v>
      </c>
      <c r="F1408" s="19">
        <v>338.19</v>
      </c>
      <c r="G1408" s="19">
        <v>348.07</v>
      </c>
      <c r="H1408" s="19">
        <v>348.07</v>
      </c>
      <c r="I1408" s="15">
        <v>8239078</v>
      </c>
      <c r="J1408" s="19">
        <f t="shared" si="107"/>
        <v>2.4126872039309113</v>
      </c>
      <c r="K1408" s="19">
        <f t="shared" si="108"/>
        <v>330.14949999999999</v>
      </c>
      <c r="L1408" s="19">
        <f t="shared" si="106"/>
        <v>355.22039999999993</v>
      </c>
      <c r="M1408" s="19">
        <f>MAX(G1312:G1408)</f>
        <v>465.04</v>
      </c>
      <c r="N1408" s="19">
        <f t="shared" si="104"/>
        <v>-25.152675038706352</v>
      </c>
      <c r="O1408" s="9" t="str">
        <f t="shared" si="105"/>
        <v>2024-05</v>
      </c>
    </row>
    <row r="1409" spans="1:15" x14ac:dyDescent="0.25">
      <c r="A1409" s="9" t="s">
        <v>315</v>
      </c>
      <c r="B1409" s="9" t="s">
        <v>45</v>
      </c>
      <c r="C1409" s="25" t="s">
        <v>143</v>
      </c>
      <c r="D1409" s="19">
        <v>348.07</v>
      </c>
      <c r="E1409" s="19">
        <v>361.07</v>
      </c>
      <c r="F1409" s="19">
        <v>346.63</v>
      </c>
      <c r="G1409" s="19">
        <v>359.55</v>
      </c>
      <c r="H1409" s="19">
        <v>359.55</v>
      </c>
      <c r="I1409" s="15">
        <v>6064370</v>
      </c>
      <c r="J1409" s="19">
        <f t="shared" si="107"/>
        <v>3.2981871462636878</v>
      </c>
      <c r="K1409" s="19">
        <f t="shared" si="108"/>
        <v>330.24699999999996</v>
      </c>
      <c r="L1409" s="19">
        <f t="shared" si="106"/>
        <v>355.07619999999997</v>
      </c>
      <c r="M1409" s="19">
        <f>MAX(G1312:G1409)</f>
        <v>465.04</v>
      </c>
      <c r="N1409" s="19">
        <f t="shared" si="104"/>
        <v>-22.684070187510752</v>
      </c>
      <c r="O1409" s="9" t="str">
        <f t="shared" si="105"/>
        <v>2024-05</v>
      </c>
    </row>
    <row r="1410" spans="1:15" x14ac:dyDescent="0.25">
      <c r="A1410" s="9" t="s">
        <v>315</v>
      </c>
      <c r="B1410" s="9" t="s">
        <v>45</v>
      </c>
      <c r="C1410" s="25" t="s">
        <v>144</v>
      </c>
      <c r="D1410" s="19">
        <v>359.55</v>
      </c>
      <c r="E1410" s="19">
        <v>383.09</v>
      </c>
      <c r="F1410" s="19">
        <v>358.6</v>
      </c>
      <c r="G1410" s="19">
        <v>380.1</v>
      </c>
      <c r="H1410" s="19">
        <v>380.1</v>
      </c>
      <c r="I1410" s="15">
        <v>18449343</v>
      </c>
      <c r="J1410" s="19">
        <f t="shared" si="107"/>
        <v>5.7154776804338789</v>
      </c>
      <c r="K1410" s="19">
        <f t="shared" si="108"/>
        <v>331.56200000000001</v>
      </c>
      <c r="L1410" s="19">
        <f t="shared" si="106"/>
        <v>355.33699999999988</v>
      </c>
      <c r="M1410" s="19">
        <f>MAX(G1312:G1410)</f>
        <v>465.04</v>
      </c>
      <c r="N1410" s="19">
        <f t="shared" ref="N1410:N1473" si="109">(G1410-M1410)/M1410*100</f>
        <v>-18.265095475658004</v>
      </c>
      <c r="O1410" s="9" t="str">
        <f t="shared" ref="O1410:O1473" si="110">TEXT(C1410,"yyyy-mm")</f>
        <v>2024-05</v>
      </c>
    </row>
    <row r="1411" spans="1:15" x14ac:dyDescent="0.25">
      <c r="A1411" s="9" t="s">
        <v>315</v>
      </c>
      <c r="B1411" s="9" t="s">
        <v>45</v>
      </c>
      <c r="C1411" s="25" t="s">
        <v>145</v>
      </c>
      <c r="D1411" s="19">
        <v>380.1</v>
      </c>
      <c r="E1411" s="19">
        <v>380.32</v>
      </c>
      <c r="F1411" s="19">
        <v>368.89</v>
      </c>
      <c r="G1411" s="19">
        <v>370.11</v>
      </c>
      <c r="H1411" s="19">
        <v>370.11</v>
      </c>
      <c r="I1411" s="15">
        <v>8418829</v>
      </c>
      <c r="J1411" s="19">
        <f t="shared" si="107"/>
        <v>-2.6282557221783764</v>
      </c>
      <c r="K1411" s="19">
        <f t="shared" si="108"/>
        <v>331.95749999999998</v>
      </c>
      <c r="L1411" s="19">
        <f t="shared" si="106"/>
        <v>355.14319999999998</v>
      </c>
      <c r="M1411" s="19">
        <f>MAX(G1312:G1411)</f>
        <v>465.04</v>
      </c>
      <c r="N1411" s="19">
        <f t="shared" si="109"/>
        <v>-20.413297780836057</v>
      </c>
      <c r="O1411" s="9" t="str">
        <f t="shared" si="110"/>
        <v>2024-05</v>
      </c>
    </row>
    <row r="1412" spans="1:15" x14ac:dyDescent="0.25">
      <c r="A1412" s="9" t="s">
        <v>315</v>
      </c>
      <c r="B1412" s="9" t="s">
        <v>45</v>
      </c>
      <c r="C1412" s="25" t="s">
        <v>146</v>
      </c>
      <c r="D1412" s="19">
        <v>370.11</v>
      </c>
      <c r="E1412" s="19">
        <v>377.46</v>
      </c>
      <c r="F1412" s="19">
        <v>368.93</v>
      </c>
      <c r="G1412" s="19">
        <v>376.67</v>
      </c>
      <c r="H1412" s="19">
        <v>376.67</v>
      </c>
      <c r="I1412" s="15">
        <v>6081473</v>
      </c>
      <c r="J1412" s="19">
        <f t="shared" si="107"/>
        <v>1.7724460295587805</v>
      </c>
      <c r="K1412" s="19">
        <f t="shared" si="108"/>
        <v>332.62950000000001</v>
      </c>
      <c r="L1412" s="19">
        <f t="shared" si="106"/>
        <v>355.11819999999994</v>
      </c>
      <c r="M1412" s="19">
        <f>MAX(G1312:G1412)</f>
        <v>465.04</v>
      </c>
      <c r="N1412" s="19">
        <f t="shared" si="109"/>
        <v>-19.002666437295719</v>
      </c>
      <c r="O1412" s="9" t="str">
        <f t="shared" si="110"/>
        <v>2024-05</v>
      </c>
    </row>
    <row r="1413" spans="1:15" x14ac:dyDescent="0.25">
      <c r="A1413" s="9" t="s">
        <v>315</v>
      </c>
      <c r="B1413" s="9" t="s">
        <v>45</v>
      </c>
      <c r="C1413" s="25" t="s">
        <v>147</v>
      </c>
      <c r="D1413" s="19">
        <v>376.67</v>
      </c>
      <c r="E1413" s="19">
        <v>377.11</v>
      </c>
      <c r="F1413" s="19">
        <v>373.56</v>
      </c>
      <c r="G1413" s="19">
        <v>374.31</v>
      </c>
      <c r="H1413" s="19">
        <v>374.31</v>
      </c>
      <c r="I1413" s="15">
        <v>9689074</v>
      </c>
      <c r="J1413" s="19">
        <f t="shared" si="107"/>
        <v>-0.62654312793692446</v>
      </c>
      <c r="K1413" s="19">
        <f t="shared" si="108"/>
        <v>333.89450000000005</v>
      </c>
      <c r="L1413" s="19">
        <f t="shared" si="106"/>
        <v>354.90199999999999</v>
      </c>
      <c r="M1413" s="19">
        <f>MAX(G1312:G1413)</f>
        <v>465.04</v>
      </c>
      <c r="N1413" s="19">
        <f t="shared" si="109"/>
        <v>-19.510149664544986</v>
      </c>
      <c r="O1413" s="9" t="str">
        <f t="shared" si="110"/>
        <v>2024-05</v>
      </c>
    </row>
    <row r="1414" spans="1:15" x14ac:dyDescent="0.25">
      <c r="A1414" s="9" t="s">
        <v>315</v>
      </c>
      <c r="B1414" s="9" t="s">
        <v>45</v>
      </c>
      <c r="C1414" s="25" t="s">
        <v>148</v>
      </c>
      <c r="D1414" s="19">
        <v>374.31</v>
      </c>
      <c r="E1414" s="19">
        <v>380.12</v>
      </c>
      <c r="F1414" s="19">
        <v>373.64</v>
      </c>
      <c r="G1414" s="19">
        <v>378.73</v>
      </c>
      <c r="H1414" s="19">
        <v>378.73</v>
      </c>
      <c r="I1414" s="15">
        <v>7368434</v>
      </c>
      <c r="J1414" s="19">
        <f t="shared" si="107"/>
        <v>1.1808394111832481</v>
      </c>
      <c r="K1414" s="19">
        <f t="shared" si="108"/>
        <v>335.79500000000007</v>
      </c>
      <c r="L1414" s="19">
        <f t="shared" si="106"/>
        <v>354.41739999999999</v>
      </c>
      <c r="M1414" s="19">
        <f>MAX(G1312:G1414)</f>
        <v>465.04</v>
      </c>
      <c r="N1414" s="19">
        <f t="shared" si="109"/>
        <v>-18.559693789781523</v>
      </c>
      <c r="O1414" s="9" t="str">
        <f t="shared" si="110"/>
        <v>2024-05</v>
      </c>
    </row>
    <row r="1415" spans="1:15" x14ac:dyDescent="0.25">
      <c r="A1415" s="9" t="s">
        <v>315</v>
      </c>
      <c r="B1415" s="9" t="s">
        <v>45</v>
      </c>
      <c r="C1415" s="25" t="s">
        <v>149</v>
      </c>
      <c r="D1415" s="19">
        <v>378.73</v>
      </c>
      <c r="E1415" s="19">
        <v>381.76</v>
      </c>
      <c r="F1415" s="19">
        <v>362.26</v>
      </c>
      <c r="G1415" s="19">
        <v>365.49</v>
      </c>
      <c r="H1415" s="19">
        <v>365.49</v>
      </c>
      <c r="I1415" s="15">
        <v>9022710</v>
      </c>
      <c r="J1415" s="19">
        <f t="shared" si="107"/>
        <v>-3.4958941726295802</v>
      </c>
      <c r="K1415" s="19">
        <f t="shared" si="108"/>
        <v>337.80399999999997</v>
      </c>
      <c r="L1415" s="19">
        <f t="shared" si="106"/>
        <v>353.53480000000002</v>
      </c>
      <c r="M1415" s="19">
        <f>MAX(G1312:G1415)</f>
        <v>465.04</v>
      </c>
      <c r="N1415" s="19">
        <f t="shared" si="109"/>
        <v>-21.406760708756238</v>
      </c>
      <c r="O1415" s="9" t="str">
        <f t="shared" si="110"/>
        <v>2024-05</v>
      </c>
    </row>
    <row r="1416" spans="1:15" x14ac:dyDescent="0.25">
      <c r="A1416" s="9" t="s">
        <v>315</v>
      </c>
      <c r="B1416" s="9" t="s">
        <v>45</v>
      </c>
      <c r="C1416" s="25" t="s">
        <v>150</v>
      </c>
      <c r="D1416" s="19">
        <v>365.49</v>
      </c>
      <c r="E1416" s="19">
        <v>365.62</v>
      </c>
      <c r="F1416" s="19">
        <v>361.38</v>
      </c>
      <c r="G1416" s="19">
        <v>362.13</v>
      </c>
      <c r="H1416" s="19">
        <v>362.13</v>
      </c>
      <c r="I1416" s="15">
        <v>2710338</v>
      </c>
      <c r="J1416" s="19">
        <f t="shared" si="107"/>
        <v>-0.91931379791513124</v>
      </c>
      <c r="K1416" s="19">
        <f t="shared" si="108"/>
        <v>339.94200000000006</v>
      </c>
      <c r="L1416" s="19">
        <f t="shared" si="106"/>
        <v>352.88959999999997</v>
      </c>
      <c r="M1416" s="19">
        <f>MAX(G1312:G1416)</f>
        <v>465.04</v>
      </c>
      <c r="N1416" s="19">
        <f t="shared" si="109"/>
        <v>-22.1292792017891</v>
      </c>
      <c r="O1416" s="9" t="str">
        <f t="shared" si="110"/>
        <v>2024-05</v>
      </c>
    </row>
    <row r="1417" spans="1:15" x14ac:dyDescent="0.25">
      <c r="A1417" s="9" t="s">
        <v>315</v>
      </c>
      <c r="B1417" s="9" t="s">
        <v>45</v>
      </c>
      <c r="C1417" s="25" t="s">
        <v>151</v>
      </c>
      <c r="D1417" s="19">
        <v>362.13</v>
      </c>
      <c r="E1417" s="19">
        <v>364.08</v>
      </c>
      <c r="F1417" s="19">
        <v>356.65</v>
      </c>
      <c r="G1417" s="19">
        <v>357.61</v>
      </c>
      <c r="H1417" s="19">
        <v>357.61</v>
      </c>
      <c r="I1417" s="15">
        <v>10076627</v>
      </c>
      <c r="J1417" s="19">
        <f t="shared" si="107"/>
        <v>-1.2481705464888251</v>
      </c>
      <c r="K1417" s="19">
        <f t="shared" si="108"/>
        <v>342.67349999999999</v>
      </c>
      <c r="L1417" s="19">
        <f t="shared" si="106"/>
        <v>352.34880000000004</v>
      </c>
      <c r="M1417" s="19">
        <f>MAX(G1312:G1417)</f>
        <v>465.04</v>
      </c>
      <c r="N1417" s="19">
        <f t="shared" si="109"/>
        <v>-23.101238603130913</v>
      </c>
      <c r="O1417" s="9" t="str">
        <f t="shared" si="110"/>
        <v>2024-05</v>
      </c>
    </row>
    <row r="1418" spans="1:15" x14ac:dyDescent="0.25">
      <c r="A1418" s="9" t="s">
        <v>315</v>
      </c>
      <c r="B1418" s="9" t="s">
        <v>45</v>
      </c>
      <c r="C1418" s="25" t="s">
        <v>152</v>
      </c>
      <c r="D1418" s="19">
        <v>357.61</v>
      </c>
      <c r="E1418" s="19">
        <v>371.35</v>
      </c>
      <c r="F1418" s="19">
        <v>353.93</v>
      </c>
      <c r="G1418" s="19">
        <v>370.71</v>
      </c>
      <c r="H1418" s="19">
        <v>370.71</v>
      </c>
      <c r="I1418" s="15">
        <v>6504273</v>
      </c>
      <c r="J1418" s="19">
        <f t="shared" si="107"/>
        <v>3.6632085232515772</v>
      </c>
      <c r="K1418" s="19">
        <f t="shared" si="108"/>
        <v>345.74649999999997</v>
      </c>
      <c r="L1418" s="19">
        <f t="shared" si="106"/>
        <v>352.17820000000006</v>
      </c>
      <c r="M1418" s="19">
        <f>MAX(G1312:G1418)</f>
        <v>465.04</v>
      </c>
      <c r="N1418" s="19">
        <f t="shared" si="109"/>
        <v>-20.284276621365912</v>
      </c>
      <c r="O1418" s="9" t="str">
        <f t="shared" si="110"/>
        <v>2024-05</v>
      </c>
    </row>
    <row r="1419" spans="1:15" x14ac:dyDescent="0.25">
      <c r="A1419" s="9" t="s">
        <v>315</v>
      </c>
      <c r="B1419" s="9" t="s">
        <v>45</v>
      </c>
      <c r="C1419" s="25" t="s">
        <v>153</v>
      </c>
      <c r="D1419" s="19">
        <v>370.71</v>
      </c>
      <c r="E1419" s="19">
        <v>371.47</v>
      </c>
      <c r="F1419" s="19">
        <v>369.32</v>
      </c>
      <c r="G1419" s="19">
        <v>371.35</v>
      </c>
      <c r="H1419" s="19">
        <v>371.35</v>
      </c>
      <c r="I1419" s="15">
        <v>10536733</v>
      </c>
      <c r="J1419" s="19">
        <f t="shared" si="107"/>
        <v>0.17264168757250767</v>
      </c>
      <c r="K1419" s="19">
        <f t="shared" si="108"/>
        <v>348.59250000000009</v>
      </c>
      <c r="L1419" s="19">
        <f t="shared" si="106"/>
        <v>351.81899999999996</v>
      </c>
      <c r="M1419" s="19">
        <f>MAX(G1312:G1419)</f>
        <v>465.04</v>
      </c>
      <c r="N1419" s="19">
        <f t="shared" si="109"/>
        <v>-20.146654051264406</v>
      </c>
      <c r="O1419" s="9" t="str">
        <f t="shared" si="110"/>
        <v>2024-05</v>
      </c>
    </row>
    <row r="1420" spans="1:15" x14ac:dyDescent="0.25">
      <c r="A1420" s="9" t="s">
        <v>315</v>
      </c>
      <c r="B1420" s="9" t="s">
        <v>45</v>
      </c>
      <c r="C1420" s="25" t="s">
        <v>154</v>
      </c>
      <c r="D1420" s="19">
        <v>371.35</v>
      </c>
      <c r="E1420" s="19">
        <v>373.98</v>
      </c>
      <c r="F1420" s="19">
        <v>366.62</v>
      </c>
      <c r="G1420" s="19">
        <v>367.37</v>
      </c>
      <c r="H1420" s="19">
        <v>367.37</v>
      </c>
      <c r="I1420" s="15">
        <v>7914999</v>
      </c>
      <c r="J1420" s="19">
        <f t="shared" si="107"/>
        <v>-1.071765181096006</v>
      </c>
      <c r="K1420" s="19">
        <f t="shared" si="108"/>
        <v>350.87900000000002</v>
      </c>
      <c r="L1420" s="19">
        <f t="shared" si="106"/>
        <v>351.53819999999985</v>
      </c>
      <c r="M1420" s="19">
        <f>MAX(G1312:G1420)</f>
        <v>465.04</v>
      </c>
      <c r="N1420" s="19">
        <f t="shared" si="109"/>
        <v>-21.002494409083091</v>
      </c>
      <c r="O1420" s="9" t="str">
        <f t="shared" si="110"/>
        <v>2024-05</v>
      </c>
    </row>
    <row r="1421" spans="1:15" x14ac:dyDescent="0.25">
      <c r="A1421" s="9" t="s">
        <v>315</v>
      </c>
      <c r="B1421" s="9" t="s">
        <v>45</v>
      </c>
      <c r="C1421" s="25" t="s">
        <v>155</v>
      </c>
      <c r="D1421" s="19">
        <v>367.37</v>
      </c>
      <c r="E1421" s="19">
        <v>368.05</v>
      </c>
      <c r="F1421" s="19">
        <v>359.62</v>
      </c>
      <c r="G1421" s="19">
        <v>360.6</v>
      </c>
      <c r="H1421" s="19">
        <v>360.6</v>
      </c>
      <c r="I1421" s="15">
        <v>6983934</v>
      </c>
      <c r="J1421" s="19">
        <f t="shared" si="107"/>
        <v>-1.8428287557503285</v>
      </c>
      <c r="K1421" s="19">
        <f t="shared" si="108"/>
        <v>352.79400000000004</v>
      </c>
      <c r="L1421" s="19">
        <f t="shared" si="106"/>
        <v>351.31179999999983</v>
      </c>
      <c r="M1421" s="19">
        <f>MAX(G1312:G1421)</f>
        <v>465.04</v>
      </c>
      <c r="N1421" s="19">
        <f t="shared" si="109"/>
        <v>-22.458283158437983</v>
      </c>
      <c r="O1421" s="9" t="str">
        <f t="shared" si="110"/>
        <v>2024-05</v>
      </c>
    </row>
    <row r="1422" spans="1:15" x14ac:dyDescent="0.25">
      <c r="A1422" s="9" t="s">
        <v>315</v>
      </c>
      <c r="B1422" s="9" t="s">
        <v>45</v>
      </c>
      <c r="C1422" s="25" t="s">
        <v>156</v>
      </c>
      <c r="D1422" s="19">
        <v>360.6</v>
      </c>
      <c r="E1422" s="19">
        <v>384.31</v>
      </c>
      <c r="F1422" s="19">
        <v>359.75</v>
      </c>
      <c r="G1422" s="19">
        <v>383.25</v>
      </c>
      <c r="H1422" s="19">
        <v>383.25</v>
      </c>
      <c r="I1422" s="15">
        <v>21877868</v>
      </c>
      <c r="J1422" s="19">
        <f t="shared" si="107"/>
        <v>6.2811980033277797</v>
      </c>
      <c r="K1422" s="19">
        <f t="shared" si="108"/>
        <v>356.22200000000004</v>
      </c>
      <c r="L1422" s="19">
        <f t="shared" si="106"/>
        <v>351.50479999999993</v>
      </c>
      <c r="M1422" s="19">
        <f>MAX(G1312:G1422)</f>
        <v>465.04</v>
      </c>
      <c r="N1422" s="19">
        <f t="shared" si="109"/>
        <v>-17.587734388439706</v>
      </c>
      <c r="O1422" s="9" t="str">
        <f t="shared" si="110"/>
        <v>2024-06</v>
      </c>
    </row>
    <row r="1423" spans="1:15" x14ac:dyDescent="0.25">
      <c r="A1423" s="9" t="s">
        <v>315</v>
      </c>
      <c r="B1423" s="9" t="s">
        <v>45</v>
      </c>
      <c r="C1423" s="25" t="s">
        <v>157</v>
      </c>
      <c r="D1423" s="19">
        <v>383.25</v>
      </c>
      <c r="E1423" s="19">
        <v>393.01</v>
      </c>
      <c r="F1423" s="19">
        <v>382.64</v>
      </c>
      <c r="G1423" s="19">
        <v>390.23</v>
      </c>
      <c r="H1423" s="19">
        <v>390.23</v>
      </c>
      <c r="I1423" s="15">
        <v>8377149</v>
      </c>
      <c r="J1423" s="19">
        <f t="shared" si="107"/>
        <v>1.821265492498374</v>
      </c>
      <c r="K1423" s="19">
        <f t="shared" si="108"/>
        <v>359.97050000000002</v>
      </c>
      <c r="L1423" s="19">
        <f t="shared" si="106"/>
        <v>351.916</v>
      </c>
      <c r="M1423" s="19">
        <f>MAX(G1312:G1423)</f>
        <v>465.04</v>
      </c>
      <c r="N1423" s="19">
        <f t="shared" si="109"/>
        <v>-16.086788233270255</v>
      </c>
      <c r="O1423" s="9" t="str">
        <f t="shared" si="110"/>
        <v>2024-06</v>
      </c>
    </row>
    <row r="1424" spans="1:15" x14ac:dyDescent="0.25">
      <c r="A1424" s="9" t="s">
        <v>315</v>
      </c>
      <c r="B1424" s="9" t="s">
        <v>45</v>
      </c>
      <c r="C1424" s="25" t="s">
        <v>158</v>
      </c>
      <c r="D1424" s="19">
        <v>390.23</v>
      </c>
      <c r="E1424" s="19">
        <v>392.34</v>
      </c>
      <c r="F1424" s="19">
        <v>389.65</v>
      </c>
      <c r="G1424" s="19">
        <v>390.67</v>
      </c>
      <c r="H1424" s="19">
        <v>390.67</v>
      </c>
      <c r="I1424" s="15">
        <v>7572848</v>
      </c>
      <c r="J1424" s="19">
        <f t="shared" si="107"/>
        <v>0.11275401686185012</v>
      </c>
      <c r="K1424" s="19">
        <f t="shared" si="108"/>
        <v>364.07700000000006</v>
      </c>
      <c r="L1424" s="19">
        <f t="shared" si="106"/>
        <v>351.97799999999995</v>
      </c>
      <c r="M1424" s="19">
        <f>MAX(G1312:G1424)</f>
        <v>465.04</v>
      </c>
      <c r="N1424" s="19">
        <f t="shared" si="109"/>
        <v>-15.992172716325479</v>
      </c>
      <c r="O1424" s="9" t="str">
        <f t="shared" si="110"/>
        <v>2024-06</v>
      </c>
    </row>
    <row r="1425" spans="1:15" x14ac:dyDescent="0.25">
      <c r="A1425" s="9" t="s">
        <v>315</v>
      </c>
      <c r="B1425" s="9" t="s">
        <v>45</v>
      </c>
      <c r="C1425" s="25" t="s">
        <v>159</v>
      </c>
      <c r="D1425" s="19">
        <v>390.67</v>
      </c>
      <c r="E1425" s="19">
        <v>396.07</v>
      </c>
      <c r="F1425" s="19">
        <v>389.43</v>
      </c>
      <c r="G1425" s="19">
        <v>395.05</v>
      </c>
      <c r="H1425" s="19">
        <v>395.05</v>
      </c>
      <c r="I1425" s="15">
        <v>12191577</v>
      </c>
      <c r="J1425" s="19">
        <f t="shared" si="107"/>
        <v>1.1211508434228366</v>
      </c>
      <c r="K1425" s="19">
        <f t="shared" si="108"/>
        <v>368.25600000000009</v>
      </c>
      <c r="L1425" s="19">
        <f t="shared" ref="L1425:L1488" si="111">AVERAGE(G1376:G1425)</f>
        <v>352.52379999999999</v>
      </c>
      <c r="M1425" s="19">
        <f>MAX(G1312:G1425)</f>
        <v>465.04</v>
      </c>
      <c r="N1425" s="19">
        <f t="shared" si="109"/>
        <v>-15.050318252193362</v>
      </c>
      <c r="O1425" s="9" t="str">
        <f t="shared" si="110"/>
        <v>2024-06</v>
      </c>
    </row>
    <row r="1426" spans="1:15" x14ac:dyDescent="0.25">
      <c r="A1426" s="9" t="s">
        <v>315</v>
      </c>
      <c r="B1426" s="9" t="s">
        <v>45</v>
      </c>
      <c r="C1426" s="25" t="s">
        <v>160</v>
      </c>
      <c r="D1426" s="19">
        <v>395.05</v>
      </c>
      <c r="E1426" s="19">
        <v>409.83</v>
      </c>
      <c r="F1426" s="19">
        <v>390.88</v>
      </c>
      <c r="G1426" s="19">
        <v>408.51</v>
      </c>
      <c r="H1426" s="19">
        <v>408.51</v>
      </c>
      <c r="I1426" s="15">
        <v>6000333</v>
      </c>
      <c r="J1426" s="19">
        <f t="shared" si="107"/>
        <v>3.4071636501708595</v>
      </c>
      <c r="K1426" s="19">
        <f t="shared" si="108"/>
        <v>372.51900000000012</v>
      </c>
      <c r="L1426" s="19">
        <f t="shared" si="111"/>
        <v>353.34699999999998</v>
      </c>
      <c r="M1426" s="19">
        <f>MAX(G1312:G1426)</f>
        <v>465.04</v>
      </c>
      <c r="N1426" s="19">
        <f t="shared" si="109"/>
        <v>-12.155943574746264</v>
      </c>
      <c r="O1426" s="9" t="str">
        <f t="shared" si="110"/>
        <v>2024-06</v>
      </c>
    </row>
    <row r="1427" spans="1:15" x14ac:dyDescent="0.25">
      <c r="A1427" s="9" t="s">
        <v>315</v>
      </c>
      <c r="B1427" s="9" t="s">
        <v>45</v>
      </c>
      <c r="C1427" s="25" t="s">
        <v>161</v>
      </c>
      <c r="D1427" s="19">
        <v>408.51</v>
      </c>
      <c r="E1427" s="19">
        <v>409.24</v>
      </c>
      <c r="F1427" s="19">
        <v>391.18</v>
      </c>
      <c r="G1427" s="19">
        <v>392.18</v>
      </c>
      <c r="H1427" s="19">
        <v>392.18</v>
      </c>
      <c r="I1427" s="15">
        <v>6859699</v>
      </c>
      <c r="J1427" s="19">
        <f t="shared" si="107"/>
        <v>-3.9974541626887921</v>
      </c>
      <c r="K1427" s="19">
        <f t="shared" si="108"/>
        <v>375.13450000000006</v>
      </c>
      <c r="L1427" s="19">
        <f t="shared" si="111"/>
        <v>353.99760000000003</v>
      </c>
      <c r="M1427" s="19">
        <f>MAX(G1312:G1427)</f>
        <v>465.04</v>
      </c>
      <c r="N1427" s="19">
        <f t="shared" si="109"/>
        <v>-15.667469464992262</v>
      </c>
      <c r="O1427" s="9" t="str">
        <f t="shared" si="110"/>
        <v>2024-06</v>
      </c>
    </row>
    <row r="1428" spans="1:15" x14ac:dyDescent="0.25">
      <c r="A1428" s="9" t="s">
        <v>315</v>
      </c>
      <c r="B1428" s="9" t="s">
        <v>45</v>
      </c>
      <c r="C1428" s="25" t="s">
        <v>162</v>
      </c>
      <c r="D1428" s="19">
        <v>392.18</v>
      </c>
      <c r="E1428" s="19">
        <v>393.18</v>
      </c>
      <c r="F1428" s="19">
        <v>385.91</v>
      </c>
      <c r="G1428" s="19">
        <v>385.96</v>
      </c>
      <c r="H1428" s="19">
        <v>385.96</v>
      </c>
      <c r="I1428" s="15">
        <v>7037328</v>
      </c>
      <c r="J1428" s="19">
        <f t="shared" si="107"/>
        <v>-1.5860064256208954</v>
      </c>
      <c r="K1428" s="19">
        <f t="shared" si="108"/>
        <v>377.02900000000011</v>
      </c>
      <c r="L1428" s="19">
        <f t="shared" si="111"/>
        <v>354.60380000000004</v>
      </c>
      <c r="M1428" s="19">
        <f>MAX(G1312:G1428)</f>
        <v>465.04</v>
      </c>
      <c r="N1428" s="19">
        <f t="shared" si="109"/>
        <v>-17.004988818166186</v>
      </c>
      <c r="O1428" s="9" t="str">
        <f t="shared" si="110"/>
        <v>2024-06</v>
      </c>
    </row>
    <row r="1429" spans="1:15" x14ac:dyDescent="0.25">
      <c r="A1429" s="9" t="s">
        <v>315</v>
      </c>
      <c r="B1429" s="9" t="s">
        <v>45</v>
      </c>
      <c r="C1429" s="25" t="s">
        <v>163</v>
      </c>
      <c r="D1429" s="19">
        <v>385.96</v>
      </c>
      <c r="E1429" s="19">
        <v>397.71</v>
      </c>
      <c r="F1429" s="19">
        <v>384.11</v>
      </c>
      <c r="G1429" s="19">
        <v>396.02</v>
      </c>
      <c r="H1429" s="19">
        <v>396.02</v>
      </c>
      <c r="I1429" s="15">
        <v>6976228</v>
      </c>
      <c r="J1429" s="19">
        <f t="shared" si="107"/>
        <v>2.6064877189346052</v>
      </c>
      <c r="K1429" s="19">
        <f t="shared" si="108"/>
        <v>378.85250000000008</v>
      </c>
      <c r="L1429" s="19">
        <f t="shared" si="111"/>
        <v>355.27440000000001</v>
      </c>
      <c r="M1429" s="19">
        <f>MAX(G1312:G1429)</f>
        <v>465.04</v>
      </c>
      <c r="N1429" s="19">
        <f t="shared" si="109"/>
        <v>-14.841734044383287</v>
      </c>
      <c r="O1429" s="9" t="str">
        <f t="shared" si="110"/>
        <v>2024-06</v>
      </c>
    </row>
    <row r="1430" spans="1:15" x14ac:dyDescent="0.25">
      <c r="A1430" s="9" t="s">
        <v>315</v>
      </c>
      <c r="B1430" s="9" t="s">
        <v>45</v>
      </c>
      <c r="C1430" s="25" t="s">
        <v>164</v>
      </c>
      <c r="D1430" s="19">
        <v>396.02</v>
      </c>
      <c r="E1430" s="19">
        <v>398.17</v>
      </c>
      <c r="F1430" s="19">
        <v>390.16</v>
      </c>
      <c r="G1430" s="19">
        <v>391.56</v>
      </c>
      <c r="H1430" s="19">
        <v>391.56</v>
      </c>
      <c r="I1430" s="15">
        <v>7917964</v>
      </c>
      <c r="J1430" s="19">
        <f t="shared" si="107"/>
        <v>-1.1262057471844806</v>
      </c>
      <c r="K1430" s="19">
        <f t="shared" si="108"/>
        <v>379.42550000000006</v>
      </c>
      <c r="L1430" s="19">
        <f t="shared" si="111"/>
        <v>355.97280000000001</v>
      </c>
      <c r="M1430" s="19">
        <f>MAX(G1312:G1430)</f>
        <v>465.04</v>
      </c>
      <c r="N1430" s="19">
        <f t="shared" si="109"/>
        <v>-15.800791329778086</v>
      </c>
      <c r="O1430" s="9" t="str">
        <f t="shared" si="110"/>
        <v>2024-06</v>
      </c>
    </row>
    <row r="1431" spans="1:15" x14ac:dyDescent="0.25">
      <c r="A1431" s="9" t="s">
        <v>315</v>
      </c>
      <c r="B1431" s="9" t="s">
        <v>45</v>
      </c>
      <c r="C1431" s="25" t="s">
        <v>165</v>
      </c>
      <c r="D1431" s="19">
        <v>391.56</v>
      </c>
      <c r="E1431" s="19">
        <v>392.36</v>
      </c>
      <c r="F1431" s="19">
        <v>385.63</v>
      </c>
      <c r="G1431" s="19">
        <v>387.52</v>
      </c>
      <c r="H1431" s="19">
        <v>387.52</v>
      </c>
      <c r="I1431" s="15">
        <v>5857344</v>
      </c>
      <c r="J1431" s="19">
        <f t="shared" si="107"/>
        <v>-1.0317703544795231</v>
      </c>
      <c r="K1431" s="19">
        <f t="shared" si="108"/>
        <v>380.29599999999999</v>
      </c>
      <c r="L1431" s="19">
        <f t="shared" si="111"/>
        <v>356.2172000000001</v>
      </c>
      <c r="M1431" s="19">
        <f>MAX(G1312:G1431)</f>
        <v>465.04</v>
      </c>
      <c r="N1431" s="19">
        <f t="shared" si="109"/>
        <v>-16.669533803543789</v>
      </c>
      <c r="O1431" s="9" t="str">
        <f t="shared" si="110"/>
        <v>2024-06</v>
      </c>
    </row>
    <row r="1432" spans="1:15" x14ac:dyDescent="0.25">
      <c r="A1432" s="9" t="s">
        <v>315</v>
      </c>
      <c r="B1432" s="9" t="s">
        <v>45</v>
      </c>
      <c r="C1432" s="25" t="s">
        <v>166</v>
      </c>
      <c r="D1432" s="19">
        <v>387.52</v>
      </c>
      <c r="E1432" s="19">
        <v>410.12</v>
      </c>
      <c r="F1432" s="19">
        <v>386.15</v>
      </c>
      <c r="G1432" s="19">
        <v>409.49</v>
      </c>
      <c r="H1432" s="19">
        <v>409.49</v>
      </c>
      <c r="I1432" s="15">
        <v>34119550</v>
      </c>
      <c r="J1432" s="19">
        <f t="shared" si="107"/>
        <v>5.6693848059455068</v>
      </c>
      <c r="K1432" s="19">
        <f t="shared" si="108"/>
        <v>381.93700000000001</v>
      </c>
      <c r="L1432" s="19">
        <f t="shared" si="111"/>
        <v>357.31180000000001</v>
      </c>
      <c r="M1432" s="19">
        <f>MAX(G1312:G1432)</f>
        <v>465.04</v>
      </c>
      <c r="N1432" s="19">
        <f t="shared" si="109"/>
        <v>-11.945209014278344</v>
      </c>
      <c r="O1432" s="9" t="str">
        <f t="shared" si="110"/>
        <v>2024-06</v>
      </c>
    </row>
    <row r="1433" spans="1:15" x14ac:dyDescent="0.25">
      <c r="A1433" s="9" t="s">
        <v>315</v>
      </c>
      <c r="B1433" s="9" t="s">
        <v>45</v>
      </c>
      <c r="C1433" s="25" t="s">
        <v>167</v>
      </c>
      <c r="D1433" s="19">
        <v>409.49</v>
      </c>
      <c r="E1433" s="19">
        <v>414</v>
      </c>
      <c r="F1433" s="19">
        <v>408.73</v>
      </c>
      <c r="G1433" s="19">
        <v>413.81</v>
      </c>
      <c r="H1433" s="19">
        <v>413.81</v>
      </c>
      <c r="I1433" s="15">
        <v>10034192</v>
      </c>
      <c r="J1433" s="19">
        <f t="shared" si="107"/>
        <v>1.0549708173581755</v>
      </c>
      <c r="K1433" s="19">
        <f t="shared" si="108"/>
        <v>383.91200000000003</v>
      </c>
      <c r="L1433" s="19">
        <f t="shared" si="111"/>
        <v>358.38500000000005</v>
      </c>
      <c r="M1433" s="19">
        <f>MAX(G1312:G1433)</f>
        <v>465.04</v>
      </c>
      <c r="N1433" s="19">
        <f t="shared" si="109"/>
        <v>-11.016256666093243</v>
      </c>
      <c r="O1433" s="9" t="str">
        <f t="shared" si="110"/>
        <v>2024-06</v>
      </c>
    </row>
    <row r="1434" spans="1:15" x14ac:dyDescent="0.25">
      <c r="A1434" s="9" t="s">
        <v>315</v>
      </c>
      <c r="B1434" s="9" t="s">
        <v>45</v>
      </c>
      <c r="C1434" s="25" t="s">
        <v>168</v>
      </c>
      <c r="D1434" s="19">
        <v>413.81</v>
      </c>
      <c r="E1434" s="19">
        <v>419.49</v>
      </c>
      <c r="F1434" s="19">
        <v>412.38</v>
      </c>
      <c r="G1434" s="19">
        <v>417.2</v>
      </c>
      <c r="H1434" s="19">
        <v>417.2</v>
      </c>
      <c r="I1434" s="15">
        <v>6007830</v>
      </c>
      <c r="J1434" s="19">
        <f t="shared" si="107"/>
        <v>0.81921654865759319</v>
      </c>
      <c r="K1434" s="19">
        <f t="shared" si="108"/>
        <v>385.83550000000002</v>
      </c>
      <c r="L1434" s="19">
        <f t="shared" si="111"/>
        <v>359.53300000000002</v>
      </c>
      <c r="M1434" s="19">
        <f>MAX(G1312:G1434)</f>
        <v>465.04</v>
      </c>
      <c r="N1434" s="19">
        <f t="shared" si="109"/>
        <v>-10.287287115086881</v>
      </c>
      <c r="O1434" s="9" t="str">
        <f t="shared" si="110"/>
        <v>2024-06</v>
      </c>
    </row>
    <row r="1435" spans="1:15" x14ac:dyDescent="0.25">
      <c r="A1435" s="9" t="s">
        <v>315</v>
      </c>
      <c r="B1435" s="9" t="s">
        <v>45</v>
      </c>
      <c r="C1435" s="25" t="s">
        <v>169</v>
      </c>
      <c r="D1435" s="19">
        <v>417.2</v>
      </c>
      <c r="E1435" s="19">
        <v>418.26</v>
      </c>
      <c r="F1435" s="19">
        <v>412.17</v>
      </c>
      <c r="G1435" s="19">
        <v>413.93</v>
      </c>
      <c r="H1435" s="19">
        <v>413.93</v>
      </c>
      <c r="I1435" s="15">
        <v>8916122</v>
      </c>
      <c r="J1435" s="19">
        <f t="shared" si="107"/>
        <v>-0.78379674017257472</v>
      </c>
      <c r="K1435" s="19">
        <f t="shared" si="108"/>
        <v>388.25750000000005</v>
      </c>
      <c r="L1435" s="19">
        <f t="shared" si="111"/>
        <v>360.76100000000008</v>
      </c>
      <c r="M1435" s="19">
        <f>MAX(G1312:G1435)</f>
        <v>465.04</v>
      </c>
      <c r="N1435" s="19">
        <f t="shared" si="109"/>
        <v>-10.990452434199211</v>
      </c>
      <c r="O1435" s="9" t="str">
        <f t="shared" si="110"/>
        <v>2024-06</v>
      </c>
    </row>
    <row r="1436" spans="1:15" x14ac:dyDescent="0.25">
      <c r="A1436" s="9" t="s">
        <v>315</v>
      </c>
      <c r="B1436" s="9" t="s">
        <v>45</v>
      </c>
      <c r="C1436" s="25" t="s">
        <v>170</v>
      </c>
      <c r="D1436" s="19">
        <v>413.93</v>
      </c>
      <c r="E1436" s="19">
        <v>415.78</v>
      </c>
      <c r="F1436" s="19">
        <v>409.39</v>
      </c>
      <c r="G1436" s="19">
        <v>412.29</v>
      </c>
      <c r="H1436" s="19">
        <v>412.29</v>
      </c>
      <c r="I1436" s="15">
        <v>7397317</v>
      </c>
      <c r="J1436" s="19">
        <f t="shared" si="107"/>
        <v>-0.39620225642016438</v>
      </c>
      <c r="K1436" s="19">
        <f t="shared" si="108"/>
        <v>390.76550000000003</v>
      </c>
      <c r="L1436" s="19">
        <f t="shared" si="111"/>
        <v>361.98540000000008</v>
      </c>
      <c r="M1436" s="19">
        <f>MAX(G1312:G1436)</f>
        <v>465.04</v>
      </c>
      <c r="N1436" s="19">
        <f t="shared" si="109"/>
        <v>-11.343110270084294</v>
      </c>
      <c r="O1436" s="9" t="str">
        <f t="shared" si="110"/>
        <v>2024-06</v>
      </c>
    </row>
    <row r="1437" spans="1:15" x14ac:dyDescent="0.25">
      <c r="A1437" s="9" t="s">
        <v>315</v>
      </c>
      <c r="B1437" s="9" t="s">
        <v>45</v>
      </c>
      <c r="C1437" s="25" t="s">
        <v>171</v>
      </c>
      <c r="D1437" s="19">
        <v>412.29</v>
      </c>
      <c r="E1437" s="19">
        <v>412.42</v>
      </c>
      <c r="F1437" s="19">
        <v>397.42</v>
      </c>
      <c r="G1437" s="19">
        <v>399.96</v>
      </c>
      <c r="H1437" s="19">
        <v>399.96</v>
      </c>
      <c r="I1437" s="15">
        <v>9514439</v>
      </c>
      <c r="J1437" s="19">
        <f t="shared" si="107"/>
        <v>-2.990613403187087</v>
      </c>
      <c r="K1437" s="19">
        <f t="shared" si="108"/>
        <v>392.88299999999998</v>
      </c>
      <c r="L1437" s="19">
        <f t="shared" si="111"/>
        <v>362.70920000000001</v>
      </c>
      <c r="M1437" s="19">
        <f>MAX(G1312:G1437)</f>
        <v>465.04</v>
      </c>
      <c r="N1437" s="19">
        <f t="shared" si="109"/>
        <v>-13.994495097195948</v>
      </c>
      <c r="O1437" s="9" t="str">
        <f t="shared" si="110"/>
        <v>2024-06</v>
      </c>
    </row>
    <row r="1438" spans="1:15" x14ac:dyDescent="0.25">
      <c r="A1438" s="9" t="s">
        <v>315</v>
      </c>
      <c r="B1438" s="9" t="s">
        <v>45</v>
      </c>
      <c r="C1438" s="25" t="s">
        <v>172</v>
      </c>
      <c r="D1438" s="19">
        <v>399.96</v>
      </c>
      <c r="E1438" s="19">
        <v>408.08</v>
      </c>
      <c r="F1438" s="19">
        <v>399.34</v>
      </c>
      <c r="G1438" s="19">
        <v>407.08</v>
      </c>
      <c r="H1438" s="19">
        <v>407.08</v>
      </c>
      <c r="I1438" s="15">
        <v>9776301</v>
      </c>
      <c r="J1438" s="19">
        <f t="shared" si="107"/>
        <v>1.7801780178017816</v>
      </c>
      <c r="K1438" s="19">
        <f t="shared" si="108"/>
        <v>394.70150000000001</v>
      </c>
      <c r="L1438" s="19">
        <f t="shared" si="111"/>
        <v>363.84860000000003</v>
      </c>
      <c r="M1438" s="19">
        <f>MAX(G1312:G1438)</f>
        <v>465.04</v>
      </c>
      <c r="N1438" s="19">
        <f t="shared" si="109"/>
        <v>-12.463444004816797</v>
      </c>
      <c r="O1438" s="9" t="str">
        <f t="shared" si="110"/>
        <v>2024-06</v>
      </c>
    </row>
    <row r="1439" spans="1:15" x14ac:dyDescent="0.25">
      <c r="A1439" s="9" t="s">
        <v>315</v>
      </c>
      <c r="B1439" s="9" t="s">
        <v>45</v>
      </c>
      <c r="C1439" s="25" t="s">
        <v>173</v>
      </c>
      <c r="D1439" s="19">
        <v>407.08</v>
      </c>
      <c r="E1439" s="19">
        <v>407.76</v>
      </c>
      <c r="F1439" s="19">
        <v>405.1</v>
      </c>
      <c r="G1439" s="19">
        <v>405.31</v>
      </c>
      <c r="H1439" s="19">
        <v>405.31</v>
      </c>
      <c r="I1439" s="15">
        <v>7504287</v>
      </c>
      <c r="J1439" s="19">
        <f t="shared" si="107"/>
        <v>-0.43480396973567409</v>
      </c>
      <c r="K1439" s="19">
        <f t="shared" si="108"/>
        <v>396.39950000000005</v>
      </c>
      <c r="L1439" s="19">
        <f t="shared" si="111"/>
        <v>364.80280000000005</v>
      </c>
      <c r="M1439" s="19">
        <f>MAX(G1312:G1439)</f>
        <v>465.04</v>
      </c>
      <c r="N1439" s="19">
        <f t="shared" si="109"/>
        <v>-12.844056425253743</v>
      </c>
      <c r="O1439" s="9" t="str">
        <f t="shared" si="110"/>
        <v>2024-06</v>
      </c>
    </row>
    <row r="1440" spans="1:15" x14ac:dyDescent="0.25">
      <c r="A1440" s="9" t="s">
        <v>315</v>
      </c>
      <c r="B1440" s="9" t="s">
        <v>45</v>
      </c>
      <c r="C1440" s="25" t="s">
        <v>174</v>
      </c>
      <c r="D1440" s="19">
        <v>405.31</v>
      </c>
      <c r="E1440" s="19">
        <v>410.39</v>
      </c>
      <c r="F1440" s="19">
        <v>403.61</v>
      </c>
      <c r="G1440" s="19">
        <v>407.88</v>
      </c>
      <c r="H1440" s="19">
        <v>407.88</v>
      </c>
      <c r="I1440" s="15">
        <v>7516592</v>
      </c>
      <c r="J1440" s="19">
        <f t="shared" si="107"/>
        <v>0.63408255409439518</v>
      </c>
      <c r="K1440" s="19">
        <f t="shared" si="108"/>
        <v>398.42500000000001</v>
      </c>
      <c r="L1440" s="19">
        <f t="shared" si="111"/>
        <v>365.88440000000008</v>
      </c>
      <c r="M1440" s="19">
        <f>MAX(G1312:G1440)</f>
        <v>465.04</v>
      </c>
      <c r="N1440" s="19">
        <f t="shared" si="109"/>
        <v>-12.291415792189923</v>
      </c>
      <c r="O1440" s="9" t="str">
        <f t="shared" si="110"/>
        <v>2024-06</v>
      </c>
    </row>
    <row r="1441" spans="1:15" x14ac:dyDescent="0.25">
      <c r="A1441" s="9" t="s">
        <v>315</v>
      </c>
      <c r="B1441" s="9" t="s">
        <v>45</v>
      </c>
      <c r="C1441" s="25" t="s">
        <v>175</v>
      </c>
      <c r="D1441" s="19">
        <v>407.88</v>
      </c>
      <c r="E1441" s="19">
        <v>413.42</v>
      </c>
      <c r="F1441" s="19">
        <v>406.66</v>
      </c>
      <c r="G1441" s="19">
        <v>413.35</v>
      </c>
      <c r="H1441" s="19">
        <v>413.35</v>
      </c>
      <c r="I1441" s="15">
        <v>7200044</v>
      </c>
      <c r="J1441" s="19">
        <f t="shared" ref="J1441:J1504" si="112">IFERROR((G1441-G1440)/G1440*100,"")</f>
        <v>1.3410807100127555</v>
      </c>
      <c r="K1441" s="19">
        <f t="shared" si="108"/>
        <v>401.06250000000006</v>
      </c>
      <c r="L1441" s="19">
        <f t="shared" si="111"/>
        <v>366.90740000000005</v>
      </c>
      <c r="M1441" s="19">
        <f>MAX(G1312:G1441)</f>
        <v>465.04</v>
      </c>
      <c r="N1441" s="19">
        <f t="shared" si="109"/>
        <v>-11.115172888353689</v>
      </c>
      <c r="O1441" s="9" t="str">
        <f t="shared" si="110"/>
        <v>2024-06</v>
      </c>
    </row>
    <row r="1442" spans="1:15" x14ac:dyDescent="0.25">
      <c r="A1442" s="9" t="s">
        <v>315</v>
      </c>
      <c r="B1442" s="9" t="s">
        <v>45</v>
      </c>
      <c r="C1442" s="25" t="s">
        <v>176</v>
      </c>
      <c r="D1442" s="19">
        <v>413.35</v>
      </c>
      <c r="E1442" s="19">
        <v>414.16</v>
      </c>
      <c r="F1442" s="19">
        <v>406.14</v>
      </c>
      <c r="G1442" s="19">
        <v>408.49</v>
      </c>
      <c r="H1442" s="19">
        <v>408.49</v>
      </c>
      <c r="I1442" s="15">
        <v>3536808</v>
      </c>
      <c r="J1442" s="19">
        <f t="shared" si="112"/>
        <v>-1.1757590419741173</v>
      </c>
      <c r="K1442" s="19">
        <f t="shared" si="108"/>
        <v>402.32450000000006</v>
      </c>
      <c r="L1442" s="19">
        <f t="shared" si="111"/>
        <v>367.81260000000009</v>
      </c>
      <c r="M1442" s="19">
        <f>MAX(G1312:G1442)</f>
        <v>465.04</v>
      </c>
      <c r="N1442" s="19">
        <f t="shared" si="109"/>
        <v>-12.160244280061933</v>
      </c>
      <c r="O1442" s="9" t="str">
        <f t="shared" si="110"/>
        <v>2024-07</v>
      </c>
    </row>
    <row r="1443" spans="1:15" x14ac:dyDescent="0.25">
      <c r="A1443" s="9" t="s">
        <v>315</v>
      </c>
      <c r="B1443" s="9" t="s">
        <v>45</v>
      </c>
      <c r="C1443" s="25" t="s">
        <v>177</v>
      </c>
      <c r="D1443" s="19">
        <v>408.49</v>
      </c>
      <c r="E1443" s="19">
        <v>408.64</v>
      </c>
      <c r="F1443" s="19">
        <v>397.35</v>
      </c>
      <c r="G1443" s="19">
        <v>400.02</v>
      </c>
      <c r="H1443" s="19">
        <v>400.02</v>
      </c>
      <c r="I1443" s="15">
        <v>13016443</v>
      </c>
      <c r="J1443" s="19">
        <f t="shared" si="112"/>
        <v>-2.0734901711180269</v>
      </c>
      <c r="K1443" s="19">
        <f t="shared" si="108"/>
        <v>402.81400000000002</v>
      </c>
      <c r="L1443" s="19">
        <f t="shared" si="111"/>
        <v>368.83280000000008</v>
      </c>
      <c r="M1443" s="19">
        <f>MAX(G1312:G1443)</f>
        <v>465.04</v>
      </c>
      <c r="N1443" s="19">
        <f t="shared" si="109"/>
        <v>-13.981592981248934</v>
      </c>
      <c r="O1443" s="9" t="str">
        <f t="shared" si="110"/>
        <v>2024-07</v>
      </c>
    </row>
    <row r="1444" spans="1:15" x14ac:dyDescent="0.25">
      <c r="A1444" s="9" t="s">
        <v>315</v>
      </c>
      <c r="B1444" s="9" t="s">
        <v>45</v>
      </c>
      <c r="C1444" s="25" t="s">
        <v>178</v>
      </c>
      <c r="D1444" s="19">
        <v>400.02</v>
      </c>
      <c r="E1444" s="19">
        <v>403.97</v>
      </c>
      <c r="F1444" s="19">
        <v>399.59</v>
      </c>
      <c r="G1444" s="19">
        <v>400.82</v>
      </c>
      <c r="H1444" s="19">
        <v>400.82</v>
      </c>
      <c r="I1444" s="15">
        <v>11817909</v>
      </c>
      <c r="J1444" s="19">
        <f t="shared" si="112"/>
        <v>0.19999000049997787</v>
      </c>
      <c r="K1444" s="19">
        <f t="shared" si="108"/>
        <v>403.32150000000001</v>
      </c>
      <c r="L1444" s="19">
        <f t="shared" si="111"/>
        <v>370.03480000000002</v>
      </c>
      <c r="M1444" s="19">
        <f>MAX(G1312:G1444)</f>
        <v>465.04</v>
      </c>
      <c r="N1444" s="19">
        <f t="shared" si="109"/>
        <v>-13.80956476862206</v>
      </c>
      <c r="O1444" s="9" t="str">
        <f t="shared" si="110"/>
        <v>2024-07</v>
      </c>
    </row>
    <row r="1445" spans="1:15" x14ac:dyDescent="0.25">
      <c r="A1445" s="9" t="s">
        <v>315</v>
      </c>
      <c r="B1445" s="9" t="s">
        <v>45</v>
      </c>
      <c r="C1445" s="25" t="s">
        <v>179</v>
      </c>
      <c r="D1445" s="19">
        <v>400.82</v>
      </c>
      <c r="E1445" s="19">
        <v>404.53</v>
      </c>
      <c r="F1445" s="19">
        <v>400.52</v>
      </c>
      <c r="G1445" s="19">
        <v>402.85</v>
      </c>
      <c r="H1445" s="19">
        <v>402.85</v>
      </c>
      <c r="I1445" s="15">
        <v>10764251</v>
      </c>
      <c r="J1445" s="19">
        <f t="shared" si="112"/>
        <v>0.50646175340552602</v>
      </c>
      <c r="K1445" s="19">
        <f t="shared" si="108"/>
        <v>403.7115</v>
      </c>
      <c r="L1445" s="19">
        <f t="shared" si="111"/>
        <v>371.5856</v>
      </c>
      <c r="M1445" s="19">
        <f>MAX(G1312:G1445)</f>
        <v>465.04</v>
      </c>
      <c r="N1445" s="19">
        <f t="shared" si="109"/>
        <v>-13.373043179081368</v>
      </c>
      <c r="O1445" s="9" t="str">
        <f t="shared" si="110"/>
        <v>2024-07</v>
      </c>
    </row>
    <row r="1446" spans="1:15" x14ac:dyDescent="0.25">
      <c r="A1446" s="9" t="s">
        <v>315</v>
      </c>
      <c r="B1446" s="9" t="s">
        <v>45</v>
      </c>
      <c r="C1446" s="25" t="s">
        <v>180</v>
      </c>
      <c r="D1446" s="19">
        <v>402.85</v>
      </c>
      <c r="E1446" s="19">
        <v>412.1</v>
      </c>
      <c r="F1446" s="19">
        <v>402.59</v>
      </c>
      <c r="G1446" s="19">
        <v>410.06</v>
      </c>
      <c r="H1446" s="19">
        <v>410.06</v>
      </c>
      <c r="I1446" s="15">
        <v>10868425</v>
      </c>
      <c r="J1446" s="19">
        <f t="shared" si="112"/>
        <v>1.7897480451781009</v>
      </c>
      <c r="K1446" s="19">
        <f t="shared" si="108"/>
        <v>403.78899999999999</v>
      </c>
      <c r="L1446" s="19">
        <f t="shared" si="111"/>
        <v>373.39940000000001</v>
      </c>
      <c r="M1446" s="19">
        <f>MAX(G1312:G1446)</f>
        <v>465.04</v>
      </c>
      <c r="N1446" s="19">
        <f t="shared" si="109"/>
        <v>-11.822638912781699</v>
      </c>
      <c r="O1446" s="9" t="str">
        <f t="shared" si="110"/>
        <v>2024-07</v>
      </c>
    </row>
    <row r="1447" spans="1:15" x14ac:dyDescent="0.25">
      <c r="A1447" s="9" t="s">
        <v>315</v>
      </c>
      <c r="B1447" s="9" t="s">
        <v>45</v>
      </c>
      <c r="C1447" s="25" t="s">
        <v>181</v>
      </c>
      <c r="D1447" s="19">
        <v>410.06</v>
      </c>
      <c r="E1447" s="19">
        <v>410.5</v>
      </c>
      <c r="F1447" s="19">
        <v>403.45</v>
      </c>
      <c r="G1447" s="19">
        <v>404.25</v>
      </c>
      <c r="H1447" s="19">
        <v>404.25</v>
      </c>
      <c r="I1447" s="15">
        <v>6168942</v>
      </c>
      <c r="J1447" s="19">
        <f t="shared" si="112"/>
        <v>-1.4168658245134864</v>
      </c>
      <c r="K1447" s="19">
        <f t="shared" si="108"/>
        <v>404.39250000000004</v>
      </c>
      <c r="L1447" s="19">
        <f t="shared" si="111"/>
        <v>375.42479999999995</v>
      </c>
      <c r="M1447" s="19">
        <f>MAX(G1312:G1447)</f>
        <v>465.04</v>
      </c>
      <c r="N1447" s="19">
        <f t="shared" si="109"/>
        <v>-13.07199380698435</v>
      </c>
      <c r="O1447" s="9" t="str">
        <f t="shared" si="110"/>
        <v>2024-07</v>
      </c>
    </row>
    <row r="1448" spans="1:15" x14ac:dyDescent="0.25">
      <c r="A1448" s="9" t="s">
        <v>315</v>
      </c>
      <c r="B1448" s="9" t="s">
        <v>45</v>
      </c>
      <c r="C1448" s="25" t="s">
        <v>182</v>
      </c>
      <c r="D1448" s="19">
        <v>404.25</v>
      </c>
      <c r="E1448" s="19">
        <v>422.19</v>
      </c>
      <c r="F1448" s="19">
        <v>404.15</v>
      </c>
      <c r="G1448" s="19">
        <v>419.96</v>
      </c>
      <c r="H1448" s="19">
        <v>419.96</v>
      </c>
      <c r="I1448" s="15">
        <v>11996341</v>
      </c>
      <c r="J1448" s="19">
        <f t="shared" si="112"/>
        <v>3.8862090290661668</v>
      </c>
      <c r="K1448" s="19">
        <f t="shared" si="108"/>
        <v>406.09250000000003</v>
      </c>
      <c r="L1448" s="19">
        <f t="shared" si="111"/>
        <v>377.63899999999995</v>
      </c>
      <c r="M1448" s="19">
        <f>MAX(G1312:G1448)</f>
        <v>465.04</v>
      </c>
      <c r="N1448" s="19">
        <f t="shared" si="109"/>
        <v>-9.6937897815241794</v>
      </c>
      <c r="O1448" s="9" t="str">
        <f t="shared" si="110"/>
        <v>2024-07</v>
      </c>
    </row>
    <row r="1449" spans="1:15" x14ac:dyDescent="0.25">
      <c r="A1449" s="9" t="s">
        <v>315</v>
      </c>
      <c r="B1449" s="9" t="s">
        <v>45</v>
      </c>
      <c r="C1449" s="25" t="s">
        <v>183</v>
      </c>
      <c r="D1449" s="19">
        <v>419.96</v>
      </c>
      <c r="E1449" s="19">
        <v>422.18</v>
      </c>
      <c r="F1449" s="19">
        <v>415.87</v>
      </c>
      <c r="G1449" s="19">
        <v>416.86</v>
      </c>
      <c r="H1449" s="19">
        <v>416.86</v>
      </c>
      <c r="I1449" s="15">
        <v>8203351</v>
      </c>
      <c r="J1449" s="19">
        <f t="shared" si="112"/>
        <v>-0.7381655395751896</v>
      </c>
      <c r="K1449" s="19">
        <f t="shared" si="108"/>
        <v>407.1345</v>
      </c>
      <c r="L1449" s="19">
        <f t="shared" si="111"/>
        <v>379.68759999999997</v>
      </c>
      <c r="M1449" s="19">
        <f>MAX(G1312:G1449)</f>
        <v>465.04</v>
      </c>
      <c r="N1449" s="19">
        <f t="shared" si="109"/>
        <v>-10.360399105453295</v>
      </c>
      <c r="O1449" s="9" t="str">
        <f t="shared" si="110"/>
        <v>2024-07</v>
      </c>
    </row>
    <row r="1450" spans="1:15" x14ac:dyDescent="0.25">
      <c r="A1450" s="9" t="s">
        <v>315</v>
      </c>
      <c r="B1450" s="9" t="s">
        <v>45</v>
      </c>
      <c r="C1450" s="25" t="s">
        <v>184</v>
      </c>
      <c r="D1450" s="19">
        <v>416.86</v>
      </c>
      <c r="E1450" s="19">
        <v>424.56</v>
      </c>
      <c r="F1450" s="19">
        <v>416.66</v>
      </c>
      <c r="G1450" s="19">
        <v>422.26</v>
      </c>
      <c r="H1450" s="19">
        <v>422.26</v>
      </c>
      <c r="I1450" s="15">
        <v>9745211</v>
      </c>
      <c r="J1450" s="19">
        <f t="shared" si="112"/>
        <v>1.2953989348942037</v>
      </c>
      <c r="K1450" s="19">
        <f t="shared" si="108"/>
        <v>408.66950000000003</v>
      </c>
      <c r="L1450" s="19">
        <f t="shared" si="111"/>
        <v>381.69999999999993</v>
      </c>
      <c r="M1450" s="19">
        <f>MAX(G1312:G1450)</f>
        <v>465.04</v>
      </c>
      <c r="N1450" s="19">
        <f t="shared" si="109"/>
        <v>-9.1992086702219229</v>
      </c>
      <c r="O1450" s="9" t="str">
        <f t="shared" si="110"/>
        <v>2024-07</v>
      </c>
    </row>
    <row r="1451" spans="1:15" x14ac:dyDescent="0.25">
      <c r="A1451" s="9" t="s">
        <v>315</v>
      </c>
      <c r="B1451" s="9" t="s">
        <v>45</v>
      </c>
      <c r="C1451" s="25" t="s">
        <v>185</v>
      </c>
      <c r="D1451" s="19">
        <v>422.26</v>
      </c>
      <c r="E1451" s="19">
        <v>423.66</v>
      </c>
      <c r="F1451" s="19">
        <v>415.46</v>
      </c>
      <c r="G1451" s="19">
        <v>417.31</v>
      </c>
      <c r="H1451" s="19">
        <v>417.31</v>
      </c>
      <c r="I1451" s="15">
        <v>7355713</v>
      </c>
      <c r="J1451" s="19">
        <f t="shared" si="112"/>
        <v>-1.172263534315348</v>
      </c>
      <c r="K1451" s="19">
        <f t="shared" si="108"/>
        <v>410.15899999999999</v>
      </c>
      <c r="L1451" s="19">
        <f t="shared" si="111"/>
        <v>383.60019999999997</v>
      </c>
      <c r="M1451" s="19">
        <f>MAX(G1312:G1451)</f>
        <v>465.04</v>
      </c>
      <c r="N1451" s="19">
        <f t="shared" si="109"/>
        <v>-10.263633235850683</v>
      </c>
      <c r="O1451" s="9" t="str">
        <f t="shared" si="110"/>
        <v>2024-07</v>
      </c>
    </row>
    <row r="1452" spans="1:15" x14ac:dyDescent="0.25">
      <c r="A1452" s="9" t="s">
        <v>315</v>
      </c>
      <c r="B1452" s="9" t="s">
        <v>45</v>
      </c>
      <c r="C1452" s="25" t="s">
        <v>186</v>
      </c>
      <c r="D1452" s="19">
        <v>417.31</v>
      </c>
      <c r="E1452" s="19">
        <v>418.15</v>
      </c>
      <c r="F1452" s="19">
        <v>416.05</v>
      </c>
      <c r="G1452" s="19">
        <v>416.4</v>
      </c>
      <c r="H1452" s="19">
        <v>416.4</v>
      </c>
      <c r="I1452" s="15">
        <v>4767714</v>
      </c>
      <c r="J1452" s="19">
        <f t="shared" si="112"/>
        <v>-0.21806331024898157</v>
      </c>
      <c r="K1452" s="19">
        <f t="shared" si="108"/>
        <v>410.50450000000001</v>
      </c>
      <c r="L1452" s="19">
        <f t="shared" si="111"/>
        <v>385.63440000000003</v>
      </c>
      <c r="M1452" s="19">
        <f>MAX(G1312:G1452)</f>
        <v>465.04</v>
      </c>
      <c r="N1452" s="19">
        <f t="shared" si="109"/>
        <v>-10.459315327713755</v>
      </c>
      <c r="O1452" s="9" t="str">
        <f t="shared" si="110"/>
        <v>2024-07</v>
      </c>
    </row>
    <row r="1453" spans="1:15" x14ac:dyDescent="0.25">
      <c r="A1453" s="9" t="s">
        <v>315</v>
      </c>
      <c r="B1453" s="9" t="s">
        <v>45</v>
      </c>
      <c r="C1453" s="25" t="s">
        <v>187</v>
      </c>
      <c r="D1453" s="19">
        <v>416.4</v>
      </c>
      <c r="E1453" s="19">
        <v>443.62</v>
      </c>
      <c r="F1453" s="19">
        <v>414.95</v>
      </c>
      <c r="G1453" s="19">
        <v>441.52</v>
      </c>
      <c r="H1453" s="19">
        <v>441.52</v>
      </c>
      <c r="I1453" s="15">
        <v>14236552</v>
      </c>
      <c r="J1453" s="19">
        <f t="shared" si="112"/>
        <v>6.0326609029779075</v>
      </c>
      <c r="K1453" s="19">
        <f t="shared" si="108"/>
        <v>411.89000000000004</v>
      </c>
      <c r="L1453" s="19">
        <f t="shared" si="111"/>
        <v>388.15960000000001</v>
      </c>
      <c r="M1453" s="19">
        <f>MAX(G1312:G1453)</f>
        <v>465.04</v>
      </c>
      <c r="N1453" s="19">
        <f t="shared" si="109"/>
        <v>-5.0576294512300102</v>
      </c>
      <c r="O1453" s="9" t="str">
        <f t="shared" si="110"/>
        <v>2024-07</v>
      </c>
    </row>
    <row r="1454" spans="1:15" x14ac:dyDescent="0.25">
      <c r="A1454" s="9" t="s">
        <v>315</v>
      </c>
      <c r="B1454" s="9" t="s">
        <v>45</v>
      </c>
      <c r="C1454" s="25" t="s">
        <v>188</v>
      </c>
      <c r="D1454" s="19">
        <v>441.52</v>
      </c>
      <c r="E1454" s="19">
        <v>459.48</v>
      </c>
      <c r="F1454" s="19">
        <v>440.52</v>
      </c>
      <c r="G1454" s="19">
        <v>455.52</v>
      </c>
      <c r="H1454" s="19">
        <v>455.52</v>
      </c>
      <c r="I1454" s="15">
        <v>7046364</v>
      </c>
      <c r="J1454" s="19">
        <f t="shared" si="112"/>
        <v>3.170864287008516</v>
      </c>
      <c r="K1454" s="19">
        <f t="shared" si="108"/>
        <v>413.80600000000004</v>
      </c>
      <c r="L1454" s="19">
        <f t="shared" si="111"/>
        <v>391.0992</v>
      </c>
      <c r="M1454" s="19">
        <f>MAX(G1312:G1454)</f>
        <v>465.04</v>
      </c>
      <c r="N1454" s="19">
        <f t="shared" si="109"/>
        <v>-2.0471357302597708</v>
      </c>
      <c r="O1454" s="9" t="str">
        <f t="shared" si="110"/>
        <v>2024-07</v>
      </c>
    </row>
    <row r="1455" spans="1:15" x14ac:dyDescent="0.25">
      <c r="A1455" s="9" t="s">
        <v>315</v>
      </c>
      <c r="B1455" s="9" t="s">
        <v>45</v>
      </c>
      <c r="C1455" s="25" t="s">
        <v>189</v>
      </c>
      <c r="D1455" s="19">
        <v>455.52</v>
      </c>
      <c r="E1455" s="19">
        <v>463.12</v>
      </c>
      <c r="F1455" s="19">
        <v>455.2</v>
      </c>
      <c r="G1455" s="19">
        <v>461.18</v>
      </c>
      <c r="H1455" s="19">
        <v>461.18</v>
      </c>
      <c r="I1455" s="15">
        <v>7635317</v>
      </c>
      <c r="J1455" s="19">
        <f t="shared" si="112"/>
        <v>1.2425360028099808</v>
      </c>
      <c r="K1455" s="19">
        <f t="shared" si="108"/>
        <v>416.16850000000005</v>
      </c>
      <c r="L1455" s="19">
        <f t="shared" si="111"/>
        <v>394.09340000000009</v>
      </c>
      <c r="M1455" s="19">
        <f>MAX(G1312:G1455)</f>
        <v>465.04</v>
      </c>
      <c r="N1455" s="19">
        <f t="shared" si="109"/>
        <v>-0.83003612592465448</v>
      </c>
      <c r="O1455" s="9" t="str">
        <f t="shared" si="110"/>
        <v>2024-07</v>
      </c>
    </row>
    <row r="1456" spans="1:15" x14ac:dyDescent="0.25">
      <c r="A1456" s="9" t="s">
        <v>315</v>
      </c>
      <c r="B1456" s="9" t="s">
        <v>45</v>
      </c>
      <c r="C1456" s="25" t="s">
        <v>190</v>
      </c>
      <c r="D1456" s="19">
        <v>461.18</v>
      </c>
      <c r="E1456" s="19">
        <v>476.01</v>
      </c>
      <c r="F1456" s="19">
        <v>459.99</v>
      </c>
      <c r="G1456" s="19">
        <v>473.68</v>
      </c>
      <c r="H1456" s="19">
        <v>473.68</v>
      </c>
      <c r="I1456" s="15">
        <v>10315218</v>
      </c>
      <c r="J1456" s="19">
        <f t="shared" si="112"/>
        <v>2.7104384405221391</v>
      </c>
      <c r="K1456" s="19">
        <f t="shared" si="108"/>
        <v>419.238</v>
      </c>
      <c r="L1456" s="19">
        <f t="shared" si="111"/>
        <v>397.10200000000003</v>
      </c>
      <c r="M1456" s="19">
        <f>MAX(G1312:G1456)</f>
        <v>473.68</v>
      </c>
      <c r="N1456" s="19">
        <f t="shared" si="109"/>
        <v>0</v>
      </c>
      <c r="O1456" s="9" t="str">
        <f t="shared" si="110"/>
        <v>2024-07</v>
      </c>
    </row>
    <row r="1457" spans="1:15" x14ac:dyDescent="0.25">
      <c r="A1457" s="9" t="s">
        <v>315</v>
      </c>
      <c r="B1457" s="9" t="s">
        <v>45</v>
      </c>
      <c r="C1457" s="25" t="s">
        <v>191</v>
      </c>
      <c r="D1457" s="19">
        <v>473.68</v>
      </c>
      <c r="E1457" s="19">
        <v>482.26</v>
      </c>
      <c r="F1457" s="19">
        <v>471.23</v>
      </c>
      <c r="G1457" s="19">
        <v>481.09</v>
      </c>
      <c r="H1457" s="19">
        <v>481.09</v>
      </c>
      <c r="I1457" s="15">
        <v>7276208</v>
      </c>
      <c r="J1457" s="19">
        <f t="shared" si="112"/>
        <v>1.5643472386421144</v>
      </c>
      <c r="K1457" s="19">
        <f t="shared" si="108"/>
        <v>423.29450000000008</v>
      </c>
      <c r="L1457" s="19">
        <f t="shared" si="111"/>
        <v>399.92640000000006</v>
      </c>
      <c r="M1457" s="19">
        <f>MAX(G1312:G1457)</f>
        <v>481.09</v>
      </c>
      <c r="N1457" s="19">
        <f t="shared" si="109"/>
        <v>0</v>
      </c>
      <c r="O1457" s="9" t="str">
        <f t="shared" si="110"/>
        <v>2024-07</v>
      </c>
    </row>
    <row r="1458" spans="1:15" x14ac:dyDescent="0.25">
      <c r="A1458" s="9" t="s">
        <v>315</v>
      </c>
      <c r="B1458" s="9" t="s">
        <v>45</v>
      </c>
      <c r="C1458" s="25" t="s">
        <v>192</v>
      </c>
      <c r="D1458" s="19">
        <v>481.09</v>
      </c>
      <c r="E1458" s="19">
        <v>487.84</v>
      </c>
      <c r="F1458" s="19">
        <v>480.99</v>
      </c>
      <c r="G1458" s="19">
        <v>486.73</v>
      </c>
      <c r="H1458" s="19">
        <v>486.73</v>
      </c>
      <c r="I1458" s="15">
        <v>6058225</v>
      </c>
      <c r="J1458" s="19">
        <f t="shared" si="112"/>
        <v>1.1723378162090343</v>
      </c>
      <c r="K1458" s="19">
        <f t="shared" si="108"/>
        <v>427.27700000000004</v>
      </c>
      <c r="L1458" s="19">
        <f t="shared" si="111"/>
        <v>402.69960000000009</v>
      </c>
      <c r="M1458" s="19">
        <f>MAX(G1312:G1458)</f>
        <v>486.73</v>
      </c>
      <c r="N1458" s="19">
        <f t="shared" si="109"/>
        <v>0</v>
      </c>
      <c r="O1458" s="9" t="str">
        <f t="shared" si="110"/>
        <v>2024-07</v>
      </c>
    </row>
    <row r="1459" spans="1:15" x14ac:dyDescent="0.25">
      <c r="A1459" s="9" t="s">
        <v>315</v>
      </c>
      <c r="B1459" s="9" t="s">
        <v>45</v>
      </c>
      <c r="C1459" s="25" t="s">
        <v>193</v>
      </c>
      <c r="D1459" s="19">
        <v>486.73</v>
      </c>
      <c r="E1459" s="19">
        <v>497.64</v>
      </c>
      <c r="F1459" s="19">
        <v>485.51</v>
      </c>
      <c r="G1459" s="19">
        <v>496.42</v>
      </c>
      <c r="H1459" s="19">
        <v>496.42</v>
      </c>
      <c r="I1459" s="15">
        <v>3071632</v>
      </c>
      <c r="J1459" s="19">
        <f t="shared" si="112"/>
        <v>1.9908368089084292</v>
      </c>
      <c r="K1459" s="19">
        <f t="shared" ref="K1459:K1522" si="113">AVERAGE(G1440:G1459)</f>
        <v>431.8325000000001</v>
      </c>
      <c r="L1459" s="19">
        <f t="shared" si="111"/>
        <v>405.43700000000007</v>
      </c>
      <c r="M1459" s="19">
        <f>MAX(G1312:G1459)</f>
        <v>496.42</v>
      </c>
      <c r="N1459" s="19">
        <f t="shared" si="109"/>
        <v>0</v>
      </c>
      <c r="O1459" s="9" t="str">
        <f t="shared" si="110"/>
        <v>2024-07</v>
      </c>
    </row>
    <row r="1460" spans="1:15" x14ac:dyDescent="0.25">
      <c r="A1460" s="9" t="s">
        <v>315</v>
      </c>
      <c r="B1460" s="9" t="s">
        <v>45</v>
      </c>
      <c r="C1460" s="25" t="s">
        <v>194</v>
      </c>
      <c r="D1460" s="19">
        <v>496.42</v>
      </c>
      <c r="E1460" s="19">
        <v>502.9</v>
      </c>
      <c r="F1460" s="19">
        <v>496.06</v>
      </c>
      <c r="G1460" s="19">
        <v>502.75</v>
      </c>
      <c r="H1460" s="19">
        <v>502.75</v>
      </c>
      <c r="I1460" s="15">
        <v>8808823</v>
      </c>
      <c r="J1460" s="19">
        <f t="shared" si="112"/>
        <v>1.2751299303009516</v>
      </c>
      <c r="K1460" s="19">
        <f t="shared" si="113"/>
        <v>436.57600000000002</v>
      </c>
      <c r="L1460" s="19">
        <f t="shared" si="111"/>
        <v>407.89</v>
      </c>
      <c r="M1460" s="19">
        <f>MAX(G1312:G1460)</f>
        <v>502.75</v>
      </c>
      <c r="N1460" s="19">
        <f t="shared" si="109"/>
        <v>0</v>
      </c>
      <c r="O1460" s="9" t="str">
        <f t="shared" si="110"/>
        <v>2024-07</v>
      </c>
    </row>
    <row r="1461" spans="1:15" x14ac:dyDescent="0.25">
      <c r="A1461" s="9" t="s">
        <v>315</v>
      </c>
      <c r="B1461" s="9" t="s">
        <v>45</v>
      </c>
      <c r="C1461" s="25" t="s">
        <v>195</v>
      </c>
      <c r="D1461" s="19">
        <v>502.75</v>
      </c>
      <c r="E1461" s="19">
        <v>541.62</v>
      </c>
      <c r="F1461" s="19">
        <v>501.59</v>
      </c>
      <c r="G1461" s="19">
        <v>540.04</v>
      </c>
      <c r="H1461" s="19">
        <v>540.04</v>
      </c>
      <c r="I1461" s="15">
        <v>16029247</v>
      </c>
      <c r="J1461" s="19">
        <f t="shared" si="112"/>
        <v>7.4172053704624501</v>
      </c>
      <c r="K1461" s="19">
        <f t="shared" si="113"/>
        <v>442.91049999999996</v>
      </c>
      <c r="L1461" s="19">
        <f t="shared" si="111"/>
        <v>411.28859999999992</v>
      </c>
      <c r="M1461" s="19">
        <f>MAX(G1312:G1461)</f>
        <v>540.04</v>
      </c>
      <c r="N1461" s="19">
        <f t="shared" si="109"/>
        <v>0</v>
      </c>
      <c r="O1461" s="9" t="str">
        <f t="shared" si="110"/>
        <v>2024-07</v>
      </c>
    </row>
    <row r="1462" spans="1:15" x14ac:dyDescent="0.25">
      <c r="A1462" s="9" t="s">
        <v>315</v>
      </c>
      <c r="B1462" s="9" t="s">
        <v>45</v>
      </c>
      <c r="C1462" s="25" t="s">
        <v>196</v>
      </c>
      <c r="D1462" s="19">
        <v>540.04</v>
      </c>
      <c r="E1462" s="19">
        <v>563.38</v>
      </c>
      <c r="F1462" s="19">
        <v>539.02</v>
      </c>
      <c r="G1462" s="19">
        <v>561.79</v>
      </c>
      <c r="H1462" s="19">
        <v>561.79</v>
      </c>
      <c r="I1462" s="15">
        <v>8248116</v>
      </c>
      <c r="J1462" s="19">
        <f t="shared" si="112"/>
        <v>4.0274794459669661</v>
      </c>
      <c r="K1462" s="19">
        <f t="shared" si="113"/>
        <v>450.57550000000009</v>
      </c>
      <c r="L1462" s="19">
        <f t="shared" si="111"/>
        <v>414.99099999999999</v>
      </c>
      <c r="M1462" s="19">
        <f>MAX(G1312:G1462)</f>
        <v>561.79</v>
      </c>
      <c r="N1462" s="19">
        <f t="shared" si="109"/>
        <v>0</v>
      </c>
      <c r="O1462" s="9" t="str">
        <f t="shared" si="110"/>
        <v>2024-07</v>
      </c>
    </row>
    <row r="1463" spans="1:15" x14ac:dyDescent="0.25">
      <c r="A1463" s="9" t="s">
        <v>315</v>
      </c>
      <c r="B1463" s="9" t="s">
        <v>45</v>
      </c>
      <c r="C1463" s="25" t="s">
        <v>197</v>
      </c>
      <c r="D1463" s="19">
        <v>561.79</v>
      </c>
      <c r="E1463" s="19">
        <v>562.96</v>
      </c>
      <c r="F1463" s="19">
        <v>544.29999999999995</v>
      </c>
      <c r="G1463" s="19">
        <v>544.73</v>
      </c>
      <c r="H1463" s="19">
        <v>544.73</v>
      </c>
      <c r="I1463" s="15">
        <v>8150800</v>
      </c>
      <c r="J1463" s="19">
        <f t="shared" si="112"/>
        <v>-3.0367219067623035</v>
      </c>
      <c r="K1463" s="19">
        <f t="shared" si="113"/>
        <v>457.81100000000004</v>
      </c>
      <c r="L1463" s="19">
        <f t="shared" si="111"/>
        <v>418.39939999999996</v>
      </c>
      <c r="M1463" s="19">
        <f>MAX(G1312:G1463)</f>
        <v>561.79</v>
      </c>
      <c r="N1463" s="19">
        <f t="shared" si="109"/>
        <v>-3.0367219067623035</v>
      </c>
      <c r="O1463" s="9" t="str">
        <f t="shared" si="110"/>
        <v>2024-07</v>
      </c>
    </row>
    <row r="1464" spans="1:15" x14ac:dyDescent="0.25">
      <c r="A1464" s="9" t="s">
        <v>315</v>
      </c>
      <c r="B1464" s="9" t="s">
        <v>45</v>
      </c>
      <c r="C1464" s="25" t="s">
        <v>198</v>
      </c>
      <c r="D1464" s="19">
        <v>544.73</v>
      </c>
      <c r="E1464" s="19">
        <v>548.14</v>
      </c>
      <c r="F1464" s="19">
        <v>536.78</v>
      </c>
      <c r="G1464" s="19">
        <v>537.65</v>
      </c>
      <c r="H1464" s="19">
        <v>537.65</v>
      </c>
      <c r="I1464" s="15">
        <v>5970674</v>
      </c>
      <c r="J1464" s="19">
        <f t="shared" si="112"/>
        <v>-1.2997264699943165</v>
      </c>
      <c r="K1464" s="19">
        <f t="shared" si="113"/>
        <v>464.65249999999997</v>
      </c>
      <c r="L1464" s="19">
        <f t="shared" si="111"/>
        <v>421.57779999999997</v>
      </c>
      <c r="M1464" s="19">
        <f>MAX(G1312:G1464)</f>
        <v>561.79</v>
      </c>
      <c r="N1464" s="19">
        <f t="shared" si="109"/>
        <v>-4.296979298314314</v>
      </c>
      <c r="O1464" s="9" t="str">
        <f t="shared" si="110"/>
        <v>2024-07</v>
      </c>
    </row>
    <row r="1465" spans="1:15" x14ac:dyDescent="0.25">
      <c r="A1465" s="9" t="s">
        <v>315</v>
      </c>
      <c r="B1465" s="9" t="s">
        <v>45</v>
      </c>
      <c r="C1465" s="25" t="s">
        <v>199</v>
      </c>
      <c r="D1465" s="19">
        <v>537.65</v>
      </c>
      <c r="E1465" s="19">
        <v>539.27</v>
      </c>
      <c r="F1465" s="19">
        <v>510.22</v>
      </c>
      <c r="G1465" s="19">
        <v>510.59</v>
      </c>
      <c r="H1465" s="19">
        <v>510.59</v>
      </c>
      <c r="I1465" s="15">
        <v>14492766</v>
      </c>
      <c r="J1465" s="19">
        <f t="shared" si="112"/>
        <v>-5.0330140425927654</v>
      </c>
      <c r="K1465" s="19">
        <f t="shared" si="113"/>
        <v>470.03950000000003</v>
      </c>
      <c r="L1465" s="19">
        <f t="shared" si="111"/>
        <v>424.47980000000001</v>
      </c>
      <c r="M1465" s="19">
        <f>MAX(G1312:G1465)</f>
        <v>561.79</v>
      </c>
      <c r="N1465" s="19">
        <f t="shared" si="109"/>
        <v>-9.1137257694156162</v>
      </c>
      <c r="O1465" s="9" t="str">
        <f t="shared" si="110"/>
        <v>2024-08</v>
      </c>
    </row>
    <row r="1466" spans="1:15" x14ac:dyDescent="0.25">
      <c r="A1466" s="9" t="s">
        <v>315</v>
      </c>
      <c r="B1466" s="9" t="s">
        <v>45</v>
      </c>
      <c r="C1466" s="25" t="s">
        <v>200</v>
      </c>
      <c r="D1466" s="19">
        <v>510.59</v>
      </c>
      <c r="E1466" s="19">
        <v>538.17999999999995</v>
      </c>
      <c r="F1466" s="19">
        <v>509.18</v>
      </c>
      <c r="G1466" s="19">
        <v>535.16999999999996</v>
      </c>
      <c r="H1466" s="19">
        <v>535.16999999999996</v>
      </c>
      <c r="I1466" s="15">
        <v>5139100</v>
      </c>
      <c r="J1466" s="19">
        <f t="shared" si="112"/>
        <v>4.8140386611566983</v>
      </c>
      <c r="K1466" s="19">
        <f t="shared" si="113"/>
        <v>476.29499999999996</v>
      </c>
      <c r="L1466" s="19">
        <f t="shared" si="111"/>
        <v>427.94059999999996</v>
      </c>
      <c r="M1466" s="19">
        <f>MAX(G1312:G1466)</f>
        <v>561.79</v>
      </c>
      <c r="N1466" s="19">
        <f t="shared" si="109"/>
        <v>-4.738425390270387</v>
      </c>
      <c r="O1466" s="9" t="str">
        <f t="shared" si="110"/>
        <v>2024-08</v>
      </c>
    </row>
    <row r="1467" spans="1:15" x14ac:dyDescent="0.25">
      <c r="A1467" s="9" t="s">
        <v>315</v>
      </c>
      <c r="B1467" s="9" t="s">
        <v>45</v>
      </c>
      <c r="C1467" s="25" t="s">
        <v>201</v>
      </c>
      <c r="D1467" s="19">
        <v>535.16999999999996</v>
      </c>
      <c r="E1467" s="19">
        <v>553.75</v>
      </c>
      <c r="F1467" s="19">
        <v>530.76</v>
      </c>
      <c r="G1467" s="19">
        <v>553.04</v>
      </c>
      <c r="H1467" s="19">
        <v>553.04</v>
      </c>
      <c r="I1467" s="15">
        <v>9916403</v>
      </c>
      <c r="J1467" s="19">
        <f t="shared" si="112"/>
        <v>3.3391258852327308</v>
      </c>
      <c r="K1467" s="19">
        <f t="shared" si="113"/>
        <v>483.73449999999991</v>
      </c>
      <c r="L1467" s="19">
        <f t="shared" si="111"/>
        <v>431.8492</v>
      </c>
      <c r="M1467" s="19">
        <f>MAX(G1312:G1467)</f>
        <v>561.79</v>
      </c>
      <c r="N1467" s="19">
        <f t="shared" si="109"/>
        <v>-1.5575214937966144</v>
      </c>
      <c r="O1467" s="9" t="str">
        <f t="shared" si="110"/>
        <v>2024-08</v>
      </c>
    </row>
    <row r="1468" spans="1:15" x14ac:dyDescent="0.25">
      <c r="A1468" s="9" t="s">
        <v>315</v>
      </c>
      <c r="B1468" s="9" t="s">
        <v>45</v>
      </c>
      <c r="C1468" s="25" t="s">
        <v>202</v>
      </c>
      <c r="D1468" s="19">
        <v>553.04</v>
      </c>
      <c r="E1468" s="19">
        <v>569.92999999999995</v>
      </c>
      <c r="F1468" s="19">
        <v>552.69000000000005</v>
      </c>
      <c r="G1468" s="19">
        <v>569.22</v>
      </c>
      <c r="H1468" s="19">
        <v>569.22</v>
      </c>
      <c r="I1468" s="15">
        <v>8152168</v>
      </c>
      <c r="J1468" s="19">
        <f t="shared" si="112"/>
        <v>2.925647331115302</v>
      </c>
      <c r="K1468" s="19">
        <f t="shared" si="113"/>
        <v>491.19749999999993</v>
      </c>
      <c r="L1468" s="19">
        <f t="shared" si="111"/>
        <v>435.81940000000003</v>
      </c>
      <c r="M1468" s="19">
        <f>MAX(G1312:G1468)</f>
        <v>569.22</v>
      </c>
      <c r="N1468" s="19">
        <f t="shared" si="109"/>
        <v>0</v>
      </c>
      <c r="O1468" s="9" t="str">
        <f t="shared" si="110"/>
        <v>2024-08</v>
      </c>
    </row>
    <row r="1469" spans="1:15" x14ac:dyDescent="0.25">
      <c r="A1469" s="9" t="s">
        <v>315</v>
      </c>
      <c r="B1469" s="9" t="s">
        <v>45</v>
      </c>
      <c r="C1469" s="25" t="s">
        <v>203</v>
      </c>
      <c r="D1469" s="19">
        <v>569.22</v>
      </c>
      <c r="E1469" s="19">
        <v>574.82000000000005</v>
      </c>
      <c r="F1469" s="19">
        <v>562.16</v>
      </c>
      <c r="G1469" s="19">
        <v>563.44000000000005</v>
      </c>
      <c r="H1469" s="19">
        <v>563.44000000000005</v>
      </c>
      <c r="I1469" s="15">
        <v>7221975</v>
      </c>
      <c r="J1469" s="19">
        <f t="shared" si="112"/>
        <v>-1.0154246161413816</v>
      </c>
      <c r="K1469" s="19">
        <f t="shared" si="113"/>
        <v>498.52649999999994</v>
      </c>
      <c r="L1469" s="19">
        <f t="shared" si="111"/>
        <v>439.66120000000001</v>
      </c>
      <c r="M1469" s="19">
        <f>MAX(G1312:G1469)</f>
        <v>569.22</v>
      </c>
      <c r="N1469" s="19">
        <f t="shared" si="109"/>
        <v>-1.0154246161413816</v>
      </c>
      <c r="O1469" s="9" t="str">
        <f t="shared" si="110"/>
        <v>2024-08</v>
      </c>
    </row>
    <row r="1470" spans="1:15" x14ac:dyDescent="0.25">
      <c r="A1470" s="9" t="s">
        <v>315</v>
      </c>
      <c r="B1470" s="9" t="s">
        <v>45</v>
      </c>
      <c r="C1470" s="25" t="s">
        <v>204</v>
      </c>
      <c r="D1470" s="19">
        <v>563.44000000000005</v>
      </c>
      <c r="E1470" s="19">
        <v>566.29999999999995</v>
      </c>
      <c r="F1470" s="19">
        <v>522.4</v>
      </c>
      <c r="G1470" s="19">
        <v>524.49</v>
      </c>
      <c r="H1470" s="19">
        <v>524.49</v>
      </c>
      <c r="I1470" s="15">
        <v>33996713</v>
      </c>
      <c r="J1470" s="19">
        <f t="shared" si="112"/>
        <v>-6.912892233423265</v>
      </c>
      <c r="K1470" s="19">
        <f t="shared" si="113"/>
        <v>503.63800000000003</v>
      </c>
      <c r="L1470" s="19">
        <f t="shared" si="111"/>
        <v>442.80360000000007</v>
      </c>
      <c r="M1470" s="19">
        <f>MAX(G1312:G1470)</f>
        <v>569.22</v>
      </c>
      <c r="N1470" s="19">
        <f t="shared" si="109"/>
        <v>-7.8581216401391405</v>
      </c>
      <c r="O1470" s="9" t="str">
        <f t="shared" si="110"/>
        <v>2024-08</v>
      </c>
    </row>
    <row r="1471" spans="1:15" x14ac:dyDescent="0.25">
      <c r="A1471" s="9" t="s">
        <v>315</v>
      </c>
      <c r="B1471" s="9" t="s">
        <v>45</v>
      </c>
      <c r="C1471" s="25" t="s">
        <v>205</v>
      </c>
      <c r="D1471" s="19">
        <v>524.49</v>
      </c>
      <c r="E1471" s="19">
        <v>525.41</v>
      </c>
      <c r="F1471" s="19">
        <v>474.86</v>
      </c>
      <c r="G1471" s="19">
        <v>478.1</v>
      </c>
      <c r="H1471" s="19">
        <v>478.1</v>
      </c>
      <c r="I1471" s="15">
        <v>28731825</v>
      </c>
      <c r="J1471" s="19">
        <f t="shared" si="112"/>
        <v>-8.8447825506682651</v>
      </c>
      <c r="K1471" s="19">
        <f t="shared" si="113"/>
        <v>506.67750000000007</v>
      </c>
      <c r="L1471" s="19">
        <f t="shared" si="111"/>
        <v>445.1536000000001</v>
      </c>
      <c r="M1471" s="19">
        <f>MAX(G1312:G1471)</f>
        <v>569.22</v>
      </c>
      <c r="N1471" s="19">
        <f t="shared" si="109"/>
        <v>-16.007870419170093</v>
      </c>
      <c r="O1471" s="9" t="str">
        <f t="shared" si="110"/>
        <v>2024-08</v>
      </c>
    </row>
    <row r="1472" spans="1:15" x14ac:dyDescent="0.25">
      <c r="A1472" s="9" t="s">
        <v>315</v>
      </c>
      <c r="B1472" s="9" t="s">
        <v>45</v>
      </c>
      <c r="C1472" s="25" t="s">
        <v>206</v>
      </c>
      <c r="D1472" s="19">
        <v>478.1</v>
      </c>
      <c r="E1472" s="19">
        <v>478.87</v>
      </c>
      <c r="F1472" s="19">
        <v>469.58</v>
      </c>
      <c r="G1472" s="19">
        <v>471.78</v>
      </c>
      <c r="H1472" s="19">
        <v>471.78</v>
      </c>
      <c r="I1472" s="15">
        <v>10727222</v>
      </c>
      <c r="J1472" s="19">
        <f t="shared" si="112"/>
        <v>-1.3218991842710834</v>
      </c>
      <c r="K1472" s="19">
        <f t="shared" si="113"/>
        <v>509.44650000000013</v>
      </c>
      <c r="L1472" s="19">
        <f t="shared" si="111"/>
        <v>446.92419999999998</v>
      </c>
      <c r="M1472" s="19">
        <f>MAX(G1312:G1472)</f>
        <v>569.22</v>
      </c>
      <c r="N1472" s="19">
        <f t="shared" si="109"/>
        <v>-17.118161694950995</v>
      </c>
      <c r="O1472" s="9" t="str">
        <f t="shared" si="110"/>
        <v>2024-08</v>
      </c>
    </row>
    <row r="1473" spans="1:15" x14ac:dyDescent="0.25">
      <c r="A1473" s="9" t="s">
        <v>315</v>
      </c>
      <c r="B1473" s="9" t="s">
        <v>45</v>
      </c>
      <c r="C1473" s="25" t="s">
        <v>207</v>
      </c>
      <c r="D1473" s="19">
        <v>471.78</v>
      </c>
      <c r="E1473" s="19">
        <v>472.35</v>
      </c>
      <c r="F1473" s="19">
        <v>466.25</v>
      </c>
      <c r="G1473" s="19">
        <v>466.59</v>
      </c>
      <c r="H1473" s="19">
        <v>466.59</v>
      </c>
      <c r="I1473" s="15">
        <v>10140506</v>
      </c>
      <c r="J1473" s="19">
        <f t="shared" si="112"/>
        <v>-1.1000890245453385</v>
      </c>
      <c r="K1473" s="19">
        <f t="shared" si="113"/>
        <v>510.7000000000001</v>
      </c>
      <c r="L1473" s="19">
        <f t="shared" si="111"/>
        <v>448.45139999999998</v>
      </c>
      <c r="M1473" s="19">
        <f>MAX(G1312:G1473)</f>
        <v>569.22</v>
      </c>
      <c r="N1473" s="19">
        <f t="shared" si="109"/>
        <v>-18.029935701486252</v>
      </c>
      <c r="O1473" s="9" t="str">
        <f t="shared" si="110"/>
        <v>2024-08</v>
      </c>
    </row>
    <row r="1474" spans="1:15" x14ac:dyDescent="0.25">
      <c r="A1474" s="9" t="s">
        <v>315</v>
      </c>
      <c r="B1474" s="9" t="s">
        <v>45</v>
      </c>
      <c r="C1474" s="25" t="s">
        <v>208</v>
      </c>
      <c r="D1474" s="19">
        <v>466.59</v>
      </c>
      <c r="E1474" s="19">
        <v>467.86</v>
      </c>
      <c r="F1474" s="19">
        <v>448.36</v>
      </c>
      <c r="G1474" s="19">
        <v>448.83</v>
      </c>
      <c r="H1474" s="19">
        <v>448.83</v>
      </c>
      <c r="I1474" s="15">
        <v>8011384</v>
      </c>
      <c r="J1474" s="19">
        <f t="shared" si="112"/>
        <v>-3.8063396129364095</v>
      </c>
      <c r="K1474" s="19">
        <f t="shared" si="113"/>
        <v>510.36550000000005</v>
      </c>
      <c r="L1474" s="19">
        <f t="shared" si="111"/>
        <v>449.61460000000005</v>
      </c>
      <c r="M1474" s="19">
        <f>MAX(G1312:G1474)</f>
        <v>569.22</v>
      </c>
      <c r="N1474" s="19">
        <f t="shared" ref="N1474:N1537" si="114">(G1474-M1474)/M1474*100</f>
        <v>-21.149994729630027</v>
      </c>
      <c r="O1474" s="9" t="str">
        <f t="shared" ref="O1474:O1537" si="115">TEXT(C1474,"yyyy-mm")</f>
        <v>2024-08</v>
      </c>
    </row>
    <row r="1475" spans="1:15" x14ac:dyDescent="0.25">
      <c r="A1475" s="9" t="s">
        <v>315</v>
      </c>
      <c r="B1475" s="9" t="s">
        <v>45</v>
      </c>
      <c r="C1475" s="25" t="s">
        <v>209</v>
      </c>
      <c r="D1475" s="19">
        <v>448.83</v>
      </c>
      <c r="E1475" s="19">
        <v>454.04</v>
      </c>
      <c r="F1475" s="19">
        <v>442.37</v>
      </c>
      <c r="G1475" s="19">
        <v>442.9</v>
      </c>
      <c r="H1475" s="19">
        <v>442.9</v>
      </c>
      <c r="I1475" s="15">
        <v>6339043</v>
      </c>
      <c r="J1475" s="19">
        <f t="shared" si="112"/>
        <v>-1.3212129313994176</v>
      </c>
      <c r="K1475" s="19">
        <f t="shared" si="113"/>
        <v>509.45150000000001</v>
      </c>
      <c r="L1475" s="19">
        <f t="shared" si="111"/>
        <v>450.57160000000005</v>
      </c>
      <c r="M1475" s="19">
        <f>MAX(G1312:G1475)</f>
        <v>569.22</v>
      </c>
      <c r="N1475" s="19">
        <f t="shared" si="114"/>
        <v>-22.191771195671279</v>
      </c>
      <c r="O1475" s="9" t="str">
        <f t="shared" si="115"/>
        <v>2024-08</v>
      </c>
    </row>
    <row r="1476" spans="1:15" x14ac:dyDescent="0.25">
      <c r="A1476" s="9" t="s">
        <v>315</v>
      </c>
      <c r="B1476" s="9" t="s">
        <v>45</v>
      </c>
      <c r="C1476" s="25" t="s">
        <v>210</v>
      </c>
      <c r="D1476" s="19">
        <v>442.9</v>
      </c>
      <c r="E1476" s="19">
        <v>445.39</v>
      </c>
      <c r="F1476" s="19">
        <v>438.76</v>
      </c>
      <c r="G1476" s="19">
        <v>442.47</v>
      </c>
      <c r="H1476" s="19">
        <v>442.47</v>
      </c>
      <c r="I1476" s="15">
        <v>7556359</v>
      </c>
      <c r="J1476" s="19">
        <f t="shared" si="112"/>
        <v>-9.7087378640765415E-2</v>
      </c>
      <c r="K1476" s="19">
        <f t="shared" si="113"/>
        <v>507.89099999999996</v>
      </c>
      <c r="L1476" s="19">
        <f t="shared" si="111"/>
        <v>451.25080000000008</v>
      </c>
      <c r="M1476" s="19">
        <f>MAX(G1312:G1476)</f>
        <v>569.22</v>
      </c>
      <c r="N1476" s="19">
        <f t="shared" si="114"/>
        <v>-22.267313165384209</v>
      </c>
      <c r="O1476" s="9" t="str">
        <f t="shared" si="115"/>
        <v>2024-08</v>
      </c>
    </row>
    <row r="1477" spans="1:15" x14ac:dyDescent="0.25">
      <c r="A1477" s="9" t="s">
        <v>315</v>
      </c>
      <c r="B1477" s="9" t="s">
        <v>45</v>
      </c>
      <c r="C1477" s="25" t="s">
        <v>211</v>
      </c>
      <c r="D1477" s="19">
        <v>442.47</v>
      </c>
      <c r="E1477" s="19">
        <v>445.87</v>
      </c>
      <c r="F1477" s="19">
        <v>442</v>
      </c>
      <c r="G1477" s="19">
        <v>444.41</v>
      </c>
      <c r="H1477" s="19">
        <v>444.41</v>
      </c>
      <c r="I1477" s="15">
        <v>8152885</v>
      </c>
      <c r="J1477" s="19">
        <f t="shared" si="112"/>
        <v>0.43844780437091724</v>
      </c>
      <c r="K1477" s="19">
        <f t="shared" si="113"/>
        <v>506.0569999999999</v>
      </c>
      <c r="L1477" s="19">
        <f t="shared" si="111"/>
        <v>452.29540000000009</v>
      </c>
      <c r="M1477" s="19">
        <f>MAX(G1312:G1477)</f>
        <v>569.22</v>
      </c>
      <c r="N1477" s="19">
        <f t="shared" si="114"/>
        <v>-21.926495906679314</v>
      </c>
      <c r="O1477" s="9" t="str">
        <f t="shared" si="115"/>
        <v>2024-08</v>
      </c>
    </row>
    <row r="1478" spans="1:15" x14ac:dyDescent="0.25">
      <c r="A1478" s="9" t="s">
        <v>315</v>
      </c>
      <c r="B1478" s="9" t="s">
        <v>45</v>
      </c>
      <c r="C1478" s="25" t="s">
        <v>212</v>
      </c>
      <c r="D1478" s="19">
        <v>444.41</v>
      </c>
      <c r="E1478" s="19">
        <v>444.93</v>
      </c>
      <c r="F1478" s="19">
        <v>441.33</v>
      </c>
      <c r="G1478" s="19">
        <v>441.86</v>
      </c>
      <c r="H1478" s="19">
        <v>441.86</v>
      </c>
      <c r="I1478" s="15">
        <v>9699511</v>
      </c>
      <c r="J1478" s="19">
        <f t="shared" si="112"/>
        <v>-0.57379446907135556</v>
      </c>
      <c r="K1478" s="19">
        <f t="shared" si="113"/>
        <v>503.81350000000003</v>
      </c>
      <c r="L1478" s="19">
        <f t="shared" si="111"/>
        <v>453.41340000000014</v>
      </c>
      <c r="M1478" s="19">
        <f>MAX(G1312:G1478)</f>
        <v>569.22</v>
      </c>
      <c r="N1478" s="19">
        <f t="shared" si="114"/>
        <v>-22.374477354976989</v>
      </c>
      <c r="O1478" s="9" t="str">
        <f t="shared" si="115"/>
        <v>2024-08</v>
      </c>
    </row>
    <row r="1479" spans="1:15" x14ac:dyDescent="0.25">
      <c r="A1479" s="9" t="s">
        <v>315</v>
      </c>
      <c r="B1479" s="9" t="s">
        <v>45</v>
      </c>
      <c r="C1479" s="25" t="s">
        <v>213</v>
      </c>
      <c r="D1479" s="19">
        <v>441.86</v>
      </c>
      <c r="E1479" s="19">
        <v>442.24</v>
      </c>
      <c r="F1479" s="19">
        <v>438.12</v>
      </c>
      <c r="G1479" s="19">
        <v>440.1</v>
      </c>
      <c r="H1479" s="19">
        <v>440.1</v>
      </c>
      <c r="I1479" s="15">
        <v>9624785</v>
      </c>
      <c r="J1479" s="19">
        <f t="shared" si="112"/>
        <v>-0.39831620875390189</v>
      </c>
      <c r="K1479" s="19">
        <f t="shared" si="113"/>
        <v>500.99750000000006</v>
      </c>
      <c r="L1479" s="19">
        <f t="shared" si="111"/>
        <v>454.29500000000007</v>
      </c>
      <c r="M1479" s="19">
        <f>MAX(G1312:G1479)</f>
        <v>569.22</v>
      </c>
      <c r="N1479" s="19">
        <f t="shared" si="114"/>
        <v>-22.683672393802045</v>
      </c>
      <c r="O1479" s="9" t="str">
        <f t="shared" si="115"/>
        <v>2024-08</v>
      </c>
    </row>
    <row r="1480" spans="1:15" x14ac:dyDescent="0.25">
      <c r="A1480" s="9" t="s">
        <v>315</v>
      </c>
      <c r="B1480" s="9" t="s">
        <v>45</v>
      </c>
      <c r="C1480" s="25" t="s">
        <v>214</v>
      </c>
      <c r="D1480" s="19">
        <v>440.1</v>
      </c>
      <c r="E1480" s="19">
        <v>446.04</v>
      </c>
      <c r="F1480" s="19">
        <v>437.18</v>
      </c>
      <c r="G1480" s="19">
        <v>443.34</v>
      </c>
      <c r="H1480" s="19">
        <v>443.34</v>
      </c>
      <c r="I1480" s="15">
        <v>10059076</v>
      </c>
      <c r="J1480" s="19">
        <f t="shared" si="112"/>
        <v>0.736196319018394</v>
      </c>
      <c r="K1480" s="19">
        <f t="shared" si="113"/>
        <v>498.02700000000004</v>
      </c>
      <c r="L1480" s="19">
        <f t="shared" si="111"/>
        <v>455.33060000000012</v>
      </c>
      <c r="M1480" s="19">
        <f>MAX(G1312:G1480)</f>
        <v>569.22</v>
      </c>
      <c r="N1480" s="19">
        <f t="shared" si="114"/>
        <v>-22.114472435965013</v>
      </c>
      <c r="O1480" s="9" t="str">
        <f t="shared" si="115"/>
        <v>2024-08</v>
      </c>
    </row>
    <row r="1481" spans="1:15" x14ac:dyDescent="0.25">
      <c r="A1481" s="9" t="s">
        <v>315</v>
      </c>
      <c r="B1481" s="9" t="s">
        <v>45</v>
      </c>
      <c r="C1481" s="25" t="s">
        <v>215</v>
      </c>
      <c r="D1481" s="19">
        <v>443.34</v>
      </c>
      <c r="E1481" s="19">
        <v>467.59</v>
      </c>
      <c r="F1481" s="19">
        <v>443.25</v>
      </c>
      <c r="G1481" s="19">
        <v>463.03</v>
      </c>
      <c r="H1481" s="19">
        <v>463.03</v>
      </c>
      <c r="I1481" s="15">
        <v>8675236</v>
      </c>
      <c r="J1481" s="19">
        <f t="shared" si="112"/>
        <v>4.4412865971940265</v>
      </c>
      <c r="K1481" s="19">
        <f t="shared" si="113"/>
        <v>494.17650000000015</v>
      </c>
      <c r="L1481" s="19">
        <f t="shared" si="111"/>
        <v>456.84080000000012</v>
      </c>
      <c r="M1481" s="19">
        <f>MAX(G1312:G1481)</f>
        <v>569.22</v>
      </c>
      <c r="N1481" s="19">
        <f t="shared" si="114"/>
        <v>-18.655352939109669</v>
      </c>
      <c r="O1481" s="9" t="str">
        <f t="shared" si="115"/>
        <v>2024-08</v>
      </c>
    </row>
    <row r="1482" spans="1:15" x14ac:dyDescent="0.25">
      <c r="A1482" s="9" t="s">
        <v>315</v>
      </c>
      <c r="B1482" s="9" t="s">
        <v>45</v>
      </c>
      <c r="C1482" s="25" t="s">
        <v>216</v>
      </c>
      <c r="D1482" s="19">
        <v>463.03</v>
      </c>
      <c r="E1482" s="19">
        <v>463.45</v>
      </c>
      <c r="F1482" s="19">
        <v>457.72</v>
      </c>
      <c r="G1482" s="19">
        <v>458.47</v>
      </c>
      <c r="H1482" s="19">
        <v>458.47</v>
      </c>
      <c r="I1482" s="15">
        <v>7727635</v>
      </c>
      <c r="J1482" s="19">
        <f t="shared" si="112"/>
        <v>-0.98481739844069416</v>
      </c>
      <c r="K1482" s="19">
        <f t="shared" si="113"/>
        <v>489.01049999999998</v>
      </c>
      <c r="L1482" s="19">
        <f t="shared" si="111"/>
        <v>457.82040000000006</v>
      </c>
      <c r="M1482" s="19">
        <f>MAX(G1312:G1482)</f>
        <v>569.22</v>
      </c>
      <c r="N1482" s="19">
        <f t="shared" si="114"/>
        <v>-19.456449176065494</v>
      </c>
      <c r="O1482" s="9" t="str">
        <f t="shared" si="115"/>
        <v>2024-08</v>
      </c>
    </row>
    <row r="1483" spans="1:15" x14ac:dyDescent="0.25">
      <c r="A1483" s="9" t="s">
        <v>315</v>
      </c>
      <c r="B1483" s="9" t="s">
        <v>45</v>
      </c>
      <c r="C1483" s="25" t="s">
        <v>217</v>
      </c>
      <c r="D1483" s="19">
        <v>458.47</v>
      </c>
      <c r="E1483" s="19">
        <v>480.92</v>
      </c>
      <c r="F1483" s="19">
        <v>458.13</v>
      </c>
      <c r="G1483" s="19">
        <v>477.88</v>
      </c>
      <c r="H1483" s="19">
        <v>477.88</v>
      </c>
      <c r="I1483" s="15">
        <v>8932219</v>
      </c>
      <c r="J1483" s="19">
        <f t="shared" si="112"/>
        <v>4.2336466944401963</v>
      </c>
      <c r="K1483" s="19">
        <f t="shared" si="113"/>
        <v>485.66799999999995</v>
      </c>
      <c r="L1483" s="19">
        <f t="shared" si="111"/>
        <v>459.10180000000014</v>
      </c>
      <c r="M1483" s="19">
        <f>MAX(G1312:G1483)</f>
        <v>569.22</v>
      </c>
      <c r="N1483" s="19">
        <f t="shared" si="114"/>
        <v>-16.04651979902323</v>
      </c>
      <c r="O1483" s="9" t="str">
        <f t="shared" si="115"/>
        <v>2024-08</v>
      </c>
    </row>
    <row r="1484" spans="1:15" x14ac:dyDescent="0.25">
      <c r="A1484" s="9" t="s">
        <v>315</v>
      </c>
      <c r="B1484" s="9" t="s">
        <v>45</v>
      </c>
      <c r="C1484" s="25" t="s">
        <v>218</v>
      </c>
      <c r="D1484" s="19">
        <v>477.88</v>
      </c>
      <c r="E1484" s="19">
        <v>480.94</v>
      </c>
      <c r="F1484" s="19">
        <v>459.69</v>
      </c>
      <c r="G1484" s="19">
        <v>462.75</v>
      </c>
      <c r="H1484" s="19">
        <v>462.75</v>
      </c>
      <c r="I1484" s="15">
        <v>10342116</v>
      </c>
      <c r="J1484" s="19">
        <f t="shared" si="112"/>
        <v>-3.1660667950112993</v>
      </c>
      <c r="K1484" s="19">
        <f t="shared" si="113"/>
        <v>481.92299999999994</v>
      </c>
      <c r="L1484" s="19">
        <f t="shared" si="111"/>
        <v>460.01280000000014</v>
      </c>
      <c r="M1484" s="19">
        <f>MAX(G1312:G1484)</f>
        <v>569.22</v>
      </c>
      <c r="N1484" s="19">
        <f t="shared" si="114"/>
        <v>-18.704543058922741</v>
      </c>
      <c r="O1484" s="9" t="str">
        <f t="shared" si="115"/>
        <v>2024-08</v>
      </c>
    </row>
    <row r="1485" spans="1:15" x14ac:dyDescent="0.25">
      <c r="A1485" s="9" t="s">
        <v>315</v>
      </c>
      <c r="B1485" s="9" t="s">
        <v>45</v>
      </c>
      <c r="C1485" s="25" t="s">
        <v>219</v>
      </c>
      <c r="D1485" s="19">
        <v>462.75</v>
      </c>
      <c r="E1485" s="19">
        <v>467.26</v>
      </c>
      <c r="F1485" s="19">
        <v>458.61</v>
      </c>
      <c r="G1485" s="19">
        <v>459.34</v>
      </c>
      <c r="H1485" s="19">
        <v>459.34</v>
      </c>
      <c r="I1485" s="15">
        <v>4677156</v>
      </c>
      <c r="J1485" s="19">
        <f t="shared" si="112"/>
        <v>-0.73689897352782818</v>
      </c>
      <c r="K1485" s="19">
        <f t="shared" si="113"/>
        <v>479.36049999999994</v>
      </c>
      <c r="L1485" s="19">
        <f t="shared" si="111"/>
        <v>460.92100000000011</v>
      </c>
      <c r="M1485" s="19">
        <f>MAX(G1312:G1485)</f>
        <v>569.22</v>
      </c>
      <c r="N1485" s="19">
        <f t="shared" si="114"/>
        <v>-19.303608446646294</v>
      </c>
      <c r="O1485" s="9" t="str">
        <f t="shared" si="115"/>
        <v>2024-08</v>
      </c>
    </row>
    <row r="1486" spans="1:15" x14ac:dyDescent="0.25">
      <c r="A1486" s="9" t="s">
        <v>315</v>
      </c>
      <c r="B1486" s="9" t="s">
        <v>45</v>
      </c>
      <c r="C1486" s="25" t="s">
        <v>220</v>
      </c>
      <c r="D1486" s="19">
        <v>459.34</v>
      </c>
      <c r="E1486" s="19">
        <v>475.88</v>
      </c>
      <c r="F1486" s="19">
        <v>458.48</v>
      </c>
      <c r="G1486" s="19">
        <v>474.41</v>
      </c>
      <c r="H1486" s="19">
        <v>474.41</v>
      </c>
      <c r="I1486" s="15">
        <v>7444941</v>
      </c>
      <c r="J1486" s="19">
        <f t="shared" si="112"/>
        <v>3.2807941829581679</v>
      </c>
      <c r="K1486" s="19">
        <f t="shared" si="113"/>
        <v>476.32250000000005</v>
      </c>
      <c r="L1486" s="19">
        <f t="shared" si="111"/>
        <v>462.16340000000014</v>
      </c>
      <c r="M1486" s="19">
        <f>MAX(G1312:G1486)</f>
        <v>569.22</v>
      </c>
      <c r="N1486" s="19">
        <f t="shared" si="114"/>
        <v>-16.656125926706721</v>
      </c>
      <c r="O1486" s="9" t="str">
        <f t="shared" si="115"/>
        <v>2024-08</v>
      </c>
    </row>
    <row r="1487" spans="1:15" x14ac:dyDescent="0.25">
      <c r="A1487" s="9" t="s">
        <v>315</v>
      </c>
      <c r="B1487" s="9" t="s">
        <v>45</v>
      </c>
      <c r="C1487" s="25" t="s">
        <v>221</v>
      </c>
      <c r="D1487" s="19">
        <v>474.41</v>
      </c>
      <c r="E1487" s="19">
        <v>474.9</v>
      </c>
      <c r="F1487" s="19">
        <v>474.37</v>
      </c>
      <c r="G1487" s="19">
        <v>474.48</v>
      </c>
      <c r="H1487" s="19">
        <v>474.48</v>
      </c>
      <c r="I1487" s="15">
        <v>8703882</v>
      </c>
      <c r="J1487" s="19">
        <f t="shared" si="112"/>
        <v>1.4755169579054652E-2</v>
      </c>
      <c r="K1487" s="19">
        <f t="shared" si="113"/>
        <v>472.39449999999999</v>
      </c>
      <c r="L1487" s="19">
        <f t="shared" si="111"/>
        <v>463.6538000000001</v>
      </c>
      <c r="M1487" s="19">
        <f>MAX(G1312:G1487)</f>
        <v>569.22</v>
      </c>
      <c r="N1487" s="19">
        <f t="shared" si="114"/>
        <v>-16.643828396753452</v>
      </c>
      <c r="O1487" s="9" t="str">
        <f t="shared" si="115"/>
        <v>2024-09</v>
      </c>
    </row>
    <row r="1488" spans="1:15" x14ac:dyDescent="0.25">
      <c r="A1488" s="9" t="s">
        <v>315</v>
      </c>
      <c r="B1488" s="9" t="s">
        <v>45</v>
      </c>
      <c r="C1488" s="25" t="s">
        <v>222</v>
      </c>
      <c r="D1488" s="19">
        <v>474.48</v>
      </c>
      <c r="E1488" s="19">
        <v>483</v>
      </c>
      <c r="F1488" s="19">
        <v>472.91</v>
      </c>
      <c r="G1488" s="19">
        <v>482.41</v>
      </c>
      <c r="H1488" s="19">
        <v>482.41</v>
      </c>
      <c r="I1488" s="15">
        <v>8489372</v>
      </c>
      <c r="J1488" s="19">
        <f t="shared" si="112"/>
        <v>1.6713033215309405</v>
      </c>
      <c r="K1488" s="19">
        <f t="shared" si="113"/>
        <v>468.05399999999997</v>
      </c>
      <c r="L1488" s="19">
        <f t="shared" si="111"/>
        <v>465.1604000000001</v>
      </c>
      <c r="M1488" s="19">
        <f>MAX(G1312:G1488)</f>
        <v>569.22</v>
      </c>
      <c r="N1488" s="19">
        <f t="shared" si="114"/>
        <v>-15.250693932047362</v>
      </c>
      <c r="O1488" s="9" t="str">
        <f t="shared" si="115"/>
        <v>2024-09</v>
      </c>
    </row>
    <row r="1489" spans="1:15" x14ac:dyDescent="0.25">
      <c r="A1489" s="9" t="s">
        <v>315</v>
      </c>
      <c r="B1489" s="9" t="s">
        <v>45</v>
      </c>
      <c r="C1489" s="25" t="s">
        <v>223</v>
      </c>
      <c r="D1489" s="19">
        <v>482.41</v>
      </c>
      <c r="E1489" s="19">
        <v>491.97</v>
      </c>
      <c r="F1489" s="19">
        <v>480.09</v>
      </c>
      <c r="G1489" s="19">
        <v>491.68</v>
      </c>
      <c r="H1489" s="19">
        <v>491.68</v>
      </c>
      <c r="I1489" s="15">
        <v>4425717</v>
      </c>
      <c r="J1489" s="19">
        <f t="shared" si="112"/>
        <v>1.9216019568416867</v>
      </c>
      <c r="K1489" s="19">
        <f t="shared" si="113"/>
        <v>464.46600000000001</v>
      </c>
      <c r="L1489" s="19">
        <f t="shared" ref="L1489:L1552" si="116">AVERAGE(G1440:G1489)</f>
        <v>466.88780000000014</v>
      </c>
      <c r="M1489" s="19">
        <f>MAX(G1312:G1489)</f>
        <v>569.22</v>
      </c>
      <c r="N1489" s="19">
        <f t="shared" si="114"/>
        <v>-13.622149608235834</v>
      </c>
      <c r="O1489" s="9" t="str">
        <f t="shared" si="115"/>
        <v>2024-09</v>
      </c>
    </row>
    <row r="1490" spans="1:15" x14ac:dyDescent="0.25">
      <c r="A1490" s="9" t="s">
        <v>315</v>
      </c>
      <c r="B1490" s="9" t="s">
        <v>45</v>
      </c>
      <c r="C1490" s="25" t="s">
        <v>224</v>
      </c>
      <c r="D1490" s="19">
        <v>491.68</v>
      </c>
      <c r="E1490" s="19">
        <v>492.56</v>
      </c>
      <c r="F1490" s="19">
        <v>486.89</v>
      </c>
      <c r="G1490" s="19">
        <v>488.4</v>
      </c>
      <c r="H1490" s="19">
        <v>488.4</v>
      </c>
      <c r="I1490" s="15">
        <v>11567350</v>
      </c>
      <c r="J1490" s="19">
        <f t="shared" si="112"/>
        <v>-0.66710055320534278</v>
      </c>
      <c r="K1490" s="19">
        <f t="shared" si="113"/>
        <v>462.66149999999999</v>
      </c>
      <c r="L1490" s="19">
        <f t="shared" si="116"/>
        <v>468.49820000000017</v>
      </c>
      <c r="M1490" s="19">
        <f>MAX(G1312:G1490)</f>
        <v>569.22</v>
      </c>
      <c r="N1490" s="19">
        <f t="shared" si="114"/>
        <v>-14.198376726046178</v>
      </c>
      <c r="O1490" s="9" t="str">
        <f t="shared" si="115"/>
        <v>2024-09</v>
      </c>
    </row>
    <row r="1491" spans="1:15" x14ac:dyDescent="0.25">
      <c r="A1491" s="9" t="s">
        <v>315</v>
      </c>
      <c r="B1491" s="9" t="s">
        <v>45</v>
      </c>
      <c r="C1491" s="25" t="s">
        <v>225</v>
      </c>
      <c r="D1491" s="19">
        <v>488.4</v>
      </c>
      <c r="E1491" s="19">
        <v>491.03</v>
      </c>
      <c r="F1491" s="19">
        <v>469.61</v>
      </c>
      <c r="G1491" s="19">
        <v>471.58</v>
      </c>
      <c r="H1491" s="19">
        <v>471.58</v>
      </c>
      <c r="I1491" s="15">
        <v>9627127</v>
      </c>
      <c r="J1491" s="19">
        <f t="shared" si="112"/>
        <v>-3.4438984438984424</v>
      </c>
      <c r="K1491" s="19">
        <f t="shared" si="113"/>
        <v>462.33549999999997</v>
      </c>
      <c r="L1491" s="19">
        <f t="shared" si="116"/>
        <v>469.66280000000006</v>
      </c>
      <c r="M1491" s="19">
        <f>MAX(G1312:G1491)</f>
        <v>569.22</v>
      </c>
      <c r="N1491" s="19">
        <f t="shared" si="114"/>
        <v>-17.153297494817476</v>
      </c>
      <c r="O1491" s="9" t="str">
        <f t="shared" si="115"/>
        <v>2024-09</v>
      </c>
    </row>
    <row r="1492" spans="1:15" x14ac:dyDescent="0.25">
      <c r="A1492" s="9" t="s">
        <v>315</v>
      </c>
      <c r="B1492" s="9" t="s">
        <v>45</v>
      </c>
      <c r="C1492" s="25" t="s">
        <v>226</v>
      </c>
      <c r="D1492" s="19">
        <v>471.58</v>
      </c>
      <c r="E1492" s="19">
        <v>472.2</v>
      </c>
      <c r="F1492" s="19">
        <v>412.08</v>
      </c>
      <c r="G1492" s="19">
        <v>412.32</v>
      </c>
      <c r="H1492" s="19">
        <v>412.32</v>
      </c>
      <c r="I1492" s="15">
        <v>23162371</v>
      </c>
      <c r="J1492" s="19">
        <f t="shared" si="112"/>
        <v>-12.566266593154923</v>
      </c>
      <c r="K1492" s="19">
        <f t="shared" si="113"/>
        <v>459.36250000000001</v>
      </c>
      <c r="L1492" s="19">
        <f t="shared" si="116"/>
        <v>469.7394000000001</v>
      </c>
      <c r="M1492" s="19">
        <f>MAX(G1312:G1492)</f>
        <v>569.22</v>
      </c>
      <c r="N1492" s="19">
        <f t="shared" si="114"/>
        <v>-27.564034995256669</v>
      </c>
      <c r="O1492" s="9" t="str">
        <f t="shared" si="115"/>
        <v>2024-09</v>
      </c>
    </row>
    <row r="1493" spans="1:15" x14ac:dyDescent="0.25">
      <c r="A1493" s="9" t="s">
        <v>315</v>
      </c>
      <c r="B1493" s="9" t="s">
        <v>45</v>
      </c>
      <c r="C1493" s="25" t="s">
        <v>227</v>
      </c>
      <c r="D1493" s="19">
        <v>412.32</v>
      </c>
      <c r="E1493" s="19">
        <v>428.32</v>
      </c>
      <c r="F1493" s="19">
        <v>410.82</v>
      </c>
      <c r="G1493" s="19">
        <v>426.1</v>
      </c>
      <c r="H1493" s="19">
        <v>426.1</v>
      </c>
      <c r="I1493" s="15">
        <v>9240212</v>
      </c>
      <c r="J1493" s="19">
        <f t="shared" si="112"/>
        <v>3.3420644159875899</v>
      </c>
      <c r="K1493" s="19">
        <f t="shared" si="113"/>
        <v>457.33800000000002</v>
      </c>
      <c r="L1493" s="19">
        <f t="shared" si="116"/>
        <v>470.26100000000008</v>
      </c>
      <c r="M1493" s="19">
        <f>MAX(G1312:G1493)</f>
        <v>569.22</v>
      </c>
      <c r="N1493" s="19">
        <f t="shared" si="114"/>
        <v>-25.143178384455922</v>
      </c>
      <c r="O1493" s="9" t="str">
        <f t="shared" si="115"/>
        <v>2024-09</v>
      </c>
    </row>
    <row r="1494" spans="1:15" x14ac:dyDescent="0.25">
      <c r="A1494" s="9" t="s">
        <v>315</v>
      </c>
      <c r="B1494" s="9" t="s">
        <v>45</v>
      </c>
      <c r="C1494" s="25" t="s">
        <v>228</v>
      </c>
      <c r="D1494" s="19">
        <v>426.1</v>
      </c>
      <c r="E1494" s="19">
        <v>450.78</v>
      </c>
      <c r="F1494" s="19">
        <v>426.01</v>
      </c>
      <c r="G1494" s="19">
        <v>449.36</v>
      </c>
      <c r="H1494" s="19">
        <v>449.36</v>
      </c>
      <c r="I1494" s="15">
        <v>30953205</v>
      </c>
      <c r="J1494" s="19">
        <f t="shared" si="112"/>
        <v>5.4588124853320794</v>
      </c>
      <c r="K1494" s="19">
        <f t="shared" si="113"/>
        <v>457.36450000000002</v>
      </c>
      <c r="L1494" s="19">
        <f t="shared" si="116"/>
        <v>471.23180000000002</v>
      </c>
      <c r="M1494" s="19">
        <f>MAX(G1312:G1494)</f>
        <v>569.22</v>
      </c>
      <c r="N1494" s="19">
        <f t="shared" si="114"/>
        <v>-21.056884859983839</v>
      </c>
      <c r="O1494" s="9" t="str">
        <f t="shared" si="115"/>
        <v>2024-09</v>
      </c>
    </row>
    <row r="1495" spans="1:15" x14ac:dyDescent="0.25">
      <c r="A1495" s="9" t="s">
        <v>315</v>
      </c>
      <c r="B1495" s="9" t="s">
        <v>45</v>
      </c>
      <c r="C1495" s="25" t="s">
        <v>229</v>
      </c>
      <c r="D1495" s="19">
        <v>449.36</v>
      </c>
      <c r="E1495" s="19">
        <v>453.7</v>
      </c>
      <c r="F1495" s="19">
        <v>448.9</v>
      </c>
      <c r="G1495" s="19">
        <v>452.69</v>
      </c>
      <c r="H1495" s="19">
        <v>452.69</v>
      </c>
      <c r="I1495" s="15">
        <v>4377539</v>
      </c>
      <c r="J1495" s="19">
        <f t="shared" si="112"/>
        <v>0.74105394338614561</v>
      </c>
      <c r="K1495" s="19">
        <f t="shared" si="113"/>
        <v>457.8540000000001</v>
      </c>
      <c r="L1495" s="19">
        <f t="shared" si="116"/>
        <v>472.22860000000003</v>
      </c>
      <c r="M1495" s="19">
        <f>MAX(G1312:G1495)</f>
        <v>569.22</v>
      </c>
      <c r="N1495" s="19">
        <f t="shared" si="114"/>
        <v>-20.471873792206885</v>
      </c>
      <c r="O1495" s="9" t="str">
        <f t="shared" si="115"/>
        <v>2024-09</v>
      </c>
    </row>
    <row r="1496" spans="1:15" x14ac:dyDescent="0.25">
      <c r="A1496" s="9" t="s">
        <v>315</v>
      </c>
      <c r="B1496" s="9" t="s">
        <v>45</v>
      </c>
      <c r="C1496" s="25" t="s">
        <v>230</v>
      </c>
      <c r="D1496" s="19">
        <v>452.69</v>
      </c>
      <c r="E1496" s="19">
        <v>454.28</v>
      </c>
      <c r="F1496" s="19">
        <v>450.02</v>
      </c>
      <c r="G1496" s="19">
        <v>453.17</v>
      </c>
      <c r="H1496" s="19">
        <v>453.17</v>
      </c>
      <c r="I1496" s="15">
        <v>7796307</v>
      </c>
      <c r="J1496" s="19">
        <f t="shared" si="112"/>
        <v>0.10603282599571853</v>
      </c>
      <c r="K1496" s="19">
        <f t="shared" si="113"/>
        <v>458.38900000000001</v>
      </c>
      <c r="L1496" s="19">
        <f t="shared" si="116"/>
        <v>473.0908</v>
      </c>
      <c r="M1496" s="19">
        <f>MAX(G1312:G1496)</f>
        <v>569.22</v>
      </c>
      <c r="N1496" s="19">
        <f t="shared" si="114"/>
        <v>-20.387547872527321</v>
      </c>
      <c r="O1496" s="9" t="str">
        <f t="shared" si="115"/>
        <v>2024-09</v>
      </c>
    </row>
    <row r="1497" spans="1:15" x14ac:dyDescent="0.25">
      <c r="A1497" s="9" t="s">
        <v>315</v>
      </c>
      <c r="B1497" s="9" t="s">
        <v>45</v>
      </c>
      <c r="C1497" s="25" t="s">
        <v>231</v>
      </c>
      <c r="D1497" s="19">
        <v>453.17</v>
      </c>
      <c r="E1497" s="19">
        <v>475.67</v>
      </c>
      <c r="F1497" s="19">
        <v>451.69</v>
      </c>
      <c r="G1497" s="19">
        <v>475.44</v>
      </c>
      <c r="H1497" s="19">
        <v>475.44</v>
      </c>
      <c r="I1497" s="15">
        <v>5213670</v>
      </c>
      <c r="J1497" s="19">
        <f t="shared" si="112"/>
        <v>4.9142705827834989</v>
      </c>
      <c r="K1497" s="19">
        <f t="shared" si="113"/>
        <v>459.94049999999999</v>
      </c>
      <c r="L1497" s="19">
        <f t="shared" si="116"/>
        <v>474.51459999999997</v>
      </c>
      <c r="M1497" s="19">
        <f>MAX(G1312:G1497)</f>
        <v>569.22</v>
      </c>
      <c r="N1497" s="19">
        <f t="shared" si="114"/>
        <v>-16.475176557394335</v>
      </c>
      <c r="O1497" s="9" t="str">
        <f t="shared" si="115"/>
        <v>2024-09</v>
      </c>
    </row>
    <row r="1498" spans="1:15" x14ac:dyDescent="0.25">
      <c r="A1498" s="9" t="s">
        <v>315</v>
      </c>
      <c r="B1498" s="9" t="s">
        <v>45</v>
      </c>
      <c r="C1498" s="25" t="s">
        <v>232</v>
      </c>
      <c r="D1498" s="19">
        <v>475.44</v>
      </c>
      <c r="E1498" s="19">
        <v>477.5</v>
      </c>
      <c r="F1498" s="19">
        <v>474.81</v>
      </c>
      <c r="G1498" s="19">
        <v>475.93</v>
      </c>
      <c r="H1498" s="19">
        <v>475.93</v>
      </c>
      <c r="I1498" s="15">
        <v>11090868</v>
      </c>
      <c r="J1498" s="19">
        <f t="shared" si="112"/>
        <v>0.10306242638398305</v>
      </c>
      <c r="K1498" s="19">
        <f t="shared" si="113"/>
        <v>461.64399999999995</v>
      </c>
      <c r="L1498" s="19">
        <f t="shared" si="116"/>
        <v>475.63399999999996</v>
      </c>
      <c r="M1498" s="19">
        <f>MAX(G1312:G1498)</f>
        <v>569.22</v>
      </c>
      <c r="N1498" s="19">
        <f t="shared" si="114"/>
        <v>-16.389093847721444</v>
      </c>
      <c r="O1498" s="9" t="str">
        <f t="shared" si="115"/>
        <v>2024-09</v>
      </c>
    </row>
    <row r="1499" spans="1:15" x14ac:dyDescent="0.25">
      <c r="A1499" s="9" t="s">
        <v>315</v>
      </c>
      <c r="B1499" s="9" t="s">
        <v>45</v>
      </c>
      <c r="C1499" s="25" t="s">
        <v>233</v>
      </c>
      <c r="D1499" s="19">
        <v>475.93</v>
      </c>
      <c r="E1499" s="19">
        <v>476.4</v>
      </c>
      <c r="F1499" s="19">
        <v>456.32</v>
      </c>
      <c r="G1499" s="19">
        <v>458.07</v>
      </c>
      <c r="H1499" s="19">
        <v>458.07</v>
      </c>
      <c r="I1499" s="15">
        <v>11551142</v>
      </c>
      <c r="J1499" s="19">
        <f t="shared" si="112"/>
        <v>-3.7526527010274648</v>
      </c>
      <c r="K1499" s="19">
        <f t="shared" si="113"/>
        <v>462.5424999999999</v>
      </c>
      <c r="L1499" s="19">
        <f t="shared" si="116"/>
        <v>476.45819999999992</v>
      </c>
      <c r="M1499" s="19">
        <f>MAX(G1312:G1499)</f>
        <v>569.22</v>
      </c>
      <c r="N1499" s="19">
        <f t="shared" si="114"/>
        <v>-19.526720775798466</v>
      </c>
      <c r="O1499" s="9" t="str">
        <f t="shared" si="115"/>
        <v>2024-09</v>
      </c>
    </row>
    <row r="1500" spans="1:15" x14ac:dyDescent="0.25">
      <c r="A1500" s="9" t="s">
        <v>315</v>
      </c>
      <c r="B1500" s="9" t="s">
        <v>45</v>
      </c>
      <c r="C1500" s="25" t="s">
        <v>234</v>
      </c>
      <c r="D1500" s="19">
        <v>458.07</v>
      </c>
      <c r="E1500" s="19">
        <v>458.8</v>
      </c>
      <c r="F1500" s="19">
        <v>454.58</v>
      </c>
      <c r="G1500" s="19">
        <v>455.18</v>
      </c>
      <c r="H1500" s="19">
        <v>455.18</v>
      </c>
      <c r="I1500" s="15">
        <v>7921603</v>
      </c>
      <c r="J1500" s="19">
        <f t="shared" si="112"/>
        <v>-0.63090793983452009</v>
      </c>
      <c r="K1500" s="19">
        <f t="shared" si="113"/>
        <v>463.13449999999995</v>
      </c>
      <c r="L1500" s="19">
        <f t="shared" si="116"/>
        <v>477.11659999999995</v>
      </c>
      <c r="M1500" s="19">
        <f>MAX(G1312:G1500)</f>
        <v>569.22</v>
      </c>
      <c r="N1500" s="19">
        <f t="shared" si="114"/>
        <v>-20.034433083869157</v>
      </c>
      <c r="O1500" s="9" t="str">
        <f t="shared" si="115"/>
        <v>2024-09</v>
      </c>
    </row>
    <row r="1501" spans="1:15" x14ac:dyDescent="0.25">
      <c r="A1501" s="9" t="s">
        <v>315</v>
      </c>
      <c r="B1501" s="9" t="s">
        <v>45</v>
      </c>
      <c r="C1501" s="25" t="s">
        <v>235</v>
      </c>
      <c r="D1501" s="19">
        <v>455.18</v>
      </c>
      <c r="E1501" s="19">
        <v>457.09</v>
      </c>
      <c r="F1501" s="19">
        <v>454.17</v>
      </c>
      <c r="G1501" s="19">
        <v>456.96</v>
      </c>
      <c r="H1501" s="19">
        <v>456.96</v>
      </c>
      <c r="I1501" s="15">
        <v>8118883</v>
      </c>
      <c r="J1501" s="19">
        <f t="shared" si="112"/>
        <v>0.39105408849245854</v>
      </c>
      <c r="K1501" s="19">
        <f t="shared" si="113"/>
        <v>462.83099999999996</v>
      </c>
      <c r="L1501" s="19">
        <f t="shared" si="116"/>
        <v>477.9095999999999</v>
      </c>
      <c r="M1501" s="19">
        <f>MAX(G1312:G1501)</f>
        <v>569.22</v>
      </c>
      <c r="N1501" s="19">
        <f t="shared" si="114"/>
        <v>-19.721724465057456</v>
      </c>
      <c r="O1501" s="9" t="str">
        <f t="shared" si="115"/>
        <v>2024-09</v>
      </c>
    </row>
    <row r="1502" spans="1:15" x14ac:dyDescent="0.25">
      <c r="A1502" s="9" t="s">
        <v>315</v>
      </c>
      <c r="B1502" s="9" t="s">
        <v>45</v>
      </c>
      <c r="C1502" s="25" t="s">
        <v>236</v>
      </c>
      <c r="D1502" s="19">
        <v>456.96</v>
      </c>
      <c r="E1502" s="19">
        <v>463.66</v>
      </c>
      <c r="F1502" s="19">
        <v>454.58</v>
      </c>
      <c r="G1502" s="19">
        <v>462.63</v>
      </c>
      <c r="H1502" s="19">
        <v>462.63</v>
      </c>
      <c r="I1502" s="15">
        <v>3683267</v>
      </c>
      <c r="J1502" s="19">
        <f t="shared" si="112"/>
        <v>1.2408088235294152</v>
      </c>
      <c r="K1502" s="19">
        <f t="shared" si="113"/>
        <v>463.03899999999987</v>
      </c>
      <c r="L1502" s="19">
        <f t="shared" si="116"/>
        <v>478.83420000000001</v>
      </c>
      <c r="M1502" s="19">
        <f>MAX(G1312:G1502)</f>
        <v>569.22</v>
      </c>
      <c r="N1502" s="19">
        <f t="shared" si="114"/>
        <v>-18.725624538842631</v>
      </c>
      <c r="O1502" s="9" t="str">
        <f t="shared" si="115"/>
        <v>2024-09</v>
      </c>
    </row>
    <row r="1503" spans="1:15" x14ac:dyDescent="0.25">
      <c r="A1503" s="9" t="s">
        <v>315</v>
      </c>
      <c r="B1503" s="9" t="s">
        <v>45</v>
      </c>
      <c r="C1503" s="25" t="s">
        <v>237</v>
      </c>
      <c r="D1503" s="19">
        <v>462.63</v>
      </c>
      <c r="E1503" s="19">
        <v>470.29</v>
      </c>
      <c r="F1503" s="19">
        <v>460.03</v>
      </c>
      <c r="G1503" s="19">
        <v>467.15</v>
      </c>
      <c r="H1503" s="19">
        <v>467.15</v>
      </c>
      <c r="I1503" s="15">
        <v>10364548</v>
      </c>
      <c r="J1503" s="19">
        <f t="shared" si="112"/>
        <v>0.97702267470764581</v>
      </c>
      <c r="K1503" s="19">
        <f t="shared" si="113"/>
        <v>462.50249999999988</v>
      </c>
      <c r="L1503" s="19">
        <f t="shared" si="116"/>
        <v>479.34680000000003</v>
      </c>
      <c r="M1503" s="19">
        <f>MAX(G1312:G1503)</f>
        <v>569.22</v>
      </c>
      <c r="N1503" s="19">
        <f t="shared" si="114"/>
        <v>-17.931555461860096</v>
      </c>
      <c r="O1503" s="9" t="str">
        <f t="shared" si="115"/>
        <v>2024-09</v>
      </c>
    </row>
    <row r="1504" spans="1:15" x14ac:dyDescent="0.25">
      <c r="A1504" s="9" t="s">
        <v>315</v>
      </c>
      <c r="B1504" s="9" t="s">
        <v>45</v>
      </c>
      <c r="C1504" s="25" t="s">
        <v>238</v>
      </c>
      <c r="D1504" s="19">
        <v>467.15</v>
      </c>
      <c r="E1504" s="19">
        <v>467.48</v>
      </c>
      <c r="F1504" s="19">
        <v>444.25</v>
      </c>
      <c r="G1504" s="19">
        <v>447.41</v>
      </c>
      <c r="H1504" s="19">
        <v>447.41</v>
      </c>
      <c r="I1504" s="15">
        <v>9750082</v>
      </c>
      <c r="J1504" s="19">
        <f t="shared" si="112"/>
        <v>-4.225623461414953</v>
      </c>
      <c r="K1504" s="19">
        <f t="shared" si="113"/>
        <v>461.73549999999994</v>
      </c>
      <c r="L1504" s="19">
        <f t="shared" si="116"/>
        <v>479.18459999999999</v>
      </c>
      <c r="M1504" s="19">
        <f>MAX(G1312:G1504)</f>
        <v>569.22</v>
      </c>
      <c r="N1504" s="19">
        <f t="shared" si="114"/>
        <v>-21.399458908682057</v>
      </c>
      <c r="O1504" s="9" t="str">
        <f t="shared" si="115"/>
        <v>2024-09</v>
      </c>
    </row>
    <row r="1505" spans="1:15" x14ac:dyDescent="0.25">
      <c r="A1505" s="9" t="s">
        <v>315</v>
      </c>
      <c r="B1505" s="9" t="s">
        <v>45</v>
      </c>
      <c r="C1505" s="25" t="s">
        <v>239</v>
      </c>
      <c r="D1505" s="19">
        <v>447.41</v>
      </c>
      <c r="E1505" s="19">
        <v>448.25</v>
      </c>
      <c r="F1505" s="19">
        <v>422.24</v>
      </c>
      <c r="G1505" s="19">
        <v>424.28</v>
      </c>
      <c r="H1505" s="19">
        <v>424.28</v>
      </c>
      <c r="I1505" s="15">
        <v>14235872</v>
      </c>
      <c r="J1505" s="19">
        <f t="shared" ref="J1505:J1573" si="117">IFERROR((G1505-G1504)/G1504*100,"")</f>
        <v>-5.1697548110234575</v>
      </c>
      <c r="K1505" s="19">
        <f t="shared" si="113"/>
        <v>459.98249999999996</v>
      </c>
      <c r="L1505" s="19">
        <f t="shared" si="116"/>
        <v>478.44659999999999</v>
      </c>
      <c r="M1505" s="19">
        <f>MAX(G1312:G1505)</f>
        <v>569.22</v>
      </c>
      <c r="N1505" s="19">
        <f t="shared" si="114"/>
        <v>-25.462914163240935</v>
      </c>
      <c r="O1505" s="9" t="str">
        <f t="shared" si="115"/>
        <v>2024-09</v>
      </c>
    </row>
    <row r="1506" spans="1:15" x14ac:dyDescent="0.25">
      <c r="A1506" s="9" t="s">
        <v>315</v>
      </c>
      <c r="B1506" s="9" t="s">
        <v>45</v>
      </c>
      <c r="C1506" s="25" t="s">
        <v>240</v>
      </c>
      <c r="D1506" s="19">
        <v>424.28</v>
      </c>
      <c r="E1506" s="19">
        <v>432.23</v>
      </c>
      <c r="F1506" s="19">
        <v>421.17</v>
      </c>
      <c r="G1506" s="19">
        <v>430.95</v>
      </c>
      <c r="H1506" s="19">
        <v>430.95</v>
      </c>
      <c r="I1506" s="15">
        <v>9018234</v>
      </c>
      <c r="J1506" s="19">
        <f t="shared" si="117"/>
        <v>1.5720750447817518</v>
      </c>
      <c r="K1506" s="19">
        <f t="shared" si="113"/>
        <v>457.80950000000013</v>
      </c>
      <c r="L1506" s="19">
        <f t="shared" si="116"/>
        <v>477.59199999999998</v>
      </c>
      <c r="M1506" s="19">
        <f>MAX(G1312:G1506)</f>
        <v>569.22</v>
      </c>
      <c r="N1506" s="19">
        <f t="shared" si="114"/>
        <v>-24.291135237693691</v>
      </c>
      <c r="O1506" s="9" t="str">
        <f t="shared" si="115"/>
        <v>2024-09</v>
      </c>
    </row>
    <row r="1507" spans="1:15" x14ac:dyDescent="0.25">
      <c r="A1507" s="9" t="s">
        <v>315</v>
      </c>
      <c r="B1507" s="9" t="s">
        <v>45</v>
      </c>
      <c r="C1507" s="25" t="s">
        <v>241</v>
      </c>
      <c r="D1507" s="19">
        <v>430.95</v>
      </c>
      <c r="E1507" s="19">
        <v>434.92</v>
      </c>
      <c r="F1507" s="19">
        <v>428.1</v>
      </c>
      <c r="G1507" s="19">
        <v>434.06</v>
      </c>
      <c r="H1507" s="19">
        <v>434.06</v>
      </c>
      <c r="I1507" s="15">
        <v>12848885</v>
      </c>
      <c r="J1507" s="19">
        <f t="shared" si="117"/>
        <v>0.72166144564334933</v>
      </c>
      <c r="K1507" s="19">
        <f t="shared" si="113"/>
        <v>455.7885</v>
      </c>
      <c r="L1507" s="19">
        <f t="shared" si="116"/>
        <v>476.65139999999991</v>
      </c>
      <c r="M1507" s="19">
        <f>MAX(G1312:G1507)</f>
        <v>569.22</v>
      </c>
      <c r="N1507" s="19">
        <f t="shared" si="114"/>
        <v>-23.744773549769864</v>
      </c>
      <c r="O1507" s="9" t="str">
        <f t="shared" si="115"/>
        <v>2024-09</v>
      </c>
    </row>
    <row r="1508" spans="1:15" x14ac:dyDescent="0.25">
      <c r="A1508" s="9" t="s">
        <v>315</v>
      </c>
      <c r="B1508" s="9" t="s">
        <v>45</v>
      </c>
      <c r="C1508" s="25" t="s">
        <v>242</v>
      </c>
      <c r="D1508" s="19">
        <v>434.06</v>
      </c>
      <c r="E1508" s="19">
        <v>451.66</v>
      </c>
      <c r="F1508" s="19">
        <v>432.17</v>
      </c>
      <c r="G1508" s="19">
        <v>446.68</v>
      </c>
      <c r="H1508" s="19">
        <v>446.68</v>
      </c>
      <c r="I1508" s="15">
        <v>9275298</v>
      </c>
      <c r="J1508" s="19">
        <f t="shared" si="117"/>
        <v>2.907432152237019</v>
      </c>
      <c r="K1508" s="19">
        <f t="shared" si="113"/>
        <v>454.00199999999995</v>
      </c>
      <c r="L1508" s="19">
        <f t="shared" si="116"/>
        <v>475.85039999999992</v>
      </c>
      <c r="M1508" s="19">
        <f>MAX(G1312:G1508)</f>
        <v>569.22</v>
      </c>
      <c r="N1508" s="19">
        <f t="shared" si="114"/>
        <v>-21.527704578194726</v>
      </c>
      <c r="O1508" s="9" t="str">
        <f t="shared" si="115"/>
        <v>2024-10</v>
      </c>
    </row>
    <row r="1509" spans="1:15" x14ac:dyDescent="0.25">
      <c r="A1509" s="9" t="s">
        <v>315</v>
      </c>
      <c r="B1509" s="9" t="s">
        <v>45</v>
      </c>
      <c r="C1509" s="25" t="s">
        <v>243</v>
      </c>
      <c r="D1509" s="19">
        <v>446.68</v>
      </c>
      <c r="E1509" s="19">
        <v>447.9</v>
      </c>
      <c r="F1509" s="19">
        <v>443.65</v>
      </c>
      <c r="G1509" s="19">
        <v>445.53</v>
      </c>
      <c r="H1509" s="19">
        <v>445.53</v>
      </c>
      <c r="I1509" s="15">
        <v>4525499</v>
      </c>
      <c r="J1509" s="19">
        <f t="shared" si="117"/>
        <v>-0.25745500134325111</v>
      </c>
      <c r="K1509" s="19">
        <f t="shared" si="113"/>
        <v>451.69450000000006</v>
      </c>
      <c r="L1509" s="19">
        <f t="shared" si="116"/>
        <v>474.83259999999996</v>
      </c>
      <c r="M1509" s="19">
        <f>MAX(G1312:G1509)</f>
        <v>569.22</v>
      </c>
      <c r="N1509" s="19">
        <f t="shared" si="114"/>
        <v>-21.729735427427013</v>
      </c>
      <c r="O1509" s="9" t="str">
        <f t="shared" si="115"/>
        <v>2024-10</v>
      </c>
    </row>
    <row r="1510" spans="1:15" x14ac:dyDescent="0.25">
      <c r="A1510" s="9" t="s">
        <v>315</v>
      </c>
      <c r="B1510" s="9" t="s">
        <v>45</v>
      </c>
      <c r="C1510" s="25" t="s">
        <v>244</v>
      </c>
      <c r="D1510" s="19">
        <v>445.53</v>
      </c>
      <c r="E1510" s="19">
        <v>448.85</v>
      </c>
      <c r="F1510" s="19">
        <v>444.44</v>
      </c>
      <c r="G1510" s="19">
        <v>448.76</v>
      </c>
      <c r="H1510" s="19">
        <v>448.76</v>
      </c>
      <c r="I1510" s="15">
        <v>7071228</v>
      </c>
      <c r="J1510" s="19">
        <f t="shared" si="117"/>
        <v>0.72497923821067456</v>
      </c>
      <c r="K1510" s="19">
        <f t="shared" si="113"/>
        <v>449.71249999999998</v>
      </c>
      <c r="L1510" s="19">
        <f t="shared" si="116"/>
        <v>473.75279999999992</v>
      </c>
      <c r="M1510" s="19">
        <f>MAX(G1312:G1510)</f>
        <v>569.22</v>
      </c>
      <c r="N1510" s="19">
        <f t="shared" si="114"/>
        <v>-21.162292259583296</v>
      </c>
      <c r="O1510" s="9" t="str">
        <f t="shared" si="115"/>
        <v>2024-10</v>
      </c>
    </row>
    <row r="1511" spans="1:15" x14ac:dyDescent="0.25">
      <c r="A1511" s="9" t="s">
        <v>315</v>
      </c>
      <c r="B1511" s="9" t="s">
        <v>45</v>
      </c>
      <c r="C1511" s="25" t="s">
        <v>245</v>
      </c>
      <c r="D1511" s="19">
        <v>448.76</v>
      </c>
      <c r="E1511" s="19">
        <v>448.83</v>
      </c>
      <c r="F1511" s="19">
        <v>431.48</v>
      </c>
      <c r="G1511" s="19">
        <v>431.92</v>
      </c>
      <c r="H1511" s="19">
        <v>431.92</v>
      </c>
      <c r="I1511" s="15">
        <v>5238290</v>
      </c>
      <c r="J1511" s="19">
        <f t="shared" si="117"/>
        <v>-3.7525626169890312</v>
      </c>
      <c r="K1511" s="19">
        <f t="shared" si="113"/>
        <v>447.72950000000003</v>
      </c>
      <c r="L1511" s="19">
        <f t="shared" si="116"/>
        <v>471.59039999999993</v>
      </c>
      <c r="M1511" s="19">
        <f>MAX(G1312:G1511)</f>
        <v>569.22</v>
      </c>
      <c r="N1511" s="19">
        <f t="shared" si="114"/>
        <v>-24.12072660834124</v>
      </c>
      <c r="O1511" s="9" t="str">
        <f t="shared" si="115"/>
        <v>2024-10</v>
      </c>
    </row>
    <row r="1512" spans="1:15" x14ac:dyDescent="0.25">
      <c r="A1512" s="9" t="s">
        <v>315</v>
      </c>
      <c r="B1512" s="9" t="s">
        <v>45</v>
      </c>
      <c r="C1512" s="25" t="s">
        <v>246</v>
      </c>
      <c r="D1512" s="19">
        <v>431.92</v>
      </c>
      <c r="E1512" s="19">
        <v>436</v>
      </c>
      <c r="F1512" s="19">
        <v>412.44</v>
      </c>
      <c r="G1512" s="19">
        <v>416.59</v>
      </c>
      <c r="H1512" s="19">
        <v>416.59</v>
      </c>
      <c r="I1512" s="15">
        <v>5160713</v>
      </c>
      <c r="J1512" s="19">
        <f t="shared" si="117"/>
        <v>-3.5492683830339047</v>
      </c>
      <c r="K1512" s="19">
        <f t="shared" si="113"/>
        <v>447.94299999999993</v>
      </c>
      <c r="L1512" s="19">
        <f t="shared" si="116"/>
        <v>468.68639999999994</v>
      </c>
      <c r="M1512" s="19">
        <f>MAX(G1312:G1512)</f>
        <v>569.22</v>
      </c>
      <c r="N1512" s="19">
        <f t="shared" si="114"/>
        <v>-26.81388566810724</v>
      </c>
      <c r="O1512" s="9" t="str">
        <f t="shared" si="115"/>
        <v>2024-10</v>
      </c>
    </row>
    <row r="1513" spans="1:15" x14ac:dyDescent="0.25">
      <c r="A1513" s="9" t="s">
        <v>315</v>
      </c>
      <c r="B1513" s="9" t="s">
        <v>45</v>
      </c>
      <c r="C1513" s="25" t="s">
        <v>247</v>
      </c>
      <c r="D1513" s="19">
        <v>416.59</v>
      </c>
      <c r="E1513" s="19">
        <v>423.33</v>
      </c>
      <c r="F1513" s="19">
        <v>416.21</v>
      </c>
      <c r="G1513" s="19">
        <v>420.95</v>
      </c>
      <c r="H1513" s="19">
        <v>420.95</v>
      </c>
      <c r="I1513" s="15">
        <v>7024392</v>
      </c>
      <c r="J1513" s="19">
        <f t="shared" si="117"/>
        <v>1.0465925730334416</v>
      </c>
      <c r="K1513" s="19">
        <f t="shared" si="113"/>
        <v>447.68550000000005</v>
      </c>
      <c r="L1513" s="19">
        <f t="shared" si="116"/>
        <v>466.21079999999995</v>
      </c>
      <c r="M1513" s="19">
        <f>MAX(G1312:G1513)</f>
        <v>569.22</v>
      </c>
      <c r="N1513" s="19">
        <f t="shared" si="114"/>
        <v>-26.047925231017889</v>
      </c>
      <c r="O1513" s="9" t="str">
        <f t="shared" si="115"/>
        <v>2024-10</v>
      </c>
    </row>
    <row r="1514" spans="1:15" x14ac:dyDescent="0.25">
      <c r="A1514" s="9" t="s">
        <v>315</v>
      </c>
      <c r="B1514" s="9" t="s">
        <v>45</v>
      </c>
      <c r="C1514" s="25" t="s">
        <v>248</v>
      </c>
      <c r="D1514" s="19">
        <v>420.95</v>
      </c>
      <c r="E1514" s="19">
        <v>438.8</v>
      </c>
      <c r="F1514" s="19">
        <v>418.06</v>
      </c>
      <c r="G1514" s="19">
        <v>437.72</v>
      </c>
      <c r="H1514" s="19">
        <v>437.72</v>
      </c>
      <c r="I1514" s="15">
        <v>10585850</v>
      </c>
      <c r="J1514" s="19">
        <f t="shared" si="117"/>
        <v>3.9838460624777383</v>
      </c>
      <c r="K1514" s="19">
        <f t="shared" si="113"/>
        <v>447.1035</v>
      </c>
      <c r="L1514" s="19">
        <f t="shared" si="116"/>
        <v>464.2122</v>
      </c>
      <c r="M1514" s="19">
        <f>MAX(G1312:G1514)</f>
        <v>569.22</v>
      </c>
      <c r="N1514" s="19">
        <f t="shared" si="114"/>
        <v>-23.101788412213203</v>
      </c>
      <c r="O1514" s="9" t="str">
        <f t="shared" si="115"/>
        <v>2024-10</v>
      </c>
    </row>
    <row r="1515" spans="1:15" x14ac:dyDescent="0.25">
      <c r="A1515" s="9" t="s">
        <v>315</v>
      </c>
      <c r="B1515" s="9" t="s">
        <v>45</v>
      </c>
      <c r="C1515" s="25" t="s">
        <v>249</v>
      </c>
      <c r="D1515" s="19">
        <v>437.72</v>
      </c>
      <c r="E1515" s="19">
        <v>455.73</v>
      </c>
      <c r="F1515" s="19">
        <v>436.63</v>
      </c>
      <c r="G1515" s="19">
        <v>454.32</v>
      </c>
      <c r="H1515" s="19">
        <v>454.32</v>
      </c>
      <c r="I1515" s="15">
        <v>6554709</v>
      </c>
      <c r="J1515" s="19">
        <f t="shared" si="117"/>
        <v>3.7923786895732352</v>
      </c>
      <c r="K1515" s="19">
        <f t="shared" si="113"/>
        <v>447.18500000000006</v>
      </c>
      <c r="L1515" s="19">
        <f t="shared" si="116"/>
        <v>463.08679999999998</v>
      </c>
      <c r="M1515" s="19">
        <f>MAX(G1312:G1515)</f>
        <v>569.22</v>
      </c>
      <c r="N1515" s="19">
        <f t="shared" si="114"/>
        <v>-20.185517023295041</v>
      </c>
      <c r="O1515" s="9" t="str">
        <f t="shared" si="115"/>
        <v>2024-10</v>
      </c>
    </row>
    <row r="1516" spans="1:15" x14ac:dyDescent="0.25">
      <c r="A1516" s="9" t="s">
        <v>315</v>
      </c>
      <c r="B1516" s="9" t="s">
        <v>45</v>
      </c>
      <c r="C1516" s="25" t="s">
        <v>250</v>
      </c>
      <c r="D1516" s="19">
        <v>454.32</v>
      </c>
      <c r="E1516" s="19">
        <v>462.48</v>
      </c>
      <c r="F1516" s="19">
        <v>451.84</v>
      </c>
      <c r="G1516" s="19">
        <v>460.93</v>
      </c>
      <c r="H1516" s="19">
        <v>460.93</v>
      </c>
      <c r="I1516" s="15">
        <v>3310147</v>
      </c>
      <c r="J1516" s="19">
        <f t="shared" si="117"/>
        <v>1.4549216411340054</v>
      </c>
      <c r="K1516" s="19">
        <f t="shared" si="113"/>
        <v>447.57300000000004</v>
      </c>
      <c r="L1516" s="19">
        <f t="shared" si="116"/>
        <v>461.60200000000003</v>
      </c>
      <c r="M1516" s="19">
        <f>MAX(G1312:G1516)</f>
        <v>569.22</v>
      </c>
      <c r="N1516" s="19">
        <f t="shared" si="114"/>
        <v>-19.02427883770774</v>
      </c>
      <c r="O1516" s="9" t="str">
        <f t="shared" si="115"/>
        <v>2024-10</v>
      </c>
    </row>
    <row r="1517" spans="1:15" x14ac:dyDescent="0.25">
      <c r="A1517" s="9" t="s">
        <v>315</v>
      </c>
      <c r="B1517" s="9" t="s">
        <v>45</v>
      </c>
      <c r="C1517" s="25" t="s">
        <v>251</v>
      </c>
      <c r="D1517" s="19">
        <v>460.93</v>
      </c>
      <c r="E1517" s="19">
        <v>462.18</v>
      </c>
      <c r="F1517" s="19">
        <v>457.64</v>
      </c>
      <c r="G1517" s="19">
        <v>460.46</v>
      </c>
      <c r="H1517" s="19">
        <v>460.46</v>
      </c>
      <c r="I1517" s="15">
        <v>4462627</v>
      </c>
      <c r="J1517" s="19">
        <f t="shared" si="117"/>
        <v>-0.1019677608313686</v>
      </c>
      <c r="K1517" s="19">
        <f t="shared" si="113"/>
        <v>446.82399999999996</v>
      </c>
      <c r="L1517" s="19">
        <f t="shared" si="116"/>
        <v>459.75039999999996</v>
      </c>
      <c r="M1517" s="19">
        <f>MAX(G1312:G1517)</f>
        <v>569.22</v>
      </c>
      <c r="N1517" s="19">
        <f t="shared" si="114"/>
        <v>-19.106847967393985</v>
      </c>
      <c r="O1517" s="9" t="str">
        <f t="shared" si="115"/>
        <v>2024-10</v>
      </c>
    </row>
    <row r="1518" spans="1:15" x14ac:dyDescent="0.25">
      <c r="A1518" s="9" t="s">
        <v>315</v>
      </c>
      <c r="B1518" s="9" t="s">
        <v>45</v>
      </c>
      <c r="C1518" s="25" t="s">
        <v>252</v>
      </c>
      <c r="D1518" s="19">
        <v>460.46</v>
      </c>
      <c r="E1518" s="19">
        <v>461.2</v>
      </c>
      <c r="F1518" s="19">
        <v>459.97</v>
      </c>
      <c r="G1518" s="19">
        <v>460.58</v>
      </c>
      <c r="H1518" s="19">
        <v>460.58</v>
      </c>
      <c r="I1518" s="15">
        <v>14683011</v>
      </c>
      <c r="J1518" s="19">
        <f t="shared" si="117"/>
        <v>2.6060895626114005E-2</v>
      </c>
      <c r="K1518" s="19">
        <f t="shared" si="113"/>
        <v>446.05649999999997</v>
      </c>
      <c r="L1518" s="19">
        <f t="shared" si="116"/>
        <v>457.57760000000002</v>
      </c>
      <c r="M1518" s="19">
        <f>MAX(G1312:G1518)</f>
        <v>569.22</v>
      </c>
      <c r="N1518" s="19">
        <f t="shared" si="114"/>
        <v>-19.085766487474093</v>
      </c>
      <c r="O1518" s="9" t="str">
        <f t="shared" si="115"/>
        <v>2024-10</v>
      </c>
    </row>
    <row r="1519" spans="1:15" x14ac:dyDescent="0.25">
      <c r="A1519" s="9" t="s">
        <v>315</v>
      </c>
      <c r="B1519" s="9" t="s">
        <v>45</v>
      </c>
      <c r="C1519" s="25" t="s">
        <v>253</v>
      </c>
      <c r="D1519" s="19">
        <v>460.58</v>
      </c>
      <c r="E1519" s="19">
        <v>467.42</v>
      </c>
      <c r="F1519" s="19">
        <v>457.07</v>
      </c>
      <c r="G1519" s="19">
        <v>465.26</v>
      </c>
      <c r="H1519" s="19">
        <v>465.26</v>
      </c>
      <c r="I1519" s="15">
        <v>8371834</v>
      </c>
      <c r="J1519" s="19">
        <f t="shared" si="117"/>
        <v>1.0161101220200632</v>
      </c>
      <c r="K1519" s="19">
        <f t="shared" si="113"/>
        <v>446.416</v>
      </c>
      <c r="L1519" s="19">
        <f t="shared" si="116"/>
        <v>455.61399999999992</v>
      </c>
      <c r="M1519" s="19">
        <f>MAX(G1312:G1519)</f>
        <v>569.22</v>
      </c>
      <c r="N1519" s="19">
        <f t="shared" si="114"/>
        <v>-18.263588770598368</v>
      </c>
      <c r="O1519" s="9" t="str">
        <f t="shared" si="115"/>
        <v>2024-10</v>
      </c>
    </row>
    <row r="1520" spans="1:15" x14ac:dyDescent="0.25">
      <c r="A1520" s="9" t="s">
        <v>315</v>
      </c>
      <c r="B1520" s="9" t="s">
        <v>45</v>
      </c>
      <c r="C1520" s="25" t="s">
        <v>254</v>
      </c>
      <c r="D1520" s="19">
        <v>465.26</v>
      </c>
      <c r="E1520" s="19">
        <v>470.74</v>
      </c>
      <c r="F1520" s="19">
        <v>463.55</v>
      </c>
      <c r="G1520" s="19">
        <v>469.28</v>
      </c>
      <c r="H1520" s="19">
        <v>469.28</v>
      </c>
      <c r="I1520" s="15">
        <v>4496036</v>
      </c>
      <c r="J1520" s="19">
        <f t="shared" si="117"/>
        <v>0.86403301379873232</v>
      </c>
      <c r="K1520" s="19">
        <f t="shared" si="113"/>
        <v>447.12099999999998</v>
      </c>
      <c r="L1520" s="19">
        <f t="shared" si="116"/>
        <v>454.50979999999998</v>
      </c>
      <c r="M1520" s="19">
        <f>MAX(G1312:G1520)</f>
        <v>569.22</v>
      </c>
      <c r="N1520" s="19">
        <f t="shared" si="114"/>
        <v>-17.557359193282043</v>
      </c>
      <c r="O1520" s="9" t="str">
        <f t="shared" si="115"/>
        <v>2024-10</v>
      </c>
    </row>
    <row r="1521" spans="1:15" x14ac:dyDescent="0.25">
      <c r="A1521" s="9" t="s">
        <v>315</v>
      </c>
      <c r="B1521" s="9" t="s">
        <v>45</v>
      </c>
      <c r="C1521" s="25" t="s">
        <v>255</v>
      </c>
      <c r="D1521" s="19">
        <v>469.28</v>
      </c>
      <c r="E1521" s="19">
        <v>473.08</v>
      </c>
      <c r="F1521" s="19">
        <v>467.17</v>
      </c>
      <c r="G1521" s="19">
        <v>470.58</v>
      </c>
      <c r="H1521" s="19">
        <v>470.58</v>
      </c>
      <c r="I1521" s="15">
        <v>5376667</v>
      </c>
      <c r="J1521" s="19">
        <f t="shared" si="117"/>
        <v>0.27702011592226633</v>
      </c>
      <c r="K1521" s="19">
        <f t="shared" si="113"/>
        <v>447.80200000000002</v>
      </c>
      <c r="L1521" s="19">
        <f t="shared" si="116"/>
        <v>454.35939999999994</v>
      </c>
      <c r="M1521" s="19">
        <f>MAX(G1312:G1521)</f>
        <v>569.22</v>
      </c>
      <c r="N1521" s="19">
        <f t="shared" si="114"/>
        <v>-17.328976494149895</v>
      </c>
      <c r="O1521" s="9" t="str">
        <f t="shared" si="115"/>
        <v>2024-10</v>
      </c>
    </row>
    <row r="1522" spans="1:15" x14ac:dyDescent="0.25">
      <c r="A1522" s="9" t="s">
        <v>315</v>
      </c>
      <c r="B1522" s="9" t="s">
        <v>45</v>
      </c>
      <c r="C1522" s="25" t="s">
        <v>256</v>
      </c>
      <c r="D1522" s="19">
        <v>470.58</v>
      </c>
      <c r="E1522" s="19">
        <v>491.7</v>
      </c>
      <c r="F1522" s="19">
        <v>470.24</v>
      </c>
      <c r="G1522" s="19">
        <v>489.73</v>
      </c>
      <c r="H1522" s="19">
        <v>489.73</v>
      </c>
      <c r="I1522" s="15">
        <v>4335465</v>
      </c>
      <c r="J1522" s="19">
        <f t="shared" si="117"/>
        <v>4.0694462153087754</v>
      </c>
      <c r="K1522" s="19">
        <f t="shared" si="113"/>
        <v>449.15699999999998</v>
      </c>
      <c r="L1522" s="19">
        <f t="shared" si="116"/>
        <v>454.71839999999997</v>
      </c>
      <c r="M1522" s="19">
        <f>MAX(G1312:G1522)</f>
        <v>569.22</v>
      </c>
      <c r="N1522" s="19">
        <f t="shared" si="114"/>
        <v>-13.96472365693405</v>
      </c>
      <c r="O1522" s="9" t="str">
        <f t="shared" si="115"/>
        <v>2024-10</v>
      </c>
    </row>
    <row r="1523" spans="1:15" x14ac:dyDescent="0.25">
      <c r="A1523" s="9" t="s">
        <v>315</v>
      </c>
      <c r="B1523" s="9" t="s">
        <v>45</v>
      </c>
      <c r="C1523" s="25" t="s">
        <v>257</v>
      </c>
      <c r="D1523" s="19">
        <v>489.73</v>
      </c>
      <c r="E1523" s="19">
        <v>490.03</v>
      </c>
      <c r="F1523" s="19">
        <v>483.45</v>
      </c>
      <c r="G1523" s="19">
        <v>486.19</v>
      </c>
      <c r="H1523" s="19">
        <v>486.19</v>
      </c>
      <c r="I1523" s="15">
        <v>6143350</v>
      </c>
      <c r="J1523" s="19">
        <f t="shared" si="117"/>
        <v>-0.72284728319686775</v>
      </c>
      <c r="K1523" s="19">
        <f t="shared" ref="K1523:K1586" si="118">AVERAGE(G1504:G1523)</f>
        <v>450.10900000000004</v>
      </c>
      <c r="L1523" s="19">
        <f t="shared" si="116"/>
        <v>455.11040000000003</v>
      </c>
      <c r="M1523" s="19">
        <f>MAX(G1312:G1523)</f>
        <v>569.22</v>
      </c>
      <c r="N1523" s="19">
        <f t="shared" si="114"/>
        <v>-14.586627314570821</v>
      </c>
      <c r="O1523" s="9" t="str">
        <f t="shared" si="115"/>
        <v>2024-10</v>
      </c>
    </row>
    <row r="1524" spans="1:15" x14ac:dyDescent="0.25">
      <c r="A1524" s="9" t="s">
        <v>315</v>
      </c>
      <c r="B1524" s="9" t="s">
        <v>45</v>
      </c>
      <c r="C1524" s="25" t="s">
        <v>258</v>
      </c>
      <c r="D1524" s="19">
        <v>486.19</v>
      </c>
      <c r="E1524" s="19">
        <v>488.89</v>
      </c>
      <c r="F1524" s="19">
        <v>471.33</v>
      </c>
      <c r="G1524" s="19">
        <v>471.94</v>
      </c>
      <c r="H1524" s="19">
        <v>471.94</v>
      </c>
      <c r="I1524" s="15">
        <v>10187625</v>
      </c>
      <c r="J1524" s="19">
        <f t="shared" si="117"/>
        <v>-2.93095291964047</v>
      </c>
      <c r="K1524" s="19">
        <f t="shared" si="118"/>
        <v>451.33550000000002</v>
      </c>
      <c r="L1524" s="19">
        <f t="shared" si="116"/>
        <v>455.57260000000002</v>
      </c>
      <c r="M1524" s="19">
        <f>MAX(G1312:G1524)</f>
        <v>569.22</v>
      </c>
      <c r="N1524" s="19">
        <f t="shared" si="114"/>
        <v>-17.090053055057801</v>
      </c>
      <c r="O1524" s="9" t="str">
        <f t="shared" si="115"/>
        <v>2024-10</v>
      </c>
    </row>
    <row r="1525" spans="1:15" x14ac:dyDescent="0.25">
      <c r="A1525" s="9" t="s">
        <v>315</v>
      </c>
      <c r="B1525" s="9" t="s">
        <v>45</v>
      </c>
      <c r="C1525" s="25" t="s">
        <v>259</v>
      </c>
      <c r="D1525" s="19">
        <v>471.94</v>
      </c>
      <c r="E1525" s="19">
        <v>473.39</v>
      </c>
      <c r="F1525" s="19">
        <v>467.26</v>
      </c>
      <c r="G1525" s="19">
        <v>467.82</v>
      </c>
      <c r="H1525" s="19">
        <v>467.82</v>
      </c>
      <c r="I1525" s="15">
        <v>9250533</v>
      </c>
      <c r="J1525" s="19">
        <f t="shared" si="117"/>
        <v>-0.87299232953341621</v>
      </c>
      <c r="K1525" s="19">
        <f t="shared" si="118"/>
        <v>453.51249999999993</v>
      </c>
      <c r="L1525" s="19">
        <f t="shared" si="116"/>
        <v>456.07099999999997</v>
      </c>
      <c r="M1525" s="19">
        <f>MAX(G1312:G1525)</f>
        <v>569.22</v>
      </c>
      <c r="N1525" s="19">
        <f t="shared" si="114"/>
        <v>-17.813850532307374</v>
      </c>
      <c r="O1525" s="9" t="str">
        <f t="shared" si="115"/>
        <v>2024-10</v>
      </c>
    </row>
    <row r="1526" spans="1:15" x14ac:dyDescent="0.25">
      <c r="A1526" s="9" t="s">
        <v>315</v>
      </c>
      <c r="B1526" s="9" t="s">
        <v>45</v>
      </c>
      <c r="C1526" s="25" t="s">
        <v>260</v>
      </c>
      <c r="D1526" s="19">
        <v>467.82</v>
      </c>
      <c r="E1526" s="19">
        <v>469.97</v>
      </c>
      <c r="F1526" s="19">
        <v>456.02</v>
      </c>
      <c r="G1526" s="19">
        <v>457.36</v>
      </c>
      <c r="H1526" s="19">
        <v>457.36</v>
      </c>
      <c r="I1526" s="15">
        <v>3471231</v>
      </c>
      <c r="J1526" s="19">
        <f t="shared" si="117"/>
        <v>-2.2359026976187377</v>
      </c>
      <c r="K1526" s="19">
        <f t="shared" si="118"/>
        <v>454.83299999999997</v>
      </c>
      <c r="L1526" s="19">
        <f t="shared" si="116"/>
        <v>456.36879999999996</v>
      </c>
      <c r="M1526" s="19">
        <f>MAX(G1312:G1526)</f>
        <v>569.22</v>
      </c>
      <c r="N1526" s="19">
        <f t="shared" si="114"/>
        <v>-19.65145286532448</v>
      </c>
      <c r="O1526" s="9" t="str">
        <f t="shared" si="115"/>
        <v>2024-10</v>
      </c>
    </row>
    <row r="1527" spans="1:15" x14ac:dyDescent="0.25">
      <c r="A1527" s="9" t="s">
        <v>315</v>
      </c>
      <c r="B1527" s="9" t="s">
        <v>45</v>
      </c>
      <c r="C1527" s="25" t="s">
        <v>261</v>
      </c>
      <c r="D1527" s="19">
        <v>457.36</v>
      </c>
      <c r="E1527" s="19">
        <v>460.16</v>
      </c>
      <c r="F1527" s="19">
        <v>431.76</v>
      </c>
      <c r="G1527" s="19">
        <v>433.81</v>
      </c>
      <c r="H1527" s="19">
        <v>433.81</v>
      </c>
      <c r="I1527" s="15">
        <v>17423258</v>
      </c>
      <c r="J1527" s="19">
        <f t="shared" si="117"/>
        <v>-5.149116669581951</v>
      </c>
      <c r="K1527" s="19">
        <f t="shared" si="118"/>
        <v>454.82049999999992</v>
      </c>
      <c r="L1527" s="19">
        <f t="shared" si="116"/>
        <v>456.15679999999998</v>
      </c>
      <c r="M1527" s="19">
        <f>MAX(G1312:G1527)</f>
        <v>569.22</v>
      </c>
      <c r="N1527" s="19">
        <f t="shared" si="114"/>
        <v>-23.788693299602969</v>
      </c>
      <c r="O1527" s="9" t="str">
        <f t="shared" si="115"/>
        <v>2024-10</v>
      </c>
    </row>
    <row r="1528" spans="1:15" x14ac:dyDescent="0.25">
      <c r="A1528" s="9" t="s">
        <v>315</v>
      </c>
      <c r="B1528" s="9" t="s">
        <v>45</v>
      </c>
      <c r="C1528" s="25" t="s">
        <v>262</v>
      </c>
      <c r="D1528" s="19">
        <v>433.81</v>
      </c>
      <c r="E1528" s="19">
        <v>440.1</v>
      </c>
      <c r="F1528" s="19">
        <v>431.28</v>
      </c>
      <c r="G1528" s="19">
        <v>438.78</v>
      </c>
      <c r="H1528" s="19">
        <v>438.78</v>
      </c>
      <c r="I1528" s="15">
        <v>10164905</v>
      </c>
      <c r="J1528" s="19">
        <f t="shared" si="117"/>
        <v>1.1456628477905006</v>
      </c>
      <c r="K1528" s="19">
        <f t="shared" si="118"/>
        <v>454.4255</v>
      </c>
      <c r="L1528" s="19">
        <f t="shared" si="116"/>
        <v>456.09519999999998</v>
      </c>
      <c r="M1528" s="19">
        <f>MAX(G1312:G1528)</f>
        <v>569.22</v>
      </c>
      <c r="N1528" s="19">
        <f t="shared" si="114"/>
        <v>-22.915568672920848</v>
      </c>
      <c r="O1528" s="9" t="str">
        <f t="shared" si="115"/>
        <v>2024-10</v>
      </c>
    </row>
    <row r="1529" spans="1:15" x14ac:dyDescent="0.25">
      <c r="A1529" s="9" t="s">
        <v>315</v>
      </c>
      <c r="B1529" s="9" t="s">
        <v>45</v>
      </c>
      <c r="C1529" s="25" t="s">
        <v>263</v>
      </c>
      <c r="D1529" s="19">
        <v>438.78</v>
      </c>
      <c r="E1529" s="19">
        <v>458.6</v>
      </c>
      <c r="F1529" s="19">
        <v>438.09</v>
      </c>
      <c r="G1529" s="19">
        <v>457.92</v>
      </c>
      <c r="H1529" s="19">
        <v>457.92</v>
      </c>
      <c r="I1529" s="15">
        <v>7941630</v>
      </c>
      <c r="J1529" s="19">
        <f t="shared" si="117"/>
        <v>4.3620948994940614</v>
      </c>
      <c r="K1529" s="19">
        <f t="shared" si="118"/>
        <v>455.04499999999996</v>
      </c>
      <c r="L1529" s="19">
        <f t="shared" si="116"/>
        <v>456.45159999999987</v>
      </c>
      <c r="M1529" s="19">
        <f>MAX(G1312:G1529)</f>
        <v>569.22</v>
      </c>
      <c r="N1529" s="19">
        <f t="shared" si="114"/>
        <v>-19.553072625698327</v>
      </c>
      <c r="O1529" s="9" t="str">
        <f t="shared" si="115"/>
        <v>2024-10</v>
      </c>
    </row>
    <row r="1530" spans="1:15" x14ac:dyDescent="0.25">
      <c r="A1530" s="9" t="s">
        <v>315</v>
      </c>
      <c r="B1530" s="9" t="s">
        <v>45</v>
      </c>
      <c r="C1530" s="25" t="s">
        <v>264</v>
      </c>
      <c r="D1530" s="19">
        <v>457.92</v>
      </c>
      <c r="E1530" s="19">
        <v>460.81</v>
      </c>
      <c r="F1530" s="19">
        <v>448.56</v>
      </c>
      <c r="G1530" s="19">
        <v>450.3</v>
      </c>
      <c r="H1530" s="19">
        <v>450.3</v>
      </c>
      <c r="I1530" s="15">
        <v>4597593</v>
      </c>
      <c r="J1530" s="19">
        <f t="shared" si="117"/>
        <v>-1.6640461215932922</v>
      </c>
      <c r="K1530" s="19">
        <f t="shared" si="118"/>
        <v>455.12199999999996</v>
      </c>
      <c r="L1530" s="19">
        <f t="shared" si="116"/>
        <v>456.59079999999989</v>
      </c>
      <c r="M1530" s="19">
        <f>MAX(G1312:G1530)</f>
        <v>569.22</v>
      </c>
      <c r="N1530" s="19">
        <f t="shared" si="114"/>
        <v>-20.891746600611363</v>
      </c>
      <c r="O1530" s="9" t="str">
        <f t="shared" si="115"/>
        <v>2024-10</v>
      </c>
    </row>
    <row r="1531" spans="1:15" x14ac:dyDescent="0.25">
      <c r="A1531" s="9" t="s">
        <v>315</v>
      </c>
      <c r="B1531" s="9" t="s">
        <v>45</v>
      </c>
      <c r="C1531" s="25" t="s">
        <v>265</v>
      </c>
      <c r="D1531" s="19">
        <v>450.3</v>
      </c>
      <c r="E1531" s="19">
        <v>471.63</v>
      </c>
      <c r="F1531" s="19">
        <v>449.16</v>
      </c>
      <c r="G1531" s="19">
        <v>470.88</v>
      </c>
      <c r="H1531" s="19">
        <v>470.88</v>
      </c>
      <c r="I1531" s="15">
        <v>11305183</v>
      </c>
      <c r="J1531" s="19">
        <f t="shared" si="117"/>
        <v>4.5702864756828738</v>
      </c>
      <c r="K1531" s="19">
        <f t="shared" si="118"/>
        <v>457.06999999999982</v>
      </c>
      <c r="L1531" s="19">
        <f t="shared" si="116"/>
        <v>456.74779999999993</v>
      </c>
      <c r="M1531" s="19">
        <f>MAX(G1312:G1531)</f>
        <v>569.22</v>
      </c>
      <c r="N1531" s="19">
        <f t="shared" si="114"/>
        <v>-17.276272794350167</v>
      </c>
      <c r="O1531" s="9" t="str">
        <f t="shared" si="115"/>
        <v>2024-11</v>
      </c>
    </row>
    <row r="1532" spans="1:15" x14ac:dyDescent="0.25">
      <c r="A1532" s="9" t="s">
        <v>315</v>
      </c>
      <c r="B1532" s="9" t="s">
        <v>45</v>
      </c>
      <c r="C1532" s="25" t="s">
        <v>266</v>
      </c>
      <c r="D1532" s="19">
        <v>470.88</v>
      </c>
      <c r="E1532" s="19">
        <v>499.28</v>
      </c>
      <c r="F1532" s="19">
        <v>469.57</v>
      </c>
      <c r="G1532" s="19">
        <v>497.51</v>
      </c>
      <c r="H1532" s="19">
        <v>497.51</v>
      </c>
      <c r="I1532" s="15">
        <v>22360381</v>
      </c>
      <c r="J1532" s="19">
        <f t="shared" si="117"/>
        <v>5.6553686714237159</v>
      </c>
      <c r="K1532" s="19">
        <f t="shared" si="118"/>
        <v>461.11599999999987</v>
      </c>
      <c r="L1532" s="19">
        <f t="shared" si="116"/>
        <v>457.52859999999987</v>
      </c>
      <c r="M1532" s="19">
        <f>MAX(G1312:G1532)</f>
        <v>569.22</v>
      </c>
      <c r="N1532" s="19">
        <f t="shared" si="114"/>
        <v>-12.597941042127831</v>
      </c>
      <c r="O1532" s="9" t="str">
        <f t="shared" si="115"/>
        <v>2024-11</v>
      </c>
    </row>
    <row r="1533" spans="1:15" x14ac:dyDescent="0.25">
      <c r="A1533" s="9" t="s">
        <v>315</v>
      </c>
      <c r="B1533" s="9" t="s">
        <v>45</v>
      </c>
      <c r="C1533" s="25" t="s">
        <v>267</v>
      </c>
      <c r="D1533" s="19">
        <v>497.51</v>
      </c>
      <c r="E1533" s="19">
        <v>511.74</v>
      </c>
      <c r="F1533" s="19">
        <v>497.43</v>
      </c>
      <c r="G1533" s="19">
        <v>507.66</v>
      </c>
      <c r="H1533" s="19">
        <v>507.66</v>
      </c>
      <c r="I1533" s="15">
        <v>3268109</v>
      </c>
      <c r="J1533" s="19">
        <f t="shared" si="117"/>
        <v>2.0401599967839914</v>
      </c>
      <c r="K1533" s="19">
        <f t="shared" si="118"/>
        <v>465.45149999999995</v>
      </c>
      <c r="L1533" s="19">
        <f t="shared" si="116"/>
        <v>458.12419999999992</v>
      </c>
      <c r="M1533" s="19">
        <f>MAX(G1312:G1533)</f>
        <v>569.22</v>
      </c>
      <c r="N1533" s="19">
        <f t="shared" si="114"/>
        <v>-10.814799198903764</v>
      </c>
      <c r="O1533" s="9" t="str">
        <f t="shared" si="115"/>
        <v>2024-11</v>
      </c>
    </row>
    <row r="1534" spans="1:15" x14ac:dyDescent="0.25">
      <c r="A1534" s="9" t="s">
        <v>315</v>
      </c>
      <c r="B1534" s="9" t="s">
        <v>45</v>
      </c>
      <c r="C1534" s="25" t="s">
        <v>268</v>
      </c>
      <c r="D1534" s="19">
        <v>507.66</v>
      </c>
      <c r="E1534" s="19">
        <v>509.8</v>
      </c>
      <c r="F1534" s="19">
        <v>499.87</v>
      </c>
      <c r="G1534" s="19">
        <v>501.63</v>
      </c>
      <c r="H1534" s="19">
        <v>501.63</v>
      </c>
      <c r="I1534" s="15">
        <v>8372881</v>
      </c>
      <c r="J1534" s="19">
        <f t="shared" si="117"/>
        <v>-1.1878028601820174</v>
      </c>
      <c r="K1534" s="19">
        <f t="shared" si="118"/>
        <v>468.64699999999993</v>
      </c>
      <c r="L1534" s="19">
        <f t="shared" si="116"/>
        <v>458.90179999999992</v>
      </c>
      <c r="M1534" s="19">
        <f>MAX(G1312:G1534)</f>
        <v>569.22</v>
      </c>
      <c r="N1534" s="19">
        <f t="shared" si="114"/>
        <v>-11.87414356487826</v>
      </c>
      <c r="O1534" s="9" t="str">
        <f t="shared" si="115"/>
        <v>2024-11</v>
      </c>
    </row>
    <row r="1535" spans="1:15" x14ac:dyDescent="0.25">
      <c r="A1535" s="9" t="s">
        <v>315</v>
      </c>
      <c r="B1535" s="9" t="s">
        <v>45</v>
      </c>
      <c r="C1535" s="25" t="s">
        <v>269</v>
      </c>
      <c r="D1535" s="19">
        <v>501.63</v>
      </c>
      <c r="E1535" s="19">
        <v>520.24</v>
      </c>
      <c r="F1535" s="19">
        <v>501.23</v>
      </c>
      <c r="G1535" s="19">
        <v>519.47</v>
      </c>
      <c r="H1535" s="19">
        <v>519.47</v>
      </c>
      <c r="I1535" s="15">
        <v>6494242</v>
      </c>
      <c r="J1535" s="19">
        <f t="shared" si="117"/>
        <v>3.5564061160616451</v>
      </c>
      <c r="K1535" s="19">
        <f t="shared" si="118"/>
        <v>471.90449999999993</v>
      </c>
      <c r="L1535" s="19">
        <f t="shared" si="116"/>
        <v>460.10439999999994</v>
      </c>
      <c r="M1535" s="19">
        <f>MAX(G1312:G1535)</f>
        <v>569.22</v>
      </c>
      <c r="N1535" s="19">
        <f t="shared" si="114"/>
        <v>-8.7400302167878845</v>
      </c>
      <c r="O1535" s="9" t="str">
        <f t="shared" si="115"/>
        <v>2024-11</v>
      </c>
    </row>
    <row r="1536" spans="1:15" x14ac:dyDescent="0.25">
      <c r="A1536" s="9" t="s">
        <v>315</v>
      </c>
      <c r="B1536" s="9" t="s">
        <v>45</v>
      </c>
      <c r="C1536" s="25" t="s">
        <v>270</v>
      </c>
      <c r="D1536" s="19">
        <v>519.47</v>
      </c>
      <c r="E1536" s="19">
        <v>530.12</v>
      </c>
      <c r="F1536" s="19">
        <v>519.34</v>
      </c>
      <c r="G1536" s="19">
        <v>526.02</v>
      </c>
      <c r="H1536" s="19">
        <v>526.02</v>
      </c>
      <c r="I1536" s="15">
        <v>4195430</v>
      </c>
      <c r="J1536" s="19">
        <f t="shared" si="117"/>
        <v>1.2609005332357892</v>
      </c>
      <c r="K1536" s="19">
        <f t="shared" si="118"/>
        <v>475.15899999999999</v>
      </c>
      <c r="L1536" s="19">
        <f t="shared" si="116"/>
        <v>461.13660000000004</v>
      </c>
      <c r="M1536" s="19">
        <f>MAX(G1312:G1536)</f>
        <v>569.22</v>
      </c>
      <c r="N1536" s="19">
        <f t="shared" si="114"/>
        <v>-7.5893327711605441</v>
      </c>
      <c r="O1536" s="9" t="str">
        <f t="shared" si="115"/>
        <v>2024-11</v>
      </c>
    </row>
    <row r="1537" spans="1:15" x14ac:dyDescent="0.25">
      <c r="A1537" s="9" t="s">
        <v>315</v>
      </c>
      <c r="B1537" s="9" t="s">
        <v>45</v>
      </c>
      <c r="C1537" s="25" t="s">
        <v>271</v>
      </c>
      <c r="D1537" s="19">
        <v>526.02</v>
      </c>
      <c r="E1537" s="19">
        <v>526.46</v>
      </c>
      <c r="F1537" s="19">
        <v>509.83</v>
      </c>
      <c r="G1537" s="19">
        <v>513.5</v>
      </c>
      <c r="H1537" s="19">
        <v>513.5</v>
      </c>
      <c r="I1537" s="15">
        <v>7908704</v>
      </c>
      <c r="J1537" s="19">
        <f t="shared" si="117"/>
        <v>-2.3801376373521888</v>
      </c>
      <c r="K1537" s="19">
        <f t="shared" si="118"/>
        <v>477.81100000000004</v>
      </c>
      <c r="L1537" s="19">
        <f t="shared" si="116"/>
        <v>461.91700000000003</v>
      </c>
      <c r="M1537" s="19">
        <f>MAX(G1312:G1537)</f>
        <v>569.22</v>
      </c>
      <c r="N1537" s="19">
        <f t="shared" si="114"/>
        <v>-9.7888338428024362</v>
      </c>
      <c r="O1537" s="9" t="str">
        <f t="shared" si="115"/>
        <v>2024-11</v>
      </c>
    </row>
    <row r="1538" spans="1:15" x14ac:dyDescent="0.25">
      <c r="A1538" s="9" t="s">
        <v>315</v>
      </c>
      <c r="B1538" s="9" t="s">
        <v>45</v>
      </c>
      <c r="C1538" s="25" t="s">
        <v>272</v>
      </c>
      <c r="D1538" s="19">
        <v>513.5</v>
      </c>
      <c r="E1538" s="19">
        <v>539.6</v>
      </c>
      <c r="F1538" s="19">
        <v>512.54999999999995</v>
      </c>
      <c r="G1538" s="19">
        <v>539.29</v>
      </c>
      <c r="H1538" s="19">
        <v>539.29</v>
      </c>
      <c r="I1538" s="15">
        <v>41304838</v>
      </c>
      <c r="J1538" s="19">
        <f t="shared" si="117"/>
        <v>5.0223953261927878</v>
      </c>
      <c r="K1538" s="19">
        <f t="shared" si="118"/>
        <v>481.74650000000003</v>
      </c>
      <c r="L1538" s="19">
        <f t="shared" si="116"/>
        <v>463.05460000000005</v>
      </c>
      <c r="M1538" s="19">
        <f>MAX(G1312:G1538)</f>
        <v>569.22</v>
      </c>
      <c r="N1538" s="19">
        <f t="shared" ref="N1538:N1601" si="119">(G1538-M1538)/M1538*100</f>
        <v>-5.2580724500193359</v>
      </c>
      <c r="O1538" s="9" t="str">
        <f t="shared" ref="O1538:O1601" si="120">TEXT(C1538,"yyyy-mm")</f>
        <v>2024-11</v>
      </c>
    </row>
    <row r="1539" spans="1:15" x14ac:dyDescent="0.25">
      <c r="A1539" s="9" t="s">
        <v>315</v>
      </c>
      <c r="B1539" s="9" t="s">
        <v>45</v>
      </c>
      <c r="C1539" s="25" t="s">
        <v>273</v>
      </c>
      <c r="D1539" s="19">
        <v>539.29</v>
      </c>
      <c r="E1539" s="19">
        <v>539.91999999999996</v>
      </c>
      <c r="F1539" s="19">
        <v>518.53</v>
      </c>
      <c r="G1539" s="19">
        <v>523.55999999999995</v>
      </c>
      <c r="H1539" s="19">
        <v>523.55999999999995</v>
      </c>
      <c r="I1539" s="15">
        <v>9768072</v>
      </c>
      <c r="J1539" s="19">
        <f t="shared" si="117"/>
        <v>-2.9167980122012311</v>
      </c>
      <c r="K1539" s="19">
        <f t="shared" si="118"/>
        <v>484.66150000000005</v>
      </c>
      <c r="L1539" s="19">
        <f t="shared" si="116"/>
        <v>463.69220000000007</v>
      </c>
      <c r="M1539" s="19">
        <f>MAX(G1312:G1539)</f>
        <v>569.22</v>
      </c>
      <c r="N1539" s="19">
        <f t="shared" si="119"/>
        <v>-8.0215031095183029</v>
      </c>
      <c r="O1539" s="9" t="str">
        <f t="shared" si="120"/>
        <v>2024-11</v>
      </c>
    </row>
    <row r="1540" spans="1:15" x14ac:dyDescent="0.25">
      <c r="A1540" s="9" t="s">
        <v>315</v>
      </c>
      <c r="B1540" s="9" t="s">
        <v>45</v>
      </c>
      <c r="C1540" s="25" t="s">
        <v>274</v>
      </c>
      <c r="D1540" s="19">
        <v>523.55999999999995</v>
      </c>
      <c r="E1540" s="19">
        <v>524.22</v>
      </c>
      <c r="F1540" s="19">
        <v>517.34</v>
      </c>
      <c r="G1540" s="19">
        <v>519.17999999999995</v>
      </c>
      <c r="H1540" s="19">
        <v>519.17999999999995</v>
      </c>
      <c r="I1540" s="15">
        <v>10467252</v>
      </c>
      <c r="J1540" s="19">
        <f t="shared" si="117"/>
        <v>-0.8365803346321331</v>
      </c>
      <c r="K1540" s="19">
        <f t="shared" si="118"/>
        <v>487.15649999999994</v>
      </c>
      <c r="L1540" s="19">
        <f t="shared" si="116"/>
        <v>464.30780000000004</v>
      </c>
      <c r="M1540" s="19">
        <f>MAX(G1312:G1540)</f>
        <v>569.22</v>
      </c>
      <c r="N1540" s="19">
        <f t="shared" si="119"/>
        <v>-8.7909771265942993</v>
      </c>
      <c r="O1540" s="9" t="str">
        <f t="shared" si="120"/>
        <v>2024-11</v>
      </c>
    </row>
    <row r="1541" spans="1:15" x14ac:dyDescent="0.25">
      <c r="A1541" s="9" t="s">
        <v>315</v>
      </c>
      <c r="B1541" s="9" t="s">
        <v>45</v>
      </c>
      <c r="C1541" s="25" t="s">
        <v>275</v>
      </c>
      <c r="D1541" s="19">
        <v>519.17999999999995</v>
      </c>
      <c r="E1541" s="19">
        <v>520.73</v>
      </c>
      <c r="F1541" s="19">
        <v>517.07000000000005</v>
      </c>
      <c r="G1541" s="19">
        <v>520.04999999999995</v>
      </c>
      <c r="H1541" s="19">
        <v>520.04999999999995</v>
      </c>
      <c r="I1541" s="15">
        <v>8499023</v>
      </c>
      <c r="J1541" s="19">
        <f t="shared" si="117"/>
        <v>0.1675719403675035</v>
      </c>
      <c r="K1541" s="19">
        <f t="shared" si="118"/>
        <v>489.63</v>
      </c>
      <c r="L1541" s="19">
        <f t="shared" si="116"/>
        <v>465.27719999999999</v>
      </c>
      <c r="M1541" s="19">
        <f>MAX(G1312:G1541)</f>
        <v>569.22</v>
      </c>
      <c r="N1541" s="19">
        <f t="shared" si="119"/>
        <v>-8.638136397175094</v>
      </c>
      <c r="O1541" s="9" t="str">
        <f t="shared" si="120"/>
        <v>2024-11</v>
      </c>
    </row>
    <row r="1542" spans="1:15" x14ac:dyDescent="0.25">
      <c r="A1542" s="9" t="s">
        <v>315</v>
      </c>
      <c r="B1542" s="9" t="s">
        <v>45</v>
      </c>
      <c r="C1542" s="25" t="s">
        <v>276</v>
      </c>
      <c r="D1542" s="19">
        <v>520.04999999999995</v>
      </c>
      <c r="E1542" s="19">
        <v>538.03</v>
      </c>
      <c r="F1542" s="19">
        <v>518.83000000000004</v>
      </c>
      <c r="G1542" s="19">
        <v>535.15</v>
      </c>
      <c r="H1542" s="19">
        <v>535.15</v>
      </c>
      <c r="I1542" s="15">
        <v>11901700</v>
      </c>
      <c r="J1542" s="19">
        <f t="shared" si="117"/>
        <v>2.903566964714936</v>
      </c>
      <c r="K1542" s="19">
        <f t="shared" si="118"/>
        <v>491.90100000000001</v>
      </c>
      <c r="L1542" s="19">
        <f t="shared" si="116"/>
        <v>467.73380000000003</v>
      </c>
      <c r="M1542" s="19">
        <f>MAX(G1312:G1542)</f>
        <v>569.22</v>
      </c>
      <c r="N1542" s="19">
        <f t="shared" si="119"/>
        <v>-5.985383507255551</v>
      </c>
      <c r="O1542" s="9" t="str">
        <f t="shared" si="120"/>
        <v>2024-11</v>
      </c>
    </row>
    <row r="1543" spans="1:15" x14ac:dyDescent="0.25">
      <c r="A1543" s="9" t="s">
        <v>315</v>
      </c>
      <c r="B1543" s="9" t="s">
        <v>45</v>
      </c>
      <c r="C1543" s="25" t="s">
        <v>277</v>
      </c>
      <c r="D1543" s="19">
        <v>535.15</v>
      </c>
      <c r="E1543" s="19">
        <v>579.32000000000005</v>
      </c>
      <c r="F1543" s="19">
        <v>533.04999999999995</v>
      </c>
      <c r="G1543" s="19">
        <v>578.11</v>
      </c>
      <c r="H1543" s="19">
        <v>578.11</v>
      </c>
      <c r="I1543" s="15">
        <v>16172552</v>
      </c>
      <c r="J1543" s="19">
        <f t="shared" si="117"/>
        <v>8.0276557974399765</v>
      </c>
      <c r="K1543" s="19">
        <f t="shared" si="118"/>
        <v>496.49700000000001</v>
      </c>
      <c r="L1543" s="19">
        <f t="shared" si="116"/>
        <v>470.77400000000017</v>
      </c>
      <c r="M1543" s="19">
        <f>MAX(G1312:G1543)</f>
        <v>578.11</v>
      </c>
      <c r="N1543" s="19">
        <f t="shared" si="119"/>
        <v>0</v>
      </c>
      <c r="O1543" s="9" t="str">
        <f t="shared" si="120"/>
        <v>2024-11</v>
      </c>
    </row>
    <row r="1544" spans="1:15" x14ac:dyDescent="0.25">
      <c r="A1544" s="9" t="s">
        <v>315</v>
      </c>
      <c r="B1544" s="9" t="s">
        <v>45</v>
      </c>
      <c r="C1544" s="25" t="s">
        <v>278</v>
      </c>
      <c r="D1544" s="19">
        <v>578.11</v>
      </c>
      <c r="E1544" s="19">
        <v>578.74</v>
      </c>
      <c r="F1544" s="19">
        <v>568.79</v>
      </c>
      <c r="G1544" s="19">
        <v>569.57000000000005</v>
      </c>
      <c r="H1544" s="19">
        <v>569.57000000000005</v>
      </c>
      <c r="I1544" s="15">
        <v>7220778</v>
      </c>
      <c r="J1544" s="19">
        <f t="shared" si="117"/>
        <v>-1.4772275172544953</v>
      </c>
      <c r="K1544" s="19">
        <f t="shared" si="118"/>
        <v>501.37849999999997</v>
      </c>
      <c r="L1544" s="19">
        <f t="shared" si="116"/>
        <v>473.17820000000006</v>
      </c>
      <c r="M1544" s="19">
        <f>MAX(G1312:G1544)</f>
        <v>578.11</v>
      </c>
      <c r="N1544" s="19">
        <f t="shared" si="119"/>
        <v>-1.4772275172544953</v>
      </c>
      <c r="O1544" s="9" t="str">
        <f t="shared" si="120"/>
        <v>2024-11</v>
      </c>
    </row>
    <row r="1545" spans="1:15" x14ac:dyDescent="0.25">
      <c r="A1545" s="9" t="s">
        <v>315</v>
      </c>
      <c r="B1545" s="9" t="s">
        <v>45</v>
      </c>
      <c r="C1545" s="25" t="s">
        <v>279</v>
      </c>
      <c r="D1545" s="19">
        <v>569.57000000000005</v>
      </c>
      <c r="E1545" s="19">
        <v>590.72</v>
      </c>
      <c r="F1545" s="19">
        <v>567.79</v>
      </c>
      <c r="G1545" s="19">
        <v>588.37</v>
      </c>
      <c r="H1545" s="19">
        <v>588.37</v>
      </c>
      <c r="I1545" s="15">
        <v>5365786</v>
      </c>
      <c r="J1545" s="19">
        <f t="shared" si="117"/>
        <v>3.3007356426778012</v>
      </c>
      <c r="K1545" s="19">
        <f t="shared" si="118"/>
        <v>507.40600000000012</v>
      </c>
      <c r="L1545" s="19">
        <f t="shared" si="116"/>
        <v>475.8918000000001</v>
      </c>
      <c r="M1545" s="19">
        <f>MAX(G1312:G1545)</f>
        <v>588.37</v>
      </c>
      <c r="N1545" s="19">
        <f t="shared" si="119"/>
        <v>0</v>
      </c>
      <c r="O1545" s="9" t="str">
        <f t="shared" si="120"/>
        <v>2024-11</v>
      </c>
    </row>
    <row r="1546" spans="1:15" x14ac:dyDescent="0.25">
      <c r="A1546" s="9" t="s">
        <v>315</v>
      </c>
      <c r="B1546" s="9" t="s">
        <v>45</v>
      </c>
      <c r="C1546" s="25" t="s">
        <v>280</v>
      </c>
      <c r="D1546" s="19">
        <v>588.37</v>
      </c>
      <c r="E1546" s="19">
        <v>589.02</v>
      </c>
      <c r="F1546" s="19">
        <v>584.21</v>
      </c>
      <c r="G1546" s="19">
        <v>585.87</v>
      </c>
      <c r="H1546" s="19">
        <v>585.87</v>
      </c>
      <c r="I1546" s="15">
        <v>8329333</v>
      </c>
      <c r="J1546" s="19">
        <f t="shared" si="117"/>
        <v>-0.42490269728232233</v>
      </c>
      <c r="K1546" s="19">
        <f t="shared" si="118"/>
        <v>513.83150000000001</v>
      </c>
      <c r="L1546" s="19">
        <f t="shared" si="116"/>
        <v>478.5458000000001</v>
      </c>
      <c r="M1546" s="19">
        <f>MAX(G1312:G1546)</f>
        <v>588.37</v>
      </c>
      <c r="N1546" s="19">
        <f t="shared" si="119"/>
        <v>-0.42490269728232233</v>
      </c>
      <c r="O1546" s="9" t="str">
        <f t="shared" si="120"/>
        <v>2024-11</v>
      </c>
    </row>
    <row r="1547" spans="1:15" x14ac:dyDescent="0.25">
      <c r="A1547" s="9" t="s">
        <v>315</v>
      </c>
      <c r="B1547" s="9" t="s">
        <v>45</v>
      </c>
      <c r="C1547" s="25" t="s">
        <v>281</v>
      </c>
      <c r="D1547" s="19">
        <v>585.87</v>
      </c>
      <c r="E1547" s="19">
        <v>585.95000000000005</v>
      </c>
      <c r="F1547" s="19">
        <v>554.17999999999995</v>
      </c>
      <c r="G1547" s="19">
        <v>555.61</v>
      </c>
      <c r="H1547" s="19">
        <v>555.61</v>
      </c>
      <c r="I1547" s="15">
        <v>25545769</v>
      </c>
      <c r="J1547" s="19">
        <f t="shared" si="117"/>
        <v>-5.1649683376858331</v>
      </c>
      <c r="K1547" s="19">
        <f t="shared" si="118"/>
        <v>519.92150000000015</v>
      </c>
      <c r="L1547" s="19">
        <f t="shared" si="116"/>
        <v>480.14920000000012</v>
      </c>
      <c r="M1547" s="19">
        <f>MAX(G1312:G1547)</f>
        <v>588.37</v>
      </c>
      <c r="N1547" s="19">
        <f t="shared" si="119"/>
        <v>-5.5679249451875501</v>
      </c>
      <c r="O1547" s="9" t="str">
        <f t="shared" si="120"/>
        <v>2024-11</v>
      </c>
    </row>
    <row r="1548" spans="1:15" x14ac:dyDescent="0.25">
      <c r="A1548" s="9" t="s">
        <v>315</v>
      </c>
      <c r="B1548" s="9" t="s">
        <v>45</v>
      </c>
      <c r="C1548" s="25" t="s">
        <v>282</v>
      </c>
      <c r="D1548" s="19">
        <v>555.61</v>
      </c>
      <c r="E1548" s="19">
        <v>569.84</v>
      </c>
      <c r="F1548" s="19">
        <v>555.39</v>
      </c>
      <c r="G1548" s="19">
        <v>569.69000000000005</v>
      </c>
      <c r="H1548" s="19">
        <v>569.69000000000005</v>
      </c>
      <c r="I1548" s="15">
        <v>8256112</v>
      </c>
      <c r="J1548" s="19">
        <f t="shared" si="117"/>
        <v>2.5341516531379997</v>
      </c>
      <c r="K1548" s="19">
        <f t="shared" si="118"/>
        <v>526.4670000000001</v>
      </c>
      <c r="L1548" s="19">
        <f t="shared" si="116"/>
        <v>482.02440000000001</v>
      </c>
      <c r="M1548" s="19">
        <f>MAX(G1312:G1548)</f>
        <v>588.37</v>
      </c>
      <c r="N1548" s="19">
        <f t="shared" si="119"/>
        <v>-3.1748729540935043</v>
      </c>
      <c r="O1548" s="9" t="str">
        <f t="shared" si="120"/>
        <v>2024-11</v>
      </c>
    </row>
    <row r="1549" spans="1:15" x14ac:dyDescent="0.25">
      <c r="A1549" s="9" t="s">
        <v>315</v>
      </c>
      <c r="B1549" s="9" t="s">
        <v>45</v>
      </c>
      <c r="C1549" s="25" t="s">
        <v>283</v>
      </c>
      <c r="D1549" s="19">
        <v>569.69000000000005</v>
      </c>
      <c r="E1549" s="19">
        <v>569.89</v>
      </c>
      <c r="F1549" s="19">
        <v>538.35</v>
      </c>
      <c r="G1549" s="19">
        <v>542.83000000000004</v>
      </c>
      <c r="H1549" s="19">
        <v>542.83000000000004</v>
      </c>
      <c r="I1549" s="15">
        <v>10419447</v>
      </c>
      <c r="J1549" s="19">
        <f t="shared" si="117"/>
        <v>-4.7148449156558847</v>
      </c>
      <c r="K1549" s="19">
        <f t="shared" si="118"/>
        <v>530.71250000000009</v>
      </c>
      <c r="L1549" s="19">
        <f t="shared" si="116"/>
        <v>483.71960000000007</v>
      </c>
      <c r="M1549" s="19">
        <f>MAX(G1312:G1549)</f>
        <v>588.37</v>
      </c>
      <c r="N1549" s="19">
        <f t="shared" si="119"/>
        <v>-7.7400275336947777</v>
      </c>
      <c r="O1549" s="9" t="str">
        <f t="shared" si="120"/>
        <v>2024-11</v>
      </c>
    </row>
    <row r="1550" spans="1:15" x14ac:dyDescent="0.25">
      <c r="A1550" s="9" t="s">
        <v>315</v>
      </c>
      <c r="B1550" s="9" t="s">
        <v>45</v>
      </c>
      <c r="C1550" s="25" t="s">
        <v>284</v>
      </c>
      <c r="D1550" s="19">
        <v>542.83000000000004</v>
      </c>
      <c r="E1550" s="19">
        <v>552.14</v>
      </c>
      <c r="F1550" s="19">
        <v>541.78</v>
      </c>
      <c r="G1550" s="19">
        <v>550.21</v>
      </c>
      <c r="H1550" s="19">
        <v>550.21</v>
      </c>
      <c r="I1550" s="15">
        <v>6603689</v>
      </c>
      <c r="J1550" s="19">
        <f t="shared" si="117"/>
        <v>1.35954166129359</v>
      </c>
      <c r="K1550" s="19">
        <f t="shared" si="118"/>
        <v>535.70799999999997</v>
      </c>
      <c r="L1550" s="19">
        <f t="shared" si="116"/>
        <v>485.62019999999995</v>
      </c>
      <c r="M1550" s="19">
        <f>MAX(G1312:G1550)</f>
        <v>588.37</v>
      </c>
      <c r="N1550" s="19">
        <f t="shared" si="119"/>
        <v>-6.4857147713173635</v>
      </c>
      <c r="O1550" s="9" t="str">
        <f t="shared" si="120"/>
        <v>2024-11</v>
      </c>
    </row>
    <row r="1551" spans="1:15" x14ac:dyDescent="0.25">
      <c r="A1551" s="9" t="s">
        <v>315</v>
      </c>
      <c r="B1551" s="9" t="s">
        <v>45</v>
      </c>
      <c r="C1551" s="25" t="s">
        <v>285</v>
      </c>
      <c r="D1551" s="19">
        <v>550.21</v>
      </c>
      <c r="E1551" s="19">
        <v>552.52</v>
      </c>
      <c r="F1551" s="19">
        <v>546.38</v>
      </c>
      <c r="G1551" s="19">
        <v>547.9</v>
      </c>
      <c r="H1551" s="19">
        <v>547.9</v>
      </c>
      <c r="I1551" s="15">
        <v>4722755</v>
      </c>
      <c r="J1551" s="19">
        <f t="shared" si="117"/>
        <v>-0.41983969757002942</v>
      </c>
      <c r="K1551" s="19">
        <f t="shared" si="118"/>
        <v>539.55899999999997</v>
      </c>
      <c r="L1551" s="19">
        <f t="shared" si="116"/>
        <v>487.43900000000002</v>
      </c>
      <c r="M1551" s="19">
        <f>MAX(G1312:G1551)</f>
        <v>588.37</v>
      </c>
      <c r="N1551" s="19">
        <f t="shared" si="119"/>
        <v>-6.8783248636062391</v>
      </c>
      <c r="O1551" s="9" t="str">
        <f t="shared" si="120"/>
        <v>2024-11</v>
      </c>
    </row>
    <row r="1552" spans="1:15" x14ac:dyDescent="0.25">
      <c r="A1552" s="9" t="s">
        <v>315</v>
      </c>
      <c r="B1552" s="9" t="s">
        <v>45</v>
      </c>
      <c r="C1552" s="25" t="s">
        <v>286</v>
      </c>
      <c r="D1552" s="19">
        <v>547.9</v>
      </c>
      <c r="E1552" s="19">
        <v>557.23</v>
      </c>
      <c r="F1552" s="19">
        <v>546.38</v>
      </c>
      <c r="G1552" s="19">
        <v>554.88</v>
      </c>
      <c r="H1552" s="19">
        <v>554.88</v>
      </c>
      <c r="I1552" s="15">
        <v>5794371</v>
      </c>
      <c r="J1552" s="19">
        <f t="shared" si="117"/>
        <v>1.2739551012958603</v>
      </c>
      <c r="K1552" s="19">
        <f t="shared" si="118"/>
        <v>542.42749999999978</v>
      </c>
      <c r="L1552" s="19">
        <f t="shared" si="116"/>
        <v>489.28399999999999</v>
      </c>
      <c r="M1552" s="19">
        <f>MAX(G1312:G1552)</f>
        <v>588.37</v>
      </c>
      <c r="N1552" s="19">
        <f t="shared" si="119"/>
        <v>-5.6919965327939916</v>
      </c>
      <c r="O1552" s="9" t="str">
        <f t="shared" si="120"/>
        <v>2024-12</v>
      </c>
    </row>
    <row r="1553" spans="1:15" x14ac:dyDescent="0.25">
      <c r="A1553" s="9" t="s">
        <v>315</v>
      </c>
      <c r="B1553" s="9" t="s">
        <v>45</v>
      </c>
      <c r="C1553" s="25" t="s">
        <v>287</v>
      </c>
      <c r="D1553" s="19">
        <v>554.88</v>
      </c>
      <c r="E1553" s="19">
        <v>588.95000000000005</v>
      </c>
      <c r="F1553" s="19">
        <v>553.55999999999995</v>
      </c>
      <c r="G1553" s="19">
        <v>587.65</v>
      </c>
      <c r="H1553" s="19">
        <v>587.65</v>
      </c>
      <c r="I1553" s="15">
        <v>19482361</v>
      </c>
      <c r="J1553" s="19">
        <f t="shared" si="117"/>
        <v>5.9057814302191431</v>
      </c>
      <c r="K1553" s="19">
        <f t="shared" si="118"/>
        <v>546.42699999999979</v>
      </c>
      <c r="L1553" s="19">
        <f t="shared" ref="L1553:L1616" si="121">AVERAGE(G1504:G1553)</f>
        <v>491.69400000000007</v>
      </c>
      <c r="M1553" s="19">
        <f>MAX(G1312:G1553)</f>
        <v>588.37</v>
      </c>
      <c r="N1553" s="19">
        <f t="shared" si="119"/>
        <v>-0.12237197681731347</v>
      </c>
      <c r="O1553" s="9" t="str">
        <f t="shared" si="120"/>
        <v>2024-12</v>
      </c>
    </row>
    <row r="1554" spans="1:15" x14ac:dyDescent="0.25">
      <c r="A1554" s="9" t="s">
        <v>315</v>
      </c>
      <c r="B1554" s="9" t="s">
        <v>45</v>
      </c>
      <c r="C1554" s="25" t="s">
        <v>288</v>
      </c>
      <c r="D1554" s="19">
        <v>587.65</v>
      </c>
      <c r="E1554" s="19">
        <v>609.16</v>
      </c>
      <c r="F1554" s="19">
        <v>586.25</v>
      </c>
      <c r="G1554" s="19">
        <v>606.94000000000005</v>
      </c>
      <c r="H1554" s="19">
        <v>606.94000000000005</v>
      </c>
      <c r="I1554" s="15">
        <v>6540963</v>
      </c>
      <c r="J1554" s="19">
        <f t="shared" si="117"/>
        <v>3.282566153322569</v>
      </c>
      <c r="K1554" s="19">
        <f t="shared" si="118"/>
        <v>551.69249999999988</v>
      </c>
      <c r="L1554" s="19">
        <f t="shared" si="121"/>
        <v>494.88459999999998</v>
      </c>
      <c r="M1554" s="19">
        <f>MAX(G1312:G1554)</f>
        <v>606.94000000000005</v>
      </c>
      <c r="N1554" s="19">
        <f t="shared" si="119"/>
        <v>0</v>
      </c>
      <c r="O1554" s="9" t="str">
        <f t="shared" si="120"/>
        <v>2024-12</v>
      </c>
    </row>
    <row r="1555" spans="1:15" x14ac:dyDescent="0.25">
      <c r="A1555" s="9" t="s">
        <v>315</v>
      </c>
      <c r="B1555" s="9" t="s">
        <v>45</v>
      </c>
      <c r="C1555" s="25" t="s">
        <v>289</v>
      </c>
      <c r="D1555" s="19">
        <v>606.94000000000005</v>
      </c>
      <c r="E1555" s="19">
        <v>611.03</v>
      </c>
      <c r="F1555" s="19">
        <v>600.98</v>
      </c>
      <c r="G1555" s="19">
        <v>604.47</v>
      </c>
      <c r="H1555" s="19">
        <v>604.47</v>
      </c>
      <c r="I1555" s="15">
        <v>12081303</v>
      </c>
      <c r="J1555" s="19">
        <f t="shared" si="117"/>
        <v>-0.40695950176294643</v>
      </c>
      <c r="K1555" s="19">
        <f t="shared" si="118"/>
        <v>555.94249999999988</v>
      </c>
      <c r="L1555" s="19">
        <f t="shared" si="121"/>
        <v>498.48839999999996</v>
      </c>
      <c r="M1555" s="19">
        <f>MAX(G1312:G1555)</f>
        <v>606.94000000000005</v>
      </c>
      <c r="N1555" s="19">
        <f t="shared" si="119"/>
        <v>-0.40695950176294643</v>
      </c>
      <c r="O1555" s="9" t="str">
        <f t="shared" si="120"/>
        <v>2024-12</v>
      </c>
    </row>
    <row r="1556" spans="1:15" x14ac:dyDescent="0.25">
      <c r="A1556" s="9" t="s">
        <v>315</v>
      </c>
      <c r="B1556" s="9" t="s">
        <v>45</v>
      </c>
      <c r="C1556" s="25" t="s">
        <v>290</v>
      </c>
      <c r="D1556" s="19">
        <v>604.47</v>
      </c>
      <c r="E1556" s="19">
        <v>629.35</v>
      </c>
      <c r="F1556" s="19">
        <v>602.41999999999996</v>
      </c>
      <c r="G1556" s="19">
        <v>625.86</v>
      </c>
      <c r="H1556" s="19">
        <v>625.86</v>
      </c>
      <c r="I1556" s="15">
        <v>8122503</v>
      </c>
      <c r="J1556" s="19">
        <f t="shared" si="117"/>
        <v>3.5386371532085938</v>
      </c>
      <c r="K1556" s="19">
        <f t="shared" si="118"/>
        <v>560.93449999999996</v>
      </c>
      <c r="L1556" s="19">
        <f t="shared" si="121"/>
        <v>502.38660000000004</v>
      </c>
      <c r="M1556" s="19">
        <f>MAX(G1312:G1556)</f>
        <v>625.86</v>
      </c>
      <c r="N1556" s="19">
        <f t="shared" si="119"/>
        <v>0</v>
      </c>
      <c r="O1556" s="9" t="str">
        <f t="shared" si="120"/>
        <v>2024-12</v>
      </c>
    </row>
    <row r="1557" spans="1:15" x14ac:dyDescent="0.25">
      <c r="A1557" s="9" t="s">
        <v>315</v>
      </c>
      <c r="B1557" s="9" t="s">
        <v>45</v>
      </c>
      <c r="C1557" s="25" t="s">
        <v>291</v>
      </c>
      <c r="D1557" s="19">
        <v>625.86</v>
      </c>
      <c r="E1557" s="19">
        <v>636.84</v>
      </c>
      <c r="F1557" s="19">
        <v>621.5</v>
      </c>
      <c r="G1557" s="19">
        <v>634.03</v>
      </c>
      <c r="H1557" s="19">
        <v>634.03</v>
      </c>
      <c r="I1557" s="15">
        <v>8131197</v>
      </c>
      <c r="J1557" s="19">
        <f t="shared" si="117"/>
        <v>1.3054037644201513</v>
      </c>
      <c r="K1557" s="19">
        <f t="shared" si="118"/>
        <v>566.96100000000001</v>
      </c>
      <c r="L1557" s="19">
        <f t="shared" si="121"/>
        <v>506.38599999999991</v>
      </c>
      <c r="M1557" s="19">
        <f>MAX(G1312:G1557)</f>
        <v>634.03</v>
      </c>
      <c r="N1557" s="19">
        <f t="shared" si="119"/>
        <v>0</v>
      </c>
      <c r="O1557" s="9" t="str">
        <f t="shared" si="120"/>
        <v>2024-12</v>
      </c>
    </row>
    <row r="1558" spans="1:15" x14ac:dyDescent="0.25">
      <c r="A1558" s="9" t="s">
        <v>315</v>
      </c>
      <c r="B1558" s="9" t="s">
        <v>45</v>
      </c>
      <c r="C1558" s="25" t="s">
        <v>292</v>
      </c>
      <c r="D1558" s="19">
        <v>634.03</v>
      </c>
      <c r="E1558" s="19">
        <v>635.04</v>
      </c>
      <c r="F1558" s="19">
        <v>627.59</v>
      </c>
      <c r="G1558" s="19">
        <v>628.87</v>
      </c>
      <c r="H1558" s="19">
        <v>628.87</v>
      </c>
      <c r="I1558" s="15">
        <v>4821237</v>
      </c>
      <c r="J1558" s="19">
        <f t="shared" si="117"/>
        <v>-0.81384161632729812</v>
      </c>
      <c r="K1558" s="19">
        <f t="shared" si="118"/>
        <v>571.44000000000005</v>
      </c>
      <c r="L1558" s="19">
        <f t="shared" si="121"/>
        <v>510.02979999999997</v>
      </c>
      <c r="M1558" s="19">
        <f>MAX(G1312:G1558)</f>
        <v>634.03</v>
      </c>
      <c r="N1558" s="19">
        <f t="shared" si="119"/>
        <v>-0.81384161632729812</v>
      </c>
      <c r="O1558" s="9" t="str">
        <f t="shared" si="120"/>
        <v>2024-12</v>
      </c>
    </row>
    <row r="1559" spans="1:15" x14ac:dyDescent="0.25">
      <c r="A1559" s="9" t="s">
        <v>315</v>
      </c>
      <c r="B1559" s="9" t="s">
        <v>45</v>
      </c>
      <c r="C1559" s="25" t="s">
        <v>293</v>
      </c>
      <c r="D1559" s="19">
        <v>628.87</v>
      </c>
      <c r="E1559" s="19">
        <v>668.46</v>
      </c>
      <c r="F1559" s="19">
        <v>628.58000000000004</v>
      </c>
      <c r="G1559" s="19">
        <v>666.87</v>
      </c>
      <c r="H1559" s="19">
        <v>666.87</v>
      </c>
      <c r="I1559" s="15">
        <v>33801366</v>
      </c>
      <c r="J1559" s="19">
        <f t="shared" si="117"/>
        <v>6.0425843179035414</v>
      </c>
      <c r="K1559" s="19">
        <f t="shared" si="118"/>
        <v>578.60550000000012</v>
      </c>
      <c r="L1559" s="19">
        <f t="shared" si="121"/>
        <v>514.45659999999987</v>
      </c>
      <c r="M1559" s="19">
        <f>MAX(G1312:G1559)</f>
        <v>666.87</v>
      </c>
      <c r="N1559" s="19">
        <f t="shared" si="119"/>
        <v>0</v>
      </c>
      <c r="O1559" s="9" t="str">
        <f t="shared" si="120"/>
        <v>2024-12</v>
      </c>
    </row>
    <row r="1560" spans="1:15" x14ac:dyDescent="0.25">
      <c r="A1560" s="9" t="s">
        <v>315</v>
      </c>
      <c r="B1560" s="9" t="s">
        <v>45</v>
      </c>
      <c r="C1560" s="25" t="s">
        <v>294</v>
      </c>
      <c r="D1560" s="19">
        <v>666.87</v>
      </c>
      <c r="E1560" s="19">
        <v>701.24</v>
      </c>
      <c r="F1560" s="19">
        <v>664.09</v>
      </c>
      <c r="G1560" s="19">
        <v>700.21</v>
      </c>
      <c r="H1560" s="19">
        <v>700.21</v>
      </c>
      <c r="I1560" s="15">
        <v>14906330</v>
      </c>
      <c r="J1560" s="19">
        <f t="shared" si="117"/>
        <v>4.9994751600761811</v>
      </c>
      <c r="K1560" s="19">
        <f t="shared" si="118"/>
        <v>587.65700000000015</v>
      </c>
      <c r="L1560" s="19">
        <f t="shared" si="121"/>
        <v>519.48559999999986</v>
      </c>
      <c r="M1560" s="19">
        <f>MAX(G1312:G1560)</f>
        <v>700.21</v>
      </c>
      <c r="N1560" s="19">
        <f t="shared" si="119"/>
        <v>0</v>
      </c>
      <c r="O1560" s="9" t="str">
        <f t="shared" si="120"/>
        <v>2024-12</v>
      </c>
    </row>
    <row r="1561" spans="1:15" x14ac:dyDescent="0.25">
      <c r="A1561" s="9" t="s">
        <v>315</v>
      </c>
      <c r="B1561" s="9" t="s">
        <v>45</v>
      </c>
      <c r="C1561" s="25" t="s">
        <v>295</v>
      </c>
      <c r="D1561" s="19">
        <v>700.21</v>
      </c>
      <c r="E1561" s="19">
        <v>701.99</v>
      </c>
      <c r="F1561" s="19">
        <v>694.58</v>
      </c>
      <c r="G1561" s="19">
        <v>694.75</v>
      </c>
      <c r="H1561" s="19">
        <v>694.75</v>
      </c>
      <c r="I1561" s="15">
        <v>7816685</v>
      </c>
      <c r="J1561" s="19">
        <f t="shared" si="117"/>
        <v>-0.7797660701789515</v>
      </c>
      <c r="K1561" s="19">
        <f t="shared" si="118"/>
        <v>596.39200000000005</v>
      </c>
      <c r="L1561" s="19">
        <f t="shared" si="121"/>
        <v>524.74219999999991</v>
      </c>
      <c r="M1561" s="19">
        <f>MAX(G1312:G1561)</f>
        <v>700.21</v>
      </c>
      <c r="N1561" s="19">
        <f t="shared" si="119"/>
        <v>-0.7797660701789515</v>
      </c>
      <c r="O1561" s="9" t="str">
        <f t="shared" si="120"/>
        <v>2024-12</v>
      </c>
    </row>
    <row r="1562" spans="1:15" x14ac:dyDescent="0.25">
      <c r="A1562" s="9" t="s">
        <v>315</v>
      </c>
      <c r="B1562" s="9" t="s">
        <v>45</v>
      </c>
      <c r="C1562" s="25" t="s">
        <v>296</v>
      </c>
      <c r="D1562" s="19">
        <v>694.75</v>
      </c>
      <c r="E1562" s="19">
        <v>707.05</v>
      </c>
      <c r="F1562" s="19">
        <v>693.01</v>
      </c>
      <c r="G1562" s="19">
        <v>705.66</v>
      </c>
      <c r="H1562" s="19">
        <v>705.66</v>
      </c>
      <c r="I1562" s="15">
        <v>10580075</v>
      </c>
      <c r="J1562" s="19">
        <f t="shared" si="117"/>
        <v>1.5703490464195706</v>
      </c>
      <c r="K1562" s="19">
        <f t="shared" si="118"/>
        <v>604.91750000000013</v>
      </c>
      <c r="L1562" s="19">
        <f t="shared" si="121"/>
        <v>530.52359999999999</v>
      </c>
      <c r="M1562" s="19">
        <f>MAX(G1312:G1562)</f>
        <v>705.66</v>
      </c>
      <c r="N1562" s="19">
        <f t="shared" si="119"/>
        <v>0</v>
      </c>
      <c r="O1562" s="9" t="str">
        <f t="shared" si="120"/>
        <v>2024-12</v>
      </c>
    </row>
    <row r="1563" spans="1:15" x14ac:dyDescent="0.25">
      <c r="A1563" s="9" t="s">
        <v>315</v>
      </c>
      <c r="B1563" s="9" t="s">
        <v>45</v>
      </c>
      <c r="C1563" s="25" t="s">
        <v>297</v>
      </c>
      <c r="D1563" s="19">
        <v>705.66</v>
      </c>
      <c r="E1563" s="19">
        <v>737.38</v>
      </c>
      <c r="F1563" s="19">
        <v>701.82</v>
      </c>
      <c r="G1563" s="19">
        <v>733.78</v>
      </c>
      <c r="H1563" s="19">
        <v>733.78</v>
      </c>
      <c r="I1563" s="15">
        <v>6063317</v>
      </c>
      <c r="J1563" s="19">
        <f t="shared" si="117"/>
        <v>3.9849219170705448</v>
      </c>
      <c r="K1563" s="19">
        <f t="shared" si="118"/>
        <v>612.70100000000014</v>
      </c>
      <c r="L1563" s="19">
        <f t="shared" si="121"/>
        <v>536.78019999999992</v>
      </c>
      <c r="M1563" s="19">
        <f>MAX(G1312:G1563)</f>
        <v>733.78</v>
      </c>
      <c r="N1563" s="19">
        <f t="shared" si="119"/>
        <v>0</v>
      </c>
      <c r="O1563" s="9" t="str">
        <f t="shared" si="120"/>
        <v>2024-12</v>
      </c>
    </row>
    <row r="1564" spans="1:15" x14ac:dyDescent="0.25">
      <c r="A1564" s="9" t="s">
        <v>315</v>
      </c>
      <c r="B1564" s="9" t="s">
        <v>45</v>
      </c>
      <c r="C1564" s="25" t="s">
        <v>298</v>
      </c>
      <c r="D1564" s="19">
        <v>733.78</v>
      </c>
      <c r="E1564" s="19">
        <v>749.36</v>
      </c>
      <c r="F1564" s="19">
        <v>731.24</v>
      </c>
      <c r="G1564" s="19">
        <v>743.88</v>
      </c>
      <c r="H1564" s="19">
        <v>743.88</v>
      </c>
      <c r="I1564" s="15">
        <v>5374727</v>
      </c>
      <c r="J1564" s="19">
        <f t="shared" si="117"/>
        <v>1.3764343536209795</v>
      </c>
      <c r="K1564" s="19">
        <f t="shared" si="118"/>
        <v>621.41649999999993</v>
      </c>
      <c r="L1564" s="19">
        <f t="shared" si="121"/>
        <v>542.90339999999992</v>
      </c>
      <c r="M1564" s="19">
        <f>MAX(G1312:G1564)</f>
        <v>743.88</v>
      </c>
      <c r="N1564" s="19">
        <f t="shared" si="119"/>
        <v>0</v>
      </c>
      <c r="O1564" s="9" t="str">
        <f t="shared" si="120"/>
        <v>2024-12</v>
      </c>
    </row>
    <row r="1565" spans="1:15" x14ac:dyDescent="0.25">
      <c r="A1565" s="9" t="s">
        <v>315</v>
      </c>
      <c r="B1565" s="9" t="s">
        <v>45</v>
      </c>
      <c r="C1565" s="25" t="s">
        <v>299</v>
      </c>
      <c r="D1565" s="19">
        <v>743.88</v>
      </c>
      <c r="E1565" s="19">
        <v>754.38</v>
      </c>
      <c r="F1565" s="19">
        <v>740.39</v>
      </c>
      <c r="G1565" s="19">
        <v>753.25</v>
      </c>
      <c r="H1565" s="19">
        <v>753.25</v>
      </c>
      <c r="I1565" s="15">
        <v>8991664</v>
      </c>
      <c r="J1565" s="19">
        <f t="shared" si="117"/>
        <v>1.2596117653384962</v>
      </c>
      <c r="K1565" s="19">
        <f t="shared" si="118"/>
        <v>629.66049999999996</v>
      </c>
      <c r="L1565" s="19">
        <f t="shared" si="121"/>
        <v>548.88199999999995</v>
      </c>
      <c r="M1565" s="19">
        <f>MAX(G1312:G1565)</f>
        <v>753.25</v>
      </c>
      <c r="N1565" s="19">
        <f t="shared" si="119"/>
        <v>0</v>
      </c>
      <c r="O1565" s="9" t="str">
        <f t="shared" si="120"/>
        <v>2024-12</v>
      </c>
    </row>
    <row r="1566" spans="1:15" x14ac:dyDescent="0.25">
      <c r="A1566" s="9" t="s">
        <v>315</v>
      </c>
      <c r="B1566" s="9" t="s">
        <v>45</v>
      </c>
      <c r="C1566" s="25" t="s">
        <v>300</v>
      </c>
      <c r="D1566" s="19">
        <v>753.25</v>
      </c>
      <c r="E1566" s="19">
        <v>754.93</v>
      </c>
      <c r="F1566" s="19">
        <v>725.87</v>
      </c>
      <c r="G1566" s="19">
        <v>727.95</v>
      </c>
      <c r="H1566" s="19">
        <v>727.95</v>
      </c>
      <c r="I1566" s="15">
        <v>11494018</v>
      </c>
      <c r="J1566" s="19">
        <f t="shared" si="117"/>
        <v>-3.3587786259541925</v>
      </c>
      <c r="K1566" s="19">
        <f t="shared" si="118"/>
        <v>636.7645</v>
      </c>
      <c r="L1566" s="19">
        <f t="shared" si="121"/>
        <v>554.22240000000011</v>
      </c>
      <c r="M1566" s="19">
        <f>MAX(G1312:G1566)</f>
        <v>753.25</v>
      </c>
      <c r="N1566" s="19">
        <f t="shared" si="119"/>
        <v>-3.3587786259541925</v>
      </c>
      <c r="O1566" s="9" t="str">
        <f t="shared" si="120"/>
        <v>2024-12</v>
      </c>
    </row>
    <row r="1567" spans="1:15" x14ac:dyDescent="0.25">
      <c r="A1567" s="9" t="s">
        <v>315</v>
      </c>
      <c r="B1567" s="9" t="s">
        <v>45</v>
      </c>
      <c r="C1567" s="25" t="s">
        <v>301</v>
      </c>
      <c r="D1567" s="19">
        <v>727.95</v>
      </c>
      <c r="E1567" s="19">
        <v>729.01</v>
      </c>
      <c r="F1567" s="19">
        <v>718.41</v>
      </c>
      <c r="G1567" s="19">
        <v>718.55</v>
      </c>
      <c r="H1567" s="19">
        <v>718.55</v>
      </c>
      <c r="I1567" s="15">
        <v>7493794</v>
      </c>
      <c r="J1567" s="19">
        <f t="shared" si="117"/>
        <v>-1.2912974792224865</v>
      </c>
      <c r="K1567" s="19">
        <f t="shared" si="118"/>
        <v>644.91149999999993</v>
      </c>
      <c r="L1567" s="19">
        <f t="shared" si="121"/>
        <v>559.38420000000008</v>
      </c>
      <c r="M1567" s="19">
        <f>MAX(G1312:G1567)</f>
        <v>753.25</v>
      </c>
      <c r="N1567" s="19">
        <f t="shared" si="119"/>
        <v>-4.6067042814470689</v>
      </c>
      <c r="O1567" s="9" t="str">
        <f t="shared" si="120"/>
        <v>2024-12</v>
      </c>
    </row>
    <row r="1568" spans="1:15" x14ac:dyDescent="0.25">
      <c r="A1568" s="9" t="s">
        <v>315</v>
      </c>
      <c r="B1568" s="9" t="s">
        <v>45</v>
      </c>
      <c r="C1568" s="25" t="s">
        <v>302</v>
      </c>
      <c r="D1568" s="19">
        <v>718.55</v>
      </c>
      <c r="E1568" s="19">
        <v>748.18</v>
      </c>
      <c r="F1568" s="19">
        <v>717.93</v>
      </c>
      <c r="G1568" s="19">
        <v>744.93</v>
      </c>
      <c r="H1568" s="19">
        <v>744.93</v>
      </c>
      <c r="I1568" s="15">
        <v>12664600</v>
      </c>
      <c r="J1568" s="19">
        <f t="shared" si="117"/>
        <v>3.6712824438104508</v>
      </c>
      <c r="K1568" s="19">
        <f t="shared" si="118"/>
        <v>653.67349999999999</v>
      </c>
      <c r="L1568" s="19">
        <f t="shared" si="121"/>
        <v>565.07119999999998</v>
      </c>
      <c r="M1568" s="19">
        <f>MAX(G1312:G1568)</f>
        <v>753.25</v>
      </c>
      <c r="N1568" s="19">
        <f t="shared" si="119"/>
        <v>-1.1045469631596483</v>
      </c>
      <c r="O1568" s="9" t="str">
        <f t="shared" si="120"/>
        <v>2024-12</v>
      </c>
    </row>
    <row r="1569" spans="1:15" x14ac:dyDescent="0.25">
      <c r="A1569" s="9" t="s">
        <v>315</v>
      </c>
      <c r="B1569" s="9" t="s">
        <v>45</v>
      </c>
      <c r="C1569" s="25" t="s">
        <v>303</v>
      </c>
      <c r="D1569" s="19">
        <v>744.93</v>
      </c>
      <c r="E1569" s="19">
        <v>752.44</v>
      </c>
      <c r="F1569" s="19">
        <v>738.1</v>
      </c>
      <c r="G1569" s="19">
        <v>740.6</v>
      </c>
      <c r="H1569" s="19">
        <v>740.6</v>
      </c>
      <c r="I1569" s="15">
        <v>10251698</v>
      </c>
      <c r="J1569" s="19">
        <f t="shared" si="117"/>
        <v>-0.58126266897559875</v>
      </c>
      <c r="K1569" s="19">
        <f t="shared" si="118"/>
        <v>663.56200000000001</v>
      </c>
      <c r="L1569" s="19">
        <f t="shared" si="121"/>
        <v>570.57799999999997</v>
      </c>
      <c r="M1569" s="19">
        <f>MAX(G1312:G1569)</f>
        <v>753.25</v>
      </c>
      <c r="N1569" s="19">
        <f t="shared" si="119"/>
        <v>-1.6793893129770963</v>
      </c>
      <c r="O1569" s="9" t="str">
        <f t="shared" si="120"/>
        <v>2024-12</v>
      </c>
    </row>
    <row r="1570" spans="1:15" x14ac:dyDescent="0.25">
      <c r="A1570" s="9" t="s">
        <v>315</v>
      </c>
      <c r="B1570" s="9" t="s">
        <v>45</v>
      </c>
      <c r="C1570" s="25" t="s">
        <v>304</v>
      </c>
      <c r="D1570" s="19">
        <v>740.6</v>
      </c>
      <c r="E1570" s="19">
        <v>744.8</v>
      </c>
      <c r="F1570" s="19">
        <v>703.12</v>
      </c>
      <c r="G1570" s="19">
        <v>705.92</v>
      </c>
      <c r="H1570" s="19">
        <v>705.92</v>
      </c>
      <c r="I1570" s="15">
        <v>1812965</v>
      </c>
      <c r="J1570" s="19">
        <f t="shared" si="117"/>
        <v>-4.6826897110451071</v>
      </c>
      <c r="K1570" s="19">
        <f t="shared" si="118"/>
        <v>671.34750000000008</v>
      </c>
      <c r="L1570" s="19">
        <f t="shared" si="121"/>
        <v>575.31079999999986</v>
      </c>
      <c r="M1570" s="19">
        <f>MAX(G1312:G1570)</f>
        <v>753.25</v>
      </c>
      <c r="N1570" s="19">
        <f t="shared" si="119"/>
        <v>-6.2834384334550339</v>
      </c>
      <c r="O1570" s="9" t="str">
        <f t="shared" si="120"/>
        <v>2024-12</v>
      </c>
    </row>
    <row r="1571" spans="1:15" x14ac:dyDescent="0.25">
      <c r="A1571" s="9" t="s">
        <v>315</v>
      </c>
      <c r="B1571" s="9" t="s">
        <v>45</v>
      </c>
      <c r="C1571" s="25" t="s">
        <v>305</v>
      </c>
      <c r="D1571" s="19">
        <v>705.92</v>
      </c>
      <c r="E1571" s="19">
        <v>728.03</v>
      </c>
      <c r="F1571" s="19">
        <v>703.43</v>
      </c>
      <c r="G1571" s="19">
        <v>725.78</v>
      </c>
      <c r="H1571" s="19">
        <v>725.78</v>
      </c>
      <c r="I1571" s="15">
        <v>8496701</v>
      </c>
      <c r="J1571" s="19">
        <f t="shared" si="117"/>
        <v>2.8133499546690866</v>
      </c>
      <c r="K1571" s="19">
        <f t="shared" si="118"/>
        <v>680.24149999999997</v>
      </c>
      <c r="L1571" s="19">
        <f t="shared" si="121"/>
        <v>580.4147999999999</v>
      </c>
      <c r="M1571" s="19">
        <f>MAX(G1312:G1571)</f>
        <v>753.25</v>
      </c>
      <c r="N1571" s="19">
        <f t="shared" si="119"/>
        <v>-3.6468635911052143</v>
      </c>
      <c r="O1571" s="9" t="str">
        <f t="shared" si="120"/>
        <v>2024-12</v>
      </c>
    </row>
    <row r="1572" spans="1:15" x14ac:dyDescent="0.25">
      <c r="A1572" s="9" t="s">
        <v>315</v>
      </c>
      <c r="B1572" s="9" t="s">
        <v>45</v>
      </c>
      <c r="C1572" s="25" t="s">
        <v>306</v>
      </c>
      <c r="D1572" s="19">
        <v>725.78</v>
      </c>
      <c r="E1572" s="19">
        <v>728.63</v>
      </c>
      <c r="F1572" s="19">
        <v>722.65</v>
      </c>
      <c r="G1572" s="19">
        <v>725.07</v>
      </c>
      <c r="H1572" s="19">
        <v>725.07</v>
      </c>
      <c r="I1572" s="15">
        <v>8558206</v>
      </c>
      <c r="J1572" s="19">
        <f t="shared" si="117"/>
        <v>-9.782578742868675E-2</v>
      </c>
      <c r="K1572" s="19">
        <f t="shared" si="118"/>
        <v>688.75099999999998</v>
      </c>
      <c r="L1572" s="19">
        <f t="shared" si="121"/>
        <v>585.12159999999994</v>
      </c>
      <c r="M1572" s="19">
        <f>MAX(G1312:G1572)</f>
        <v>753.25</v>
      </c>
      <c r="N1572" s="19">
        <f t="shared" si="119"/>
        <v>-3.7411218055094522</v>
      </c>
      <c r="O1572" s="9" t="str">
        <f t="shared" si="120"/>
        <v>2024-12</v>
      </c>
    </row>
    <row r="1573" spans="1:15" x14ac:dyDescent="0.25">
      <c r="A1573" s="9" t="s">
        <v>315</v>
      </c>
      <c r="B1573" s="9" t="s">
        <v>45</v>
      </c>
      <c r="C1573" s="25" t="s">
        <v>307</v>
      </c>
      <c r="D1573" s="19">
        <v>725.07</v>
      </c>
      <c r="E1573" s="19">
        <v>737.31</v>
      </c>
      <c r="F1573" s="19">
        <v>721.54</v>
      </c>
      <c r="G1573" s="19">
        <v>730</v>
      </c>
      <c r="H1573" s="19">
        <v>730</v>
      </c>
      <c r="I1573" s="15">
        <v>6793547</v>
      </c>
      <c r="J1573" s="19">
        <f t="shared" si="117"/>
        <v>0.67993435116608736</v>
      </c>
      <c r="K1573" s="19">
        <f t="shared" si="118"/>
        <v>695.86850000000004</v>
      </c>
      <c r="L1573" s="19">
        <f t="shared" si="121"/>
        <v>589.99779999999987</v>
      </c>
      <c r="M1573" s="19">
        <f>MAX(G1312:G1573)</f>
        <v>753.25</v>
      </c>
      <c r="N1573" s="19">
        <f t="shared" si="119"/>
        <v>-3.0866246266179886</v>
      </c>
      <c r="O1573" s="9" t="str">
        <f t="shared" si="120"/>
        <v>2024-12</v>
      </c>
    </row>
    <row r="1574" spans="1:15" x14ac:dyDescent="0.25">
      <c r="A1574" s="9" t="s">
        <v>316</v>
      </c>
      <c r="B1574" s="9" t="s">
        <v>317</v>
      </c>
      <c r="C1574" s="25" t="s">
        <v>46</v>
      </c>
      <c r="D1574" s="19">
        <v>240</v>
      </c>
      <c r="E1574" s="19">
        <v>241.8</v>
      </c>
      <c r="F1574" s="19">
        <v>225.76</v>
      </c>
      <c r="G1574" s="19">
        <v>226.75</v>
      </c>
      <c r="H1574" s="19">
        <v>226.75</v>
      </c>
      <c r="I1574" s="15">
        <v>12340894</v>
      </c>
      <c r="J1574" s="19"/>
      <c r="K1574" s="19"/>
      <c r="L1574" s="19"/>
      <c r="M1574" s="19">
        <f>MAX(G1574:G1574)</f>
        <v>226.75</v>
      </c>
      <c r="N1574" s="19">
        <f t="shared" si="119"/>
        <v>0</v>
      </c>
      <c r="O1574" s="9" t="str">
        <f t="shared" si="120"/>
        <v>2024-01</v>
      </c>
    </row>
    <row r="1575" spans="1:15" x14ac:dyDescent="0.25">
      <c r="A1575" s="9" t="s">
        <v>316</v>
      </c>
      <c r="B1575" s="9" t="s">
        <v>317</v>
      </c>
      <c r="C1575" s="25" t="s">
        <v>47</v>
      </c>
      <c r="D1575" s="19">
        <v>226.75</v>
      </c>
      <c r="E1575" s="19">
        <v>226.75</v>
      </c>
      <c r="F1575" s="19">
        <v>205.45</v>
      </c>
      <c r="G1575" s="19">
        <v>205.9</v>
      </c>
      <c r="H1575" s="19">
        <v>205.9</v>
      </c>
      <c r="I1575" s="15">
        <v>14863840</v>
      </c>
      <c r="J1575" s="19">
        <f t="shared" ref="J1575:J1638" si="122">IFERROR((G1575-G1574)/G1574*100,"")</f>
        <v>-9.1951488423373728</v>
      </c>
      <c r="K1575" s="19"/>
      <c r="L1575" s="19"/>
      <c r="M1575" s="19">
        <f>MAX(G1574:G1575)</f>
        <v>226.75</v>
      </c>
      <c r="N1575" s="19">
        <f t="shared" si="119"/>
        <v>-9.1951488423373728</v>
      </c>
      <c r="O1575" s="9" t="str">
        <f t="shared" si="120"/>
        <v>2024-01</v>
      </c>
    </row>
    <row r="1576" spans="1:15" x14ac:dyDescent="0.25">
      <c r="A1576" s="9" t="s">
        <v>316</v>
      </c>
      <c r="B1576" s="9" t="s">
        <v>317</v>
      </c>
      <c r="C1576" s="25" t="s">
        <v>48</v>
      </c>
      <c r="D1576" s="19">
        <v>205.9</v>
      </c>
      <c r="E1576" s="19">
        <v>206.11</v>
      </c>
      <c r="F1576" s="19">
        <v>198.95</v>
      </c>
      <c r="G1576" s="19">
        <v>199.29</v>
      </c>
      <c r="H1576" s="19">
        <v>199.29</v>
      </c>
      <c r="I1576" s="15">
        <v>3032718</v>
      </c>
      <c r="J1576" s="19">
        <f t="shared" si="122"/>
        <v>-3.2102962603205505</v>
      </c>
      <c r="K1576" s="19"/>
      <c r="L1576" s="19"/>
      <c r="M1576" s="19">
        <f>MAX(G1574:G1576)</f>
        <v>226.75</v>
      </c>
      <c r="N1576" s="19">
        <f t="shared" si="119"/>
        <v>-12.110253583241459</v>
      </c>
      <c r="O1576" s="9" t="str">
        <f t="shared" si="120"/>
        <v>2024-01</v>
      </c>
    </row>
    <row r="1577" spans="1:15" x14ac:dyDescent="0.25">
      <c r="A1577" s="9" t="s">
        <v>316</v>
      </c>
      <c r="B1577" s="9" t="s">
        <v>317</v>
      </c>
      <c r="C1577" s="25" t="s">
        <v>49</v>
      </c>
      <c r="D1577" s="19">
        <v>199.29</v>
      </c>
      <c r="E1577" s="19">
        <v>200.32</v>
      </c>
      <c r="F1577" s="19">
        <v>196.02</v>
      </c>
      <c r="G1577" s="19">
        <v>196.05</v>
      </c>
      <c r="H1577" s="19">
        <v>196.05</v>
      </c>
      <c r="I1577" s="15">
        <v>2261690</v>
      </c>
      <c r="J1577" s="19">
        <f t="shared" si="122"/>
        <v>-1.6257714887851777</v>
      </c>
      <c r="K1577" s="19"/>
      <c r="L1577" s="19"/>
      <c r="M1577" s="19">
        <f>MAX(G1574:G1577)</f>
        <v>226.75</v>
      </c>
      <c r="N1577" s="19">
        <f t="shared" si="119"/>
        <v>-13.539140022050711</v>
      </c>
      <c r="O1577" s="9" t="str">
        <f t="shared" si="120"/>
        <v>2024-01</v>
      </c>
    </row>
    <row r="1578" spans="1:15" x14ac:dyDescent="0.25">
      <c r="A1578" s="9" t="s">
        <v>316</v>
      </c>
      <c r="B1578" s="9" t="s">
        <v>317</v>
      </c>
      <c r="C1578" s="25" t="s">
        <v>50</v>
      </c>
      <c r="D1578" s="19">
        <v>196.05</v>
      </c>
      <c r="E1578" s="19">
        <v>196.09</v>
      </c>
      <c r="F1578" s="19">
        <v>194.02</v>
      </c>
      <c r="G1578" s="19">
        <v>194.06</v>
      </c>
      <c r="H1578" s="19">
        <v>194.06</v>
      </c>
      <c r="I1578" s="15">
        <v>3082009</v>
      </c>
      <c r="J1578" s="19">
        <f t="shared" si="122"/>
        <v>-1.0150471818413715</v>
      </c>
      <c r="K1578" s="19"/>
      <c r="L1578" s="19"/>
      <c r="M1578" s="19">
        <f>MAX(G1574:G1578)</f>
        <v>226.75</v>
      </c>
      <c r="N1578" s="19">
        <f t="shared" si="119"/>
        <v>-14.4167585446527</v>
      </c>
      <c r="O1578" s="9" t="str">
        <f t="shared" si="120"/>
        <v>2024-01</v>
      </c>
    </row>
    <row r="1579" spans="1:15" x14ac:dyDescent="0.25">
      <c r="A1579" s="9" t="s">
        <v>316</v>
      </c>
      <c r="B1579" s="9" t="s">
        <v>317</v>
      </c>
      <c r="C1579" s="25" t="s">
        <v>51</v>
      </c>
      <c r="D1579" s="19">
        <v>194.06</v>
      </c>
      <c r="E1579" s="19">
        <v>208.69</v>
      </c>
      <c r="F1579" s="19">
        <v>193.84</v>
      </c>
      <c r="G1579" s="19">
        <v>207.89</v>
      </c>
      <c r="H1579" s="19">
        <v>207.89</v>
      </c>
      <c r="I1579" s="15">
        <v>22438621</v>
      </c>
      <c r="J1579" s="19">
        <f t="shared" si="122"/>
        <v>7.1266618571575719</v>
      </c>
      <c r="K1579" s="19"/>
      <c r="L1579" s="19"/>
      <c r="M1579" s="19">
        <f>MAX(G1574:G1579)</f>
        <v>226.75</v>
      </c>
      <c r="N1579" s="19">
        <f t="shared" si="119"/>
        <v>-8.3175303197353969</v>
      </c>
      <c r="O1579" s="9" t="str">
        <f t="shared" si="120"/>
        <v>2024-01</v>
      </c>
    </row>
    <row r="1580" spans="1:15" x14ac:dyDescent="0.25">
      <c r="A1580" s="9" t="s">
        <v>316</v>
      </c>
      <c r="B1580" s="9" t="s">
        <v>317</v>
      </c>
      <c r="C1580" s="25" t="s">
        <v>52</v>
      </c>
      <c r="D1580" s="19">
        <v>207.89</v>
      </c>
      <c r="E1580" s="19">
        <v>210.87</v>
      </c>
      <c r="F1580" s="19">
        <v>206.98</v>
      </c>
      <c r="G1580" s="19">
        <v>210.59</v>
      </c>
      <c r="H1580" s="19">
        <v>210.59</v>
      </c>
      <c r="I1580" s="15">
        <v>3249187</v>
      </c>
      <c r="J1580" s="19">
        <f t="shared" si="122"/>
        <v>1.298763769301081</v>
      </c>
      <c r="K1580" s="19"/>
      <c r="L1580" s="19"/>
      <c r="M1580" s="19">
        <f>MAX(G1574:G1580)</f>
        <v>226.75</v>
      </c>
      <c r="N1580" s="19">
        <f t="shared" si="119"/>
        <v>-7.1267916207276727</v>
      </c>
      <c r="O1580" s="9" t="str">
        <f t="shared" si="120"/>
        <v>2024-01</v>
      </c>
    </row>
    <row r="1581" spans="1:15" x14ac:dyDescent="0.25">
      <c r="A1581" s="9" t="s">
        <v>316</v>
      </c>
      <c r="B1581" s="9" t="s">
        <v>317</v>
      </c>
      <c r="C1581" s="25" t="s">
        <v>53</v>
      </c>
      <c r="D1581" s="19">
        <v>210.59</v>
      </c>
      <c r="E1581" s="19">
        <v>210.76</v>
      </c>
      <c r="F1581" s="19">
        <v>200.85</v>
      </c>
      <c r="G1581" s="19">
        <v>200.93</v>
      </c>
      <c r="H1581" s="19">
        <v>200.93</v>
      </c>
      <c r="I1581" s="15">
        <v>5228062</v>
      </c>
      <c r="J1581" s="19">
        <f t="shared" si="122"/>
        <v>-4.5871123984994524</v>
      </c>
      <c r="K1581" s="19"/>
      <c r="L1581" s="19"/>
      <c r="M1581" s="19">
        <f>MAX(G1574:G1581)</f>
        <v>226.75</v>
      </c>
      <c r="N1581" s="19">
        <f t="shared" si="119"/>
        <v>-11.386990077177506</v>
      </c>
      <c r="O1581" s="9" t="str">
        <f t="shared" si="120"/>
        <v>2024-01</v>
      </c>
    </row>
    <row r="1582" spans="1:15" x14ac:dyDescent="0.25">
      <c r="A1582" s="9" t="s">
        <v>316</v>
      </c>
      <c r="B1582" s="9" t="s">
        <v>317</v>
      </c>
      <c r="C1582" s="25" t="s">
        <v>54</v>
      </c>
      <c r="D1582" s="19">
        <v>200.93</v>
      </c>
      <c r="E1582" s="19">
        <v>201.49</v>
      </c>
      <c r="F1582" s="19">
        <v>199.65</v>
      </c>
      <c r="G1582" s="19">
        <v>199.69</v>
      </c>
      <c r="H1582" s="19">
        <v>199.69</v>
      </c>
      <c r="I1582" s="15">
        <v>4069627</v>
      </c>
      <c r="J1582" s="19">
        <f t="shared" si="122"/>
        <v>-0.61713034390086552</v>
      </c>
      <c r="K1582" s="19"/>
      <c r="L1582" s="19"/>
      <c r="M1582" s="19">
        <f>MAX(G1574:G1582)</f>
        <v>226.75</v>
      </c>
      <c r="N1582" s="19">
        <f t="shared" si="119"/>
        <v>-11.933847850055129</v>
      </c>
      <c r="O1582" s="9" t="str">
        <f t="shared" si="120"/>
        <v>2024-01</v>
      </c>
    </row>
    <row r="1583" spans="1:15" x14ac:dyDescent="0.25">
      <c r="A1583" s="9" t="s">
        <v>316</v>
      </c>
      <c r="B1583" s="9" t="s">
        <v>317</v>
      </c>
      <c r="C1583" s="25" t="s">
        <v>55</v>
      </c>
      <c r="D1583" s="19">
        <v>199.69</v>
      </c>
      <c r="E1583" s="19">
        <v>207.53</v>
      </c>
      <c r="F1583" s="19">
        <v>199.53</v>
      </c>
      <c r="G1583" s="19">
        <v>205.68</v>
      </c>
      <c r="H1583" s="19">
        <v>205.68</v>
      </c>
      <c r="I1583" s="15">
        <v>3328309</v>
      </c>
      <c r="J1583" s="19">
        <f t="shared" si="122"/>
        <v>2.9996494566578242</v>
      </c>
      <c r="K1583" s="19"/>
      <c r="L1583" s="19"/>
      <c r="M1583" s="19">
        <f>MAX(G1574:G1583)</f>
        <v>226.75</v>
      </c>
      <c r="N1583" s="19">
        <f t="shared" si="119"/>
        <v>-9.2921719955898539</v>
      </c>
      <c r="O1583" s="9" t="str">
        <f t="shared" si="120"/>
        <v>2024-01</v>
      </c>
    </row>
    <row r="1584" spans="1:15" x14ac:dyDescent="0.25">
      <c r="A1584" s="9" t="s">
        <v>316</v>
      </c>
      <c r="B1584" s="9" t="s">
        <v>317</v>
      </c>
      <c r="C1584" s="25" t="s">
        <v>56</v>
      </c>
      <c r="D1584" s="19">
        <v>205.68</v>
      </c>
      <c r="E1584" s="19">
        <v>206.22</v>
      </c>
      <c r="F1584" s="19">
        <v>202.81</v>
      </c>
      <c r="G1584" s="19">
        <v>204.34</v>
      </c>
      <c r="H1584" s="19">
        <v>204.34</v>
      </c>
      <c r="I1584" s="15">
        <v>4743653</v>
      </c>
      <c r="J1584" s="19">
        <f t="shared" si="122"/>
        <v>-0.65149747180085738</v>
      </c>
      <c r="K1584" s="19"/>
      <c r="L1584" s="19"/>
      <c r="M1584" s="19">
        <f>MAX(G1574:G1584)</f>
        <v>226.75</v>
      </c>
      <c r="N1584" s="19">
        <f t="shared" si="119"/>
        <v>-9.8831312017640567</v>
      </c>
      <c r="O1584" s="9" t="str">
        <f t="shared" si="120"/>
        <v>2024-01</v>
      </c>
    </row>
    <row r="1585" spans="1:15" x14ac:dyDescent="0.25">
      <c r="A1585" s="9" t="s">
        <v>316</v>
      </c>
      <c r="B1585" s="9" t="s">
        <v>317</v>
      </c>
      <c r="C1585" s="25" t="s">
        <v>57</v>
      </c>
      <c r="D1585" s="19">
        <v>204.34</v>
      </c>
      <c r="E1585" s="19">
        <v>205.31</v>
      </c>
      <c r="F1585" s="19">
        <v>199.71</v>
      </c>
      <c r="G1585" s="19">
        <v>199.86</v>
      </c>
      <c r="H1585" s="19">
        <v>199.86</v>
      </c>
      <c r="I1585" s="15">
        <v>3258868</v>
      </c>
      <c r="J1585" s="19">
        <f t="shared" si="122"/>
        <v>-2.1924243907213419</v>
      </c>
      <c r="K1585" s="19"/>
      <c r="L1585" s="19"/>
      <c r="M1585" s="19">
        <f>MAX(G1574:G1585)</f>
        <v>226.75</v>
      </c>
      <c r="N1585" s="19">
        <f t="shared" si="119"/>
        <v>-11.858875413450932</v>
      </c>
      <c r="O1585" s="9" t="str">
        <f t="shared" si="120"/>
        <v>2024-01</v>
      </c>
    </row>
    <row r="1586" spans="1:15" x14ac:dyDescent="0.25">
      <c r="A1586" s="9" t="s">
        <v>316</v>
      </c>
      <c r="B1586" s="9" t="s">
        <v>317</v>
      </c>
      <c r="C1586" s="25" t="s">
        <v>58</v>
      </c>
      <c r="D1586" s="19">
        <v>199.86</v>
      </c>
      <c r="E1586" s="19">
        <v>212.48</v>
      </c>
      <c r="F1586" s="19">
        <v>199.34</v>
      </c>
      <c r="G1586" s="19">
        <v>212.24</v>
      </c>
      <c r="H1586" s="19">
        <v>212.24</v>
      </c>
      <c r="I1586" s="15">
        <v>7819962</v>
      </c>
      <c r="J1586" s="19">
        <f t="shared" si="122"/>
        <v>6.194336035224655</v>
      </c>
      <c r="K1586" s="19"/>
      <c r="L1586" s="19"/>
      <c r="M1586" s="19">
        <f>MAX(G1574:G1586)</f>
        <v>226.75</v>
      </c>
      <c r="N1586" s="19">
        <f t="shared" si="119"/>
        <v>-6.3991179713340642</v>
      </c>
      <c r="O1586" s="9" t="str">
        <f t="shared" si="120"/>
        <v>2024-01</v>
      </c>
    </row>
    <row r="1587" spans="1:15" x14ac:dyDescent="0.25">
      <c r="A1587" s="9" t="s">
        <v>316</v>
      </c>
      <c r="B1587" s="9" t="s">
        <v>317</v>
      </c>
      <c r="C1587" s="25" t="s">
        <v>59</v>
      </c>
      <c r="D1587" s="19">
        <v>212.24</v>
      </c>
      <c r="E1587" s="19">
        <v>215.6</v>
      </c>
      <c r="F1587" s="19">
        <v>211.85</v>
      </c>
      <c r="G1587" s="19">
        <v>214.3</v>
      </c>
      <c r="H1587" s="19">
        <v>214.3</v>
      </c>
      <c r="I1587" s="15">
        <v>5746986</v>
      </c>
      <c r="J1587" s="19">
        <f t="shared" si="122"/>
        <v>0.97059932152280537</v>
      </c>
      <c r="K1587" s="19"/>
      <c r="L1587" s="19"/>
      <c r="M1587" s="19">
        <f>MAX(G1574:G1587)</f>
        <v>226.75</v>
      </c>
      <c r="N1587" s="19">
        <f t="shared" si="119"/>
        <v>-5.4906284454244707</v>
      </c>
      <c r="O1587" s="9" t="str">
        <f t="shared" si="120"/>
        <v>2024-01</v>
      </c>
    </row>
    <row r="1588" spans="1:15" x14ac:dyDescent="0.25">
      <c r="A1588" s="9" t="s">
        <v>316</v>
      </c>
      <c r="B1588" s="9" t="s">
        <v>317</v>
      </c>
      <c r="C1588" s="25" t="s">
        <v>60</v>
      </c>
      <c r="D1588" s="19">
        <v>214.3</v>
      </c>
      <c r="E1588" s="19">
        <v>220.34</v>
      </c>
      <c r="F1588" s="19">
        <v>213.32</v>
      </c>
      <c r="G1588" s="19">
        <v>219.65</v>
      </c>
      <c r="H1588" s="19">
        <v>219.65</v>
      </c>
      <c r="I1588" s="15">
        <v>4068748</v>
      </c>
      <c r="J1588" s="19">
        <f t="shared" si="122"/>
        <v>2.4965002333177759</v>
      </c>
      <c r="K1588" s="19"/>
      <c r="L1588" s="19"/>
      <c r="M1588" s="19">
        <f>MAX(G1574:G1588)</f>
        <v>226.75</v>
      </c>
      <c r="N1588" s="19">
        <f t="shared" si="119"/>
        <v>-3.1312017640573293</v>
      </c>
      <c r="O1588" s="9" t="str">
        <f t="shared" si="120"/>
        <v>2024-01</v>
      </c>
    </row>
    <row r="1589" spans="1:15" x14ac:dyDescent="0.25">
      <c r="A1589" s="9" t="s">
        <v>316</v>
      </c>
      <c r="B1589" s="9" t="s">
        <v>317</v>
      </c>
      <c r="C1589" s="25" t="s">
        <v>61</v>
      </c>
      <c r="D1589" s="19">
        <v>219.65</v>
      </c>
      <c r="E1589" s="19">
        <v>229.37</v>
      </c>
      <c r="F1589" s="19">
        <v>219.26</v>
      </c>
      <c r="G1589" s="19">
        <v>227.97</v>
      </c>
      <c r="H1589" s="19">
        <v>227.97</v>
      </c>
      <c r="I1589" s="15">
        <v>3424608</v>
      </c>
      <c r="J1589" s="19">
        <f t="shared" si="122"/>
        <v>3.7878442977464113</v>
      </c>
      <c r="K1589" s="19"/>
      <c r="L1589" s="19"/>
      <c r="M1589" s="19">
        <f>MAX(G1574:G1589)</f>
        <v>227.97</v>
      </c>
      <c r="N1589" s="19">
        <f t="shared" si="119"/>
        <v>0</v>
      </c>
      <c r="O1589" s="9" t="str">
        <f t="shared" si="120"/>
        <v>2024-01</v>
      </c>
    </row>
    <row r="1590" spans="1:15" x14ac:dyDescent="0.25">
      <c r="A1590" s="9" t="s">
        <v>316</v>
      </c>
      <c r="B1590" s="9" t="s">
        <v>317</v>
      </c>
      <c r="C1590" s="25" t="s">
        <v>62</v>
      </c>
      <c r="D1590" s="19">
        <v>227.97</v>
      </c>
      <c r="E1590" s="19">
        <v>230.84</v>
      </c>
      <c r="F1590" s="19">
        <v>227.48</v>
      </c>
      <c r="G1590" s="19">
        <v>230.41</v>
      </c>
      <c r="H1590" s="19">
        <v>230.41</v>
      </c>
      <c r="I1590" s="15">
        <v>5730060</v>
      </c>
      <c r="J1590" s="19">
        <f t="shared" si="122"/>
        <v>1.0703162696846065</v>
      </c>
      <c r="K1590" s="19"/>
      <c r="L1590" s="19"/>
      <c r="M1590" s="19">
        <f>MAX(G1574:G1590)</f>
        <v>230.41</v>
      </c>
      <c r="N1590" s="19">
        <f t="shared" si="119"/>
        <v>0</v>
      </c>
      <c r="O1590" s="9" t="str">
        <f t="shared" si="120"/>
        <v>2024-01</v>
      </c>
    </row>
    <row r="1591" spans="1:15" x14ac:dyDescent="0.25">
      <c r="A1591" s="9" t="s">
        <v>316</v>
      </c>
      <c r="B1591" s="9" t="s">
        <v>317</v>
      </c>
      <c r="C1591" s="25" t="s">
        <v>63</v>
      </c>
      <c r="D1591" s="19">
        <v>230.41</v>
      </c>
      <c r="E1591" s="19">
        <v>237.1</v>
      </c>
      <c r="F1591" s="19">
        <v>229.46</v>
      </c>
      <c r="G1591" s="19">
        <v>236.8</v>
      </c>
      <c r="H1591" s="19">
        <v>236.8</v>
      </c>
      <c r="I1591" s="15">
        <v>4477512</v>
      </c>
      <c r="J1591" s="19">
        <f t="shared" si="122"/>
        <v>2.7733171303328912</v>
      </c>
      <c r="K1591" s="19"/>
      <c r="L1591" s="19"/>
      <c r="M1591" s="19">
        <f>MAX(G1574:G1591)</f>
        <v>236.8</v>
      </c>
      <c r="N1591" s="19">
        <f t="shared" si="119"/>
        <v>0</v>
      </c>
      <c r="O1591" s="9" t="str">
        <f t="shared" si="120"/>
        <v>2024-01</v>
      </c>
    </row>
    <row r="1592" spans="1:15" x14ac:dyDescent="0.25">
      <c r="A1592" s="9" t="s">
        <v>316</v>
      </c>
      <c r="B1592" s="9" t="s">
        <v>317</v>
      </c>
      <c r="C1592" s="25" t="s">
        <v>64</v>
      </c>
      <c r="D1592" s="19">
        <v>236.8</v>
      </c>
      <c r="E1592" s="19">
        <v>252.09</v>
      </c>
      <c r="F1592" s="19">
        <v>236.2</v>
      </c>
      <c r="G1592" s="19">
        <v>251.87</v>
      </c>
      <c r="H1592" s="19">
        <v>251.87</v>
      </c>
      <c r="I1592" s="15">
        <v>6928400</v>
      </c>
      <c r="J1592" s="19">
        <f t="shared" si="122"/>
        <v>6.3640202702702666</v>
      </c>
      <c r="K1592" s="19"/>
      <c r="L1592" s="19"/>
      <c r="M1592" s="19">
        <f>MAX(G1574:G1592)</f>
        <v>251.87</v>
      </c>
      <c r="N1592" s="19">
        <f t="shared" si="119"/>
        <v>0</v>
      </c>
      <c r="O1592" s="9" t="str">
        <f t="shared" si="120"/>
        <v>2024-01</v>
      </c>
    </row>
    <row r="1593" spans="1:15" x14ac:dyDescent="0.25">
      <c r="A1593" s="9" t="s">
        <v>316</v>
      </c>
      <c r="B1593" s="9" t="s">
        <v>317</v>
      </c>
      <c r="C1593" s="25" t="s">
        <v>65</v>
      </c>
      <c r="D1593" s="19">
        <v>251.87</v>
      </c>
      <c r="E1593" s="19">
        <v>253.28</v>
      </c>
      <c r="F1593" s="19">
        <v>247.31</v>
      </c>
      <c r="G1593" s="19">
        <v>248.68</v>
      </c>
      <c r="H1593" s="19">
        <v>248.68</v>
      </c>
      <c r="I1593" s="15">
        <v>4037253</v>
      </c>
      <c r="J1593" s="19">
        <f t="shared" si="122"/>
        <v>-1.2665263826577193</v>
      </c>
      <c r="K1593" s="19">
        <f t="shared" ref="K1593:K1656" si="123">AVERAGE(G1574:G1593)</f>
        <v>214.64750000000004</v>
      </c>
      <c r="L1593" s="19"/>
      <c r="M1593" s="19">
        <f>MAX(G1574:G1593)</f>
        <v>251.87</v>
      </c>
      <c r="N1593" s="19">
        <f t="shared" si="119"/>
        <v>-1.2665263826577193</v>
      </c>
      <c r="O1593" s="9" t="str">
        <f t="shared" si="120"/>
        <v>2024-01</v>
      </c>
    </row>
    <row r="1594" spans="1:15" x14ac:dyDescent="0.25">
      <c r="A1594" s="9" t="s">
        <v>316</v>
      </c>
      <c r="B1594" s="9" t="s">
        <v>317</v>
      </c>
      <c r="C1594" s="25" t="s">
        <v>66</v>
      </c>
      <c r="D1594" s="19">
        <v>248.68</v>
      </c>
      <c r="E1594" s="19">
        <v>251.17</v>
      </c>
      <c r="F1594" s="19">
        <v>248.17</v>
      </c>
      <c r="G1594" s="19">
        <v>250.69</v>
      </c>
      <c r="H1594" s="19">
        <v>250.69</v>
      </c>
      <c r="I1594" s="15">
        <v>5236696</v>
      </c>
      <c r="J1594" s="19">
        <f t="shared" si="122"/>
        <v>0.80826765320893956</v>
      </c>
      <c r="K1594" s="19">
        <f t="shared" si="123"/>
        <v>215.84450000000001</v>
      </c>
      <c r="L1594" s="19"/>
      <c r="M1594" s="19">
        <f>MAX(G1574:G1594)</f>
        <v>251.87</v>
      </c>
      <c r="N1594" s="19">
        <f t="shared" si="119"/>
        <v>-0.46849565251915937</v>
      </c>
      <c r="O1594" s="9" t="str">
        <f t="shared" si="120"/>
        <v>2024-01</v>
      </c>
    </row>
    <row r="1595" spans="1:15" x14ac:dyDescent="0.25">
      <c r="A1595" s="9" t="s">
        <v>316</v>
      </c>
      <c r="B1595" s="9" t="s">
        <v>317</v>
      </c>
      <c r="C1595" s="25" t="s">
        <v>67</v>
      </c>
      <c r="D1595" s="19">
        <v>250.69</v>
      </c>
      <c r="E1595" s="19">
        <v>251.54</v>
      </c>
      <c r="F1595" s="19">
        <v>244.89</v>
      </c>
      <c r="G1595" s="19">
        <v>244.99</v>
      </c>
      <c r="H1595" s="19">
        <v>244.99</v>
      </c>
      <c r="I1595" s="15">
        <v>3936606</v>
      </c>
      <c r="J1595" s="19">
        <f t="shared" si="122"/>
        <v>-2.2737245203239014</v>
      </c>
      <c r="K1595" s="19">
        <f t="shared" si="123"/>
        <v>217.79899999999998</v>
      </c>
      <c r="L1595" s="19"/>
      <c r="M1595" s="19">
        <f>MAX(G1574:G1595)</f>
        <v>251.87</v>
      </c>
      <c r="N1595" s="19">
        <f t="shared" si="119"/>
        <v>-2.7315678723150811</v>
      </c>
      <c r="O1595" s="9" t="str">
        <f t="shared" si="120"/>
        <v>2024-01</v>
      </c>
    </row>
    <row r="1596" spans="1:15" x14ac:dyDescent="0.25">
      <c r="A1596" s="9" t="s">
        <v>316</v>
      </c>
      <c r="B1596" s="9" t="s">
        <v>317</v>
      </c>
      <c r="C1596" s="25" t="s">
        <v>68</v>
      </c>
      <c r="D1596" s="19">
        <v>244.99</v>
      </c>
      <c r="E1596" s="19">
        <v>246.07</v>
      </c>
      <c r="F1596" s="19">
        <v>232.31</v>
      </c>
      <c r="G1596" s="19">
        <v>232.87</v>
      </c>
      <c r="H1596" s="19">
        <v>232.87</v>
      </c>
      <c r="I1596" s="15">
        <v>2861982</v>
      </c>
      <c r="J1596" s="19">
        <f t="shared" si="122"/>
        <v>-4.9471406996203937</v>
      </c>
      <c r="K1596" s="19">
        <f t="shared" si="123"/>
        <v>219.47799999999998</v>
      </c>
      <c r="L1596" s="19"/>
      <c r="M1596" s="19">
        <f>MAX(G1574:G1596)</f>
        <v>251.87</v>
      </c>
      <c r="N1596" s="19">
        <f t="shared" si="119"/>
        <v>-7.5435740659864221</v>
      </c>
      <c r="O1596" s="9" t="str">
        <f t="shared" si="120"/>
        <v>2024-01</v>
      </c>
    </row>
    <row r="1597" spans="1:15" x14ac:dyDescent="0.25">
      <c r="A1597" s="9" t="s">
        <v>316</v>
      </c>
      <c r="B1597" s="9" t="s">
        <v>317</v>
      </c>
      <c r="C1597" s="25" t="s">
        <v>69</v>
      </c>
      <c r="D1597" s="19">
        <v>232.87</v>
      </c>
      <c r="E1597" s="19">
        <v>238.01</v>
      </c>
      <c r="F1597" s="19">
        <v>231.9</v>
      </c>
      <c r="G1597" s="19">
        <v>236.72</v>
      </c>
      <c r="H1597" s="19">
        <v>236.72</v>
      </c>
      <c r="I1597" s="15">
        <v>4644614</v>
      </c>
      <c r="J1597" s="19">
        <f t="shared" si="122"/>
        <v>1.6532829475673096</v>
      </c>
      <c r="K1597" s="19">
        <f t="shared" si="123"/>
        <v>221.51149999999998</v>
      </c>
      <c r="L1597" s="19"/>
      <c r="M1597" s="19">
        <f>MAX(G1574:G1597)</f>
        <v>251.87</v>
      </c>
      <c r="N1597" s="19">
        <f t="shared" si="119"/>
        <v>-6.0150077420891748</v>
      </c>
      <c r="O1597" s="9" t="str">
        <f t="shared" si="120"/>
        <v>2024-02</v>
      </c>
    </row>
    <row r="1598" spans="1:15" x14ac:dyDescent="0.25">
      <c r="A1598" s="9" t="s">
        <v>316</v>
      </c>
      <c r="B1598" s="9" t="s">
        <v>317</v>
      </c>
      <c r="C1598" s="25" t="s">
        <v>70</v>
      </c>
      <c r="D1598" s="19">
        <v>236.72</v>
      </c>
      <c r="E1598" s="19">
        <v>243.43</v>
      </c>
      <c r="F1598" s="19">
        <v>236.47</v>
      </c>
      <c r="G1598" s="19">
        <v>242.69</v>
      </c>
      <c r="H1598" s="19">
        <v>242.69</v>
      </c>
      <c r="I1598" s="15">
        <v>3353389</v>
      </c>
      <c r="J1598" s="19">
        <f t="shared" si="122"/>
        <v>2.5219668807029398</v>
      </c>
      <c r="K1598" s="19">
        <f t="shared" si="123"/>
        <v>223.94299999999998</v>
      </c>
      <c r="L1598" s="19"/>
      <c r="M1598" s="19">
        <f>MAX(G1574:G1598)</f>
        <v>251.87</v>
      </c>
      <c r="N1598" s="19">
        <f t="shared" si="119"/>
        <v>-3.6447373645134422</v>
      </c>
      <c r="O1598" s="9" t="str">
        <f t="shared" si="120"/>
        <v>2024-02</v>
      </c>
    </row>
    <row r="1599" spans="1:15" x14ac:dyDescent="0.25">
      <c r="A1599" s="9" t="s">
        <v>316</v>
      </c>
      <c r="B1599" s="9" t="s">
        <v>317</v>
      </c>
      <c r="C1599" s="25" t="s">
        <v>71</v>
      </c>
      <c r="D1599" s="19">
        <v>242.69</v>
      </c>
      <c r="E1599" s="19">
        <v>244.6</v>
      </c>
      <c r="F1599" s="19">
        <v>233.89</v>
      </c>
      <c r="G1599" s="19">
        <v>234.2</v>
      </c>
      <c r="H1599" s="19">
        <v>234.2</v>
      </c>
      <c r="I1599" s="15">
        <v>4589850</v>
      </c>
      <c r="J1599" s="19">
        <f t="shared" si="122"/>
        <v>-3.4982899995879557</v>
      </c>
      <c r="K1599" s="19">
        <f t="shared" si="123"/>
        <v>225.25849999999997</v>
      </c>
      <c r="L1599" s="19"/>
      <c r="M1599" s="19">
        <f>MAX(G1574:G1599)</f>
        <v>251.87</v>
      </c>
      <c r="N1599" s="19">
        <f t="shared" si="119"/>
        <v>-7.0155238813673773</v>
      </c>
      <c r="O1599" s="9" t="str">
        <f t="shared" si="120"/>
        <v>2024-02</v>
      </c>
    </row>
    <row r="1600" spans="1:15" x14ac:dyDescent="0.25">
      <c r="A1600" s="9" t="s">
        <v>316</v>
      </c>
      <c r="B1600" s="9" t="s">
        <v>317</v>
      </c>
      <c r="C1600" s="25" t="s">
        <v>72</v>
      </c>
      <c r="D1600" s="19">
        <v>234.2</v>
      </c>
      <c r="E1600" s="19">
        <v>234.26</v>
      </c>
      <c r="F1600" s="19">
        <v>229.23</v>
      </c>
      <c r="G1600" s="19">
        <v>229.86</v>
      </c>
      <c r="H1600" s="19">
        <v>229.86</v>
      </c>
      <c r="I1600" s="15">
        <v>3637545</v>
      </c>
      <c r="J1600" s="19">
        <f t="shared" si="122"/>
        <v>-1.8531169940221928</v>
      </c>
      <c r="K1600" s="19">
        <f t="shared" si="123"/>
        <v>226.22199999999998</v>
      </c>
      <c r="L1600" s="19"/>
      <c r="M1600" s="19">
        <f>MAX(G1574:G1600)</f>
        <v>251.87</v>
      </c>
      <c r="N1600" s="19">
        <f t="shared" si="119"/>
        <v>-8.7386350101242662</v>
      </c>
      <c r="O1600" s="9" t="str">
        <f t="shared" si="120"/>
        <v>2024-02</v>
      </c>
    </row>
    <row r="1601" spans="1:15" x14ac:dyDescent="0.25">
      <c r="A1601" s="9" t="s">
        <v>316</v>
      </c>
      <c r="B1601" s="9" t="s">
        <v>317</v>
      </c>
      <c r="C1601" s="25" t="s">
        <v>73</v>
      </c>
      <c r="D1601" s="19">
        <v>229.86</v>
      </c>
      <c r="E1601" s="19">
        <v>230.53</v>
      </c>
      <c r="F1601" s="19">
        <v>226.85</v>
      </c>
      <c r="G1601" s="19">
        <v>227.28</v>
      </c>
      <c r="H1601" s="19">
        <v>227.28</v>
      </c>
      <c r="I1601" s="15">
        <v>4773553</v>
      </c>
      <c r="J1601" s="19">
        <f t="shared" si="122"/>
        <v>-1.1224223440355052</v>
      </c>
      <c r="K1601" s="19">
        <f t="shared" si="123"/>
        <v>227.53949999999995</v>
      </c>
      <c r="L1601" s="19"/>
      <c r="M1601" s="19">
        <f>MAX(G1574:G1601)</f>
        <v>251.87</v>
      </c>
      <c r="N1601" s="19">
        <f t="shared" si="119"/>
        <v>-9.7629729622424275</v>
      </c>
      <c r="O1601" s="9" t="str">
        <f t="shared" si="120"/>
        <v>2024-02</v>
      </c>
    </row>
    <row r="1602" spans="1:15" x14ac:dyDescent="0.25">
      <c r="A1602" s="9" t="s">
        <v>316</v>
      </c>
      <c r="B1602" s="9" t="s">
        <v>317</v>
      </c>
      <c r="C1602" s="25" t="s">
        <v>74</v>
      </c>
      <c r="D1602" s="19">
        <v>227.28</v>
      </c>
      <c r="E1602" s="19">
        <v>227.39</v>
      </c>
      <c r="F1602" s="19">
        <v>221.05</v>
      </c>
      <c r="G1602" s="19">
        <v>221.72</v>
      </c>
      <c r="H1602" s="19">
        <v>221.72</v>
      </c>
      <c r="I1602" s="15">
        <v>4734962</v>
      </c>
      <c r="J1602" s="19">
        <f t="shared" si="122"/>
        <v>-2.4463217177050347</v>
      </c>
      <c r="K1602" s="19">
        <f t="shared" si="123"/>
        <v>228.64099999999999</v>
      </c>
      <c r="L1602" s="19"/>
      <c r="M1602" s="19">
        <f>MAX(G1574:G1602)</f>
        <v>251.87</v>
      </c>
      <c r="N1602" s="19">
        <f t="shared" ref="N1602:N1665" si="124">(G1602-M1602)/M1602*100</f>
        <v>-11.970460952078456</v>
      </c>
      <c r="O1602" s="9" t="str">
        <f t="shared" ref="O1602:O1665" si="125">TEXT(C1602,"yyyy-mm")</f>
        <v>2024-02</v>
      </c>
    </row>
    <row r="1603" spans="1:15" x14ac:dyDescent="0.25">
      <c r="A1603" s="9" t="s">
        <v>316</v>
      </c>
      <c r="B1603" s="9" t="s">
        <v>317</v>
      </c>
      <c r="C1603" s="25" t="s">
        <v>75</v>
      </c>
      <c r="D1603" s="19">
        <v>221.72</v>
      </c>
      <c r="E1603" s="19">
        <v>221.93</v>
      </c>
      <c r="F1603" s="19">
        <v>212.85</v>
      </c>
      <c r="G1603" s="19">
        <v>213.89</v>
      </c>
      <c r="H1603" s="19">
        <v>213.89</v>
      </c>
      <c r="I1603" s="15">
        <v>3282917</v>
      </c>
      <c r="J1603" s="19">
        <f t="shared" si="122"/>
        <v>-3.531481147393114</v>
      </c>
      <c r="K1603" s="19">
        <f t="shared" si="123"/>
        <v>229.05150000000003</v>
      </c>
      <c r="L1603" s="19"/>
      <c r="M1603" s="19">
        <f>MAX(G1574:G1603)</f>
        <v>251.87</v>
      </c>
      <c r="N1603" s="19">
        <f t="shared" si="124"/>
        <v>-15.079207527692864</v>
      </c>
      <c r="O1603" s="9" t="str">
        <f t="shared" si="125"/>
        <v>2024-02</v>
      </c>
    </row>
    <row r="1604" spans="1:15" x14ac:dyDescent="0.25">
      <c r="A1604" s="9" t="s">
        <v>316</v>
      </c>
      <c r="B1604" s="9" t="s">
        <v>317</v>
      </c>
      <c r="C1604" s="25" t="s">
        <v>76</v>
      </c>
      <c r="D1604" s="19">
        <v>213.89</v>
      </c>
      <c r="E1604" s="19">
        <v>214.44</v>
      </c>
      <c r="F1604" s="19">
        <v>199.89</v>
      </c>
      <c r="G1604" s="19">
        <v>200.39</v>
      </c>
      <c r="H1604" s="19">
        <v>200.39</v>
      </c>
      <c r="I1604" s="15">
        <v>19719175</v>
      </c>
      <c r="J1604" s="19">
        <f t="shared" si="122"/>
        <v>-6.3116555238674081</v>
      </c>
      <c r="K1604" s="19">
        <f t="shared" si="123"/>
        <v>228.85400000000004</v>
      </c>
      <c r="L1604" s="19"/>
      <c r="M1604" s="19">
        <f>MAX(G1574:G1604)</f>
        <v>251.87</v>
      </c>
      <c r="N1604" s="19">
        <f t="shared" si="124"/>
        <v>-20.439115416683215</v>
      </c>
      <c r="O1604" s="9" t="str">
        <f t="shared" si="125"/>
        <v>2024-02</v>
      </c>
    </row>
    <row r="1605" spans="1:15" x14ac:dyDescent="0.25">
      <c r="A1605" s="9" t="s">
        <v>316</v>
      </c>
      <c r="B1605" s="9" t="s">
        <v>317</v>
      </c>
      <c r="C1605" s="25" t="s">
        <v>77</v>
      </c>
      <c r="D1605" s="19">
        <v>200.39</v>
      </c>
      <c r="E1605" s="19">
        <v>209.65</v>
      </c>
      <c r="F1605" s="19">
        <v>200.19</v>
      </c>
      <c r="G1605" s="19">
        <v>207.97</v>
      </c>
      <c r="H1605" s="19">
        <v>207.97</v>
      </c>
      <c r="I1605" s="15">
        <v>5254106</v>
      </c>
      <c r="J1605" s="19">
        <f t="shared" si="122"/>
        <v>3.7826238834273234</v>
      </c>
      <c r="K1605" s="19">
        <f t="shared" si="123"/>
        <v>229.25950000000003</v>
      </c>
      <c r="L1605" s="19"/>
      <c r="M1605" s="19">
        <f>MAX(G1574:G1605)</f>
        <v>251.87</v>
      </c>
      <c r="N1605" s="19">
        <f t="shared" si="124"/>
        <v>-17.429626394568629</v>
      </c>
      <c r="O1605" s="9" t="str">
        <f t="shared" si="125"/>
        <v>2024-02</v>
      </c>
    </row>
    <row r="1606" spans="1:15" x14ac:dyDescent="0.25">
      <c r="A1606" s="9" t="s">
        <v>316</v>
      </c>
      <c r="B1606" s="9" t="s">
        <v>317</v>
      </c>
      <c r="C1606" s="25" t="s">
        <v>78</v>
      </c>
      <c r="D1606" s="19">
        <v>207.97</v>
      </c>
      <c r="E1606" s="19">
        <v>209.1</v>
      </c>
      <c r="F1606" s="19">
        <v>206.5</v>
      </c>
      <c r="G1606" s="19">
        <v>209.08</v>
      </c>
      <c r="H1606" s="19">
        <v>209.08</v>
      </c>
      <c r="I1606" s="15">
        <v>3409427</v>
      </c>
      <c r="J1606" s="19">
        <f t="shared" si="122"/>
        <v>0.53373082656152981</v>
      </c>
      <c r="K1606" s="19">
        <f t="shared" si="123"/>
        <v>229.10149999999999</v>
      </c>
      <c r="L1606" s="19"/>
      <c r="M1606" s="19">
        <f>MAX(G1574:G1606)</f>
        <v>251.87</v>
      </c>
      <c r="N1606" s="19">
        <f t="shared" si="124"/>
        <v>-16.988922857029419</v>
      </c>
      <c r="O1606" s="9" t="str">
        <f t="shared" si="125"/>
        <v>2024-02</v>
      </c>
    </row>
    <row r="1607" spans="1:15" x14ac:dyDescent="0.25">
      <c r="A1607" s="9" t="s">
        <v>316</v>
      </c>
      <c r="B1607" s="9" t="s">
        <v>317</v>
      </c>
      <c r="C1607" s="25" t="s">
        <v>79</v>
      </c>
      <c r="D1607" s="19">
        <v>209.08</v>
      </c>
      <c r="E1607" s="19">
        <v>209.55</v>
      </c>
      <c r="F1607" s="19">
        <v>198.95</v>
      </c>
      <c r="G1607" s="19">
        <v>199.24</v>
      </c>
      <c r="H1607" s="19">
        <v>199.24</v>
      </c>
      <c r="I1607" s="15">
        <v>1479968</v>
      </c>
      <c r="J1607" s="19">
        <f t="shared" si="122"/>
        <v>-4.7063325043045738</v>
      </c>
      <c r="K1607" s="19">
        <f t="shared" si="123"/>
        <v>228.34849999999997</v>
      </c>
      <c r="L1607" s="19"/>
      <c r="M1607" s="19">
        <f>MAX(G1574:G1607)</f>
        <v>251.87</v>
      </c>
      <c r="N1607" s="19">
        <f t="shared" si="124"/>
        <v>-20.895700162782386</v>
      </c>
      <c r="O1607" s="9" t="str">
        <f t="shared" si="125"/>
        <v>2024-02</v>
      </c>
    </row>
    <row r="1608" spans="1:15" x14ac:dyDescent="0.25">
      <c r="A1608" s="9" t="s">
        <v>316</v>
      </c>
      <c r="B1608" s="9" t="s">
        <v>317</v>
      </c>
      <c r="C1608" s="25" t="s">
        <v>80</v>
      </c>
      <c r="D1608" s="19">
        <v>199.24</v>
      </c>
      <c r="E1608" s="19">
        <v>204.38</v>
      </c>
      <c r="F1608" s="19">
        <v>199.19</v>
      </c>
      <c r="G1608" s="19">
        <v>203.66</v>
      </c>
      <c r="H1608" s="19">
        <v>203.66</v>
      </c>
      <c r="I1608" s="15">
        <v>3216290</v>
      </c>
      <c r="J1608" s="19">
        <f t="shared" si="122"/>
        <v>2.2184300341296863</v>
      </c>
      <c r="K1608" s="19">
        <f t="shared" si="123"/>
        <v>227.54899999999998</v>
      </c>
      <c r="L1608" s="19"/>
      <c r="M1608" s="19">
        <f>MAX(G1574:G1608)</f>
        <v>251.87</v>
      </c>
      <c r="N1608" s="19">
        <f t="shared" si="124"/>
        <v>-19.140826616905549</v>
      </c>
      <c r="O1608" s="9" t="str">
        <f t="shared" si="125"/>
        <v>2024-02</v>
      </c>
    </row>
    <row r="1609" spans="1:15" x14ac:dyDescent="0.25">
      <c r="A1609" s="9" t="s">
        <v>316</v>
      </c>
      <c r="B1609" s="9" t="s">
        <v>317</v>
      </c>
      <c r="C1609" s="25" t="s">
        <v>81</v>
      </c>
      <c r="D1609" s="19">
        <v>203.66</v>
      </c>
      <c r="E1609" s="19">
        <v>213.19</v>
      </c>
      <c r="F1609" s="19">
        <v>202.06</v>
      </c>
      <c r="G1609" s="19">
        <v>212.2</v>
      </c>
      <c r="H1609" s="19">
        <v>212.2</v>
      </c>
      <c r="I1609" s="15">
        <v>4004434</v>
      </c>
      <c r="J1609" s="19">
        <f t="shared" si="122"/>
        <v>4.1932632819404851</v>
      </c>
      <c r="K1609" s="19">
        <f t="shared" si="123"/>
        <v>226.76049999999995</v>
      </c>
      <c r="L1609" s="19"/>
      <c r="M1609" s="19">
        <f>MAX(G1574:G1609)</f>
        <v>251.87</v>
      </c>
      <c r="N1609" s="19">
        <f t="shared" si="124"/>
        <v>-15.750188589351655</v>
      </c>
      <c r="O1609" s="9" t="str">
        <f t="shared" si="125"/>
        <v>2024-02</v>
      </c>
    </row>
    <row r="1610" spans="1:15" x14ac:dyDescent="0.25">
      <c r="A1610" s="9" t="s">
        <v>316</v>
      </c>
      <c r="B1610" s="9" t="s">
        <v>317</v>
      </c>
      <c r="C1610" s="25" t="s">
        <v>82</v>
      </c>
      <c r="D1610" s="19">
        <v>212.2</v>
      </c>
      <c r="E1610" s="19">
        <v>220.96</v>
      </c>
      <c r="F1610" s="19">
        <v>211.86</v>
      </c>
      <c r="G1610" s="19">
        <v>219.78</v>
      </c>
      <c r="H1610" s="19">
        <v>219.78</v>
      </c>
      <c r="I1610" s="15">
        <v>2773631</v>
      </c>
      <c r="J1610" s="19">
        <f t="shared" si="122"/>
        <v>3.5721017907634369</v>
      </c>
      <c r="K1610" s="19">
        <f t="shared" si="123"/>
        <v>226.22899999999996</v>
      </c>
      <c r="L1610" s="19"/>
      <c r="M1610" s="19">
        <f>MAX(G1574:G1610)</f>
        <v>251.87</v>
      </c>
      <c r="N1610" s="19">
        <f t="shared" si="124"/>
        <v>-12.740699567237069</v>
      </c>
      <c r="O1610" s="9" t="str">
        <f t="shared" si="125"/>
        <v>2024-02</v>
      </c>
    </row>
    <row r="1611" spans="1:15" x14ac:dyDescent="0.25">
      <c r="A1611" s="9" t="s">
        <v>316</v>
      </c>
      <c r="B1611" s="9" t="s">
        <v>317</v>
      </c>
      <c r="C1611" s="25" t="s">
        <v>83</v>
      </c>
      <c r="D1611" s="19">
        <v>219.78</v>
      </c>
      <c r="E1611" s="19">
        <v>220.1</v>
      </c>
      <c r="F1611" s="19">
        <v>208.89</v>
      </c>
      <c r="G1611" s="19">
        <v>210.57</v>
      </c>
      <c r="H1611" s="19">
        <v>210.57</v>
      </c>
      <c r="I1611" s="15">
        <v>3362834</v>
      </c>
      <c r="J1611" s="19">
        <f t="shared" si="122"/>
        <v>-4.1905541905541943</v>
      </c>
      <c r="K1611" s="19">
        <f t="shared" si="123"/>
        <v>224.91749999999993</v>
      </c>
      <c r="L1611" s="19"/>
      <c r="M1611" s="19">
        <f>MAX(G1574:G1611)</f>
        <v>251.87</v>
      </c>
      <c r="N1611" s="19">
        <f t="shared" si="124"/>
        <v>-16.397347838170489</v>
      </c>
      <c r="O1611" s="9" t="str">
        <f t="shared" si="125"/>
        <v>2024-02</v>
      </c>
    </row>
    <row r="1612" spans="1:15" x14ac:dyDescent="0.25">
      <c r="A1612" s="9" t="s">
        <v>316</v>
      </c>
      <c r="B1612" s="9" t="s">
        <v>317</v>
      </c>
      <c r="C1612" s="25" t="s">
        <v>84</v>
      </c>
      <c r="D1612" s="19">
        <v>210.57</v>
      </c>
      <c r="E1612" s="19">
        <v>210.85</v>
      </c>
      <c r="F1612" s="19">
        <v>207.72</v>
      </c>
      <c r="G1612" s="19">
        <v>208.16</v>
      </c>
      <c r="H1612" s="19">
        <v>208.16</v>
      </c>
      <c r="I1612" s="15">
        <v>5597040</v>
      </c>
      <c r="J1612" s="19">
        <f t="shared" si="122"/>
        <v>-1.1445125136534153</v>
      </c>
      <c r="K1612" s="19">
        <f t="shared" si="123"/>
        <v>222.73199999999997</v>
      </c>
      <c r="L1612" s="19"/>
      <c r="M1612" s="19">
        <f>MAX(G1574:G1612)</f>
        <v>251.87</v>
      </c>
      <c r="N1612" s="19">
        <f t="shared" si="124"/>
        <v>-17.354190653908766</v>
      </c>
      <c r="O1612" s="9" t="str">
        <f t="shared" si="125"/>
        <v>2024-02</v>
      </c>
    </row>
    <row r="1613" spans="1:15" x14ac:dyDescent="0.25">
      <c r="A1613" s="9" t="s">
        <v>316</v>
      </c>
      <c r="B1613" s="9" t="s">
        <v>317</v>
      </c>
      <c r="C1613" s="25" t="s">
        <v>85</v>
      </c>
      <c r="D1613" s="19">
        <v>208.16</v>
      </c>
      <c r="E1613" s="19">
        <v>214.82</v>
      </c>
      <c r="F1613" s="19">
        <v>208.12</v>
      </c>
      <c r="G1613" s="19">
        <v>214.39</v>
      </c>
      <c r="H1613" s="19">
        <v>214.39</v>
      </c>
      <c r="I1613" s="15">
        <v>4669767</v>
      </c>
      <c r="J1613" s="19">
        <f t="shared" si="122"/>
        <v>2.992890084550341</v>
      </c>
      <c r="K1613" s="19">
        <f t="shared" si="123"/>
        <v>221.01749999999998</v>
      </c>
      <c r="L1613" s="19"/>
      <c r="M1613" s="19">
        <f>MAX(G1574:G1613)</f>
        <v>251.87</v>
      </c>
      <c r="N1613" s="19">
        <f t="shared" si="124"/>
        <v>-14.880692420693222</v>
      </c>
      <c r="O1613" s="9" t="str">
        <f t="shared" si="125"/>
        <v>2024-02</v>
      </c>
    </row>
    <row r="1614" spans="1:15" x14ac:dyDescent="0.25">
      <c r="A1614" s="9" t="s">
        <v>316</v>
      </c>
      <c r="B1614" s="9" t="s">
        <v>317</v>
      </c>
      <c r="C1614" s="25" t="s">
        <v>86</v>
      </c>
      <c r="D1614" s="19">
        <v>214.39</v>
      </c>
      <c r="E1614" s="19">
        <v>214.64</v>
      </c>
      <c r="F1614" s="19">
        <v>194.18</v>
      </c>
      <c r="G1614" s="19">
        <v>195.47</v>
      </c>
      <c r="H1614" s="19">
        <v>195.47</v>
      </c>
      <c r="I1614" s="15">
        <v>17854929</v>
      </c>
      <c r="J1614" s="19">
        <f t="shared" si="122"/>
        <v>-8.8250384812724416</v>
      </c>
      <c r="K1614" s="19">
        <f t="shared" si="123"/>
        <v>218.25650000000002</v>
      </c>
      <c r="L1614" s="19"/>
      <c r="M1614" s="19">
        <f>MAX(G1574:G1614)</f>
        <v>251.87</v>
      </c>
      <c r="N1614" s="19">
        <f t="shared" si="124"/>
        <v>-22.392504069559696</v>
      </c>
      <c r="O1614" s="9" t="str">
        <f t="shared" si="125"/>
        <v>2024-02</v>
      </c>
    </row>
    <row r="1615" spans="1:15" x14ac:dyDescent="0.25">
      <c r="A1615" s="9" t="s">
        <v>316</v>
      </c>
      <c r="B1615" s="9" t="s">
        <v>317</v>
      </c>
      <c r="C1615" s="25" t="s">
        <v>87</v>
      </c>
      <c r="D1615" s="19">
        <v>195.47</v>
      </c>
      <c r="E1615" s="19">
        <v>208.85</v>
      </c>
      <c r="F1615" s="19">
        <v>194.84</v>
      </c>
      <c r="G1615" s="19">
        <v>207.54</v>
      </c>
      <c r="H1615" s="19">
        <v>207.54</v>
      </c>
      <c r="I1615" s="15">
        <v>12280144</v>
      </c>
      <c r="J1615" s="19">
        <f t="shared" si="122"/>
        <v>6.1748605924182707</v>
      </c>
      <c r="K1615" s="19">
        <f t="shared" si="123"/>
        <v>216.38399999999996</v>
      </c>
      <c r="L1615" s="19"/>
      <c r="M1615" s="19">
        <f>MAX(G1574:G1615)</f>
        <v>251.87</v>
      </c>
      <c r="N1615" s="19">
        <f t="shared" si="124"/>
        <v>-17.600349386588324</v>
      </c>
      <c r="O1615" s="9" t="str">
        <f t="shared" si="125"/>
        <v>2024-02</v>
      </c>
    </row>
    <row r="1616" spans="1:15" x14ac:dyDescent="0.25">
      <c r="A1616" s="9" t="s">
        <v>316</v>
      </c>
      <c r="B1616" s="9" t="s">
        <v>317</v>
      </c>
      <c r="C1616" s="25" t="s">
        <v>88</v>
      </c>
      <c r="D1616" s="19">
        <v>207.54</v>
      </c>
      <c r="E1616" s="19">
        <v>208.06</v>
      </c>
      <c r="F1616" s="19">
        <v>199.26</v>
      </c>
      <c r="G1616" s="19">
        <v>199.39</v>
      </c>
      <c r="H1616" s="19">
        <v>199.39</v>
      </c>
      <c r="I1616" s="15">
        <v>4254254</v>
      </c>
      <c r="J1616" s="19">
        <f t="shared" si="122"/>
        <v>-3.9269538402235744</v>
      </c>
      <c r="K1616" s="19">
        <f t="shared" si="123"/>
        <v>214.70999999999998</v>
      </c>
      <c r="L1616" s="19"/>
      <c r="M1616" s="19">
        <f>MAX(G1574:G1616)</f>
        <v>251.87</v>
      </c>
      <c r="N1616" s="19">
        <f t="shared" si="124"/>
        <v>-20.836145630682502</v>
      </c>
      <c r="O1616" s="9" t="str">
        <f t="shared" si="125"/>
        <v>2024-02</v>
      </c>
    </row>
    <row r="1617" spans="1:15" x14ac:dyDescent="0.25">
      <c r="A1617" s="9" t="s">
        <v>316</v>
      </c>
      <c r="B1617" s="9" t="s">
        <v>317</v>
      </c>
      <c r="C1617" s="25" t="s">
        <v>89</v>
      </c>
      <c r="D1617" s="19">
        <v>199.39</v>
      </c>
      <c r="E1617" s="19">
        <v>200.18</v>
      </c>
      <c r="F1617" s="19">
        <v>193</v>
      </c>
      <c r="G1617" s="19">
        <v>193.2</v>
      </c>
      <c r="H1617" s="19">
        <v>193.2</v>
      </c>
      <c r="I1617" s="15">
        <v>4984412</v>
      </c>
      <c r="J1617" s="19">
        <f t="shared" si="122"/>
        <v>-3.1044686293194235</v>
      </c>
      <c r="K1617" s="19">
        <f t="shared" si="123"/>
        <v>212.53399999999996</v>
      </c>
      <c r="L1617" s="19"/>
      <c r="M1617" s="19">
        <f>MAX(G1574:G1617)</f>
        <v>251.87</v>
      </c>
      <c r="N1617" s="19">
        <f t="shared" si="124"/>
        <v>-23.293762655338078</v>
      </c>
      <c r="O1617" s="9" t="str">
        <f t="shared" si="125"/>
        <v>2024-02</v>
      </c>
    </row>
    <row r="1618" spans="1:15" x14ac:dyDescent="0.25">
      <c r="A1618" s="9" t="s">
        <v>316</v>
      </c>
      <c r="B1618" s="9" t="s">
        <v>317</v>
      </c>
      <c r="C1618" s="25" t="s">
        <v>90</v>
      </c>
      <c r="D1618" s="19">
        <v>193.2</v>
      </c>
      <c r="E1618" s="19">
        <v>193.55</v>
      </c>
      <c r="F1618" s="19">
        <v>192.89</v>
      </c>
      <c r="G1618" s="19">
        <v>193.03</v>
      </c>
      <c r="H1618" s="19">
        <v>193.03</v>
      </c>
      <c r="I1618" s="15">
        <v>3418445</v>
      </c>
      <c r="J1618" s="19">
        <f t="shared" si="122"/>
        <v>-8.7991718426494572E-2</v>
      </c>
      <c r="K1618" s="19">
        <f t="shared" si="123"/>
        <v>210.05099999999999</v>
      </c>
      <c r="L1618" s="19"/>
      <c r="M1618" s="19">
        <f>MAX(G1574:G1618)</f>
        <v>251.87</v>
      </c>
      <c r="N1618" s="19">
        <f t="shared" si="124"/>
        <v>-23.36125779171795</v>
      </c>
      <c r="O1618" s="9" t="str">
        <f t="shared" si="125"/>
        <v>2024-03</v>
      </c>
    </row>
    <row r="1619" spans="1:15" x14ac:dyDescent="0.25">
      <c r="A1619" s="9" t="s">
        <v>316</v>
      </c>
      <c r="B1619" s="9" t="s">
        <v>317</v>
      </c>
      <c r="C1619" s="25" t="s">
        <v>91</v>
      </c>
      <c r="D1619" s="19">
        <v>193.03</v>
      </c>
      <c r="E1619" s="19">
        <v>195.65</v>
      </c>
      <c r="F1619" s="19">
        <v>192.87</v>
      </c>
      <c r="G1619" s="19">
        <v>195.41</v>
      </c>
      <c r="H1619" s="19">
        <v>195.41</v>
      </c>
      <c r="I1619" s="15">
        <v>3104105</v>
      </c>
      <c r="J1619" s="19">
        <f t="shared" si="122"/>
        <v>1.2329689685541083</v>
      </c>
      <c r="K1619" s="19">
        <f t="shared" si="123"/>
        <v>208.11149999999998</v>
      </c>
      <c r="L1619" s="19"/>
      <c r="M1619" s="19">
        <f>MAX(G1574:G1619)</f>
        <v>251.87</v>
      </c>
      <c r="N1619" s="19">
        <f t="shared" si="124"/>
        <v>-22.416325882399654</v>
      </c>
      <c r="O1619" s="9" t="str">
        <f t="shared" si="125"/>
        <v>2024-03</v>
      </c>
    </row>
    <row r="1620" spans="1:15" x14ac:dyDescent="0.25">
      <c r="A1620" s="9" t="s">
        <v>316</v>
      </c>
      <c r="B1620" s="9" t="s">
        <v>317</v>
      </c>
      <c r="C1620" s="25" t="s">
        <v>92</v>
      </c>
      <c r="D1620" s="19">
        <v>195.41</v>
      </c>
      <c r="E1620" s="19">
        <v>196.62</v>
      </c>
      <c r="F1620" s="19">
        <v>192.93</v>
      </c>
      <c r="G1620" s="19">
        <v>194.26</v>
      </c>
      <c r="H1620" s="19">
        <v>194.26</v>
      </c>
      <c r="I1620" s="15">
        <v>3444621</v>
      </c>
      <c r="J1620" s="19">
        <f t="shared" si="122"/>
        <v>-0.58850621769612899</v>
      </c>
      <c r="K1620" s="19">
        <f t="shared" si="123"/>
        <v>206.33149999999995</v>
      </c>
      <c r="L1620" s="19"/>
      <c r="M1620" s="19">
        <f>MAX(G1574:G1620)</f>
        <v>251.87</v>
      </c>
      <c r="N1620" s="19">
        <f t="shared" si="124"/>
        <v>-22.872910628498833</v>
      </c>
      <c r="O1620" s="9" t="str">
        <f t="shared" si="125"/>
        <v>2024-03</v>
      </c>
    </row>
    <row r="1621" spans="1:15" x14ac:dyDescent="0.25">
      <c r="A1621" s="9" t="s">
        <v>316</v>
      </c>
      <c r="B1621" s="9" t="s">
        <v>317</v>
      </c>
      <c r="C1621" s="25" t="s">
        <v>93</v>
      </c>
      <c r="D1621" s="19">
        <v>194.26</v>
      </c>
      <c r="E1621" s="19">
        <v>195.07</v>
      </c>
      <c r="F1621" s="19">
        <v>189.78</v>
      </c>
      <c r="G1621" s="19">
        <v>190.15</v>
      </c>
      <c r="H1621" s="19">
        <v>190.15</v>
      </c>
      <c r="I1621" s="15">
        <v>3577694</v>
      </c>
      <c r="J1621" s="19">
        <f t="shared" si="122"/>
        <v>-2.1157211983938975</v>
      </c>
      <c r="K1621" s="19">
        <f t="shared" si="123"/>
        <v>204.47499999999997</v>
      </c>
      <c r="L1621" s="19"/>
      <c r="M1621" s="19">
        <f>MAX(G1574:G1621)</f>
        <v>251.87</v>
      </c>
      <c r="N1621" s="19">
        <f t="shared" si="124"/>
        <v>-24.504704808035889</v>
      </c>
      <c r="O1621" s="9" t="str">
        <f t="shared" si="125"/>
        <v>2024-03</v>
      </c>
    </row>
    <row r="1622" spans="1:15" x14ac:dyDescent="0.25">
      <c r="A1622" s="9" t="s">
        <v>316</v>
      </c>
      <c r="B1622" s="9" t="s">
        <v>317</v>
      </c>
      <c r="C1622" s="25" t="s">
        <v>94</v>
      </c>
      <c r="D1622" s="19">
        <v>190.15</v>
      </c>
      <c r="E1622" s="19">
        <v>191.13</v>
      </c>
      <c r="F1622" s="19">
        <v>184.8</v>
      </c>
      <c r="G1622" s="19">
        <v>185.08</v>
      </c>
      <c r="H1622" s="19">
        <v>185.08</v>
      </c>
      <c r="I1622" s="15">
        <v>4398478</v>
      </c>
      <c r="J1622" s="19">
        <f t="shared" si="122"/>
        <v>-2.6663160662634726</v>
      </c>
      <c r="K1622" s="19">
        <f t="shared" si="123"/>
        <v>202.64299999999997</v>
      </c>
      <c r="L1622" s="19"/>
      <c r="M1622" s="19">
        <f>MAX(G1574:G1622)</f>
        <v>251.87</v>
      </c>
      <c r="N1622" s="19">
        <f t="shared" si="124"/>
        <v>-26.517647993012268</v>
      </c>
      <c r="O1622" s="9" t="str">
        <f t="shared" si="125"/>
        <v>2024-03</v>
      </c>
    </row>
    <row r="1623" spans="1:15" x14ac:dyDescent="0.25">
      <c r="A1623" s="9" t="s">
        <v>316</v>
      </c>
      <c r="B1623" s="9" t="s">
        <v>317</v>
      </c>
      <c r="C1623" s="25" t="s">
        <v>95</v>
      </c>
      <c r="D1623" s="19">
        <v>185.08</v>
      </c>
      <c r="E1623" s="19">
        <v>191.14</v>
      </c>
      <c r="F1623" s="19">
        <v>185.06</v>
      </c>
      <c r="G1623" s="19">
        <v>190.85</v>
      </c>
      <c r="H1623" s="19">
        <v>190.85</v>
      </c>
      <c r="I1623" s="15">
        <v>2981885</v>
      </c>
      <c r="J1623" s="19">
        <f t="shared" si="122"/>
        <v>3.1175707802031454</v>
      </c>
      <c r="K1623" s="19">
        <f t="shared" si="123"/>
        <v>201.49099999999999</v>
      </c>
      <c r="L1623" s="19">
        <f t="shared" ref="L1623:L1686" si="126">AVERAGE(G1574:G1623)</f>
        <v>213.15360000000001</v>
      </c>
      <c r="M1623" s="19">
        <f>MAX(G1574:G1623)</f>
        <v>251.87</v>
      </c>
      <c r="N1623" s="19">
        <f t="shared" si="124"/>
        <v>-24.226783658236396</v>
      </c>
      <c r="O1623" s="9" t="str">
        <f t="shared" si="125"/>
        <v>2024-03</v>
      </c>
    </row>
    <row r="1624" spans="1:15" x14ac:dyDescent="0.25">
      <c r="A1624" s="9" t="s">
        <v>316</v>
      </c>
      <c r="B1624" s="9" t="s">
        <v>317</v>
      </c>
      <c r="C1624" s="25" t="s">
        <v>96</v>
      </c>
      <c r="D1624" s="19">
        <v>190.85</v>
      </c>
      <c r="E1624" s="19">
        <v>196.12</v>
      </c>
      <c r="F1624" s="19">
        <v>190.66</v>
      </c>
      <c r="G1624" s="19">
        <v>194.73</v>
      </c>
      <c r="H1624" s="19">
        <v>194.73</v>
      </c>
      <c r="I1624" s="15">
        <v>2724378</v>
      </c>
      <c r="J1624" s="19">
        <f t="shared" si="122"/>
        <v>2.0330102174482558</v>
      </c>
      <c r="K1624" s="19">
        <f t="shared" si="123"/>
        <v>201.20799999999997</v>
      </c>
      <c r="L1624" s="19">
        <f t="shared" si="126"/>
        <v>212.51319999999998</v>
      </c>
      <c r="M1624" s="19">
        <f>MAX(G1574:G1624)</f>
        <v>251.87</v>
      </c>
      <c r="N1624" s="19">
        <f t="shared" si="124"/>
        <v>-22.68630642791917</v>
      </c>
      <c r="O1624" s="9" t="str">
        <f t="shared" si="125"/>
        <v>2024-03</v>
      </c>
    </row>
    <row r="1625" spans="1:15" x14ac:dyDescent="0.25">
      <c r="A1625" s="9" t="s">
        <v>316</v>
      </c>
      <c r="B1625" s="9" t="s">
        <v>317</v>
      </c>
      <c r="C1625" s="25" t="s">
        <v>97</v>
      </c>
      <c r="D1625" s="19">
        <v>194.73</v>
      </c>
      <c r="E1625" s="19">
        <v>194.74</v>
      </c>
      <c r="F1625" s="19">
        <v>186.77</v>
      </c>
      <c r="G1625" s="19">
        <v>186.84</v>
      </c>
      <c r="H1625" s="19">
        <v>186.84</v>
      </c>
      <c r="I1625" s="15">
        <v>1868504</v>
      </c>
      <c r="J1625" s="19">
        <f t="shared" si="122"/>
        <v>-4.0517639808966193</v>
      </c>
      <c r="K1625" s="19">
        <f t="shared" si="123"/>
        <v>200.1515</v>
      </c>
      <c r="L1625" s="19">
        <f t="shared" si="126"/>
        <v>212.13199999999998</v>
      </c>
      <c r="M1625" s="19">
        <f>MAX(G1574:G1625)</f>
        <v>251.87</v>
      </c>
      <c r="N1625" s="19">
        <f t="shared" si="124"/>
        <v>-25.818874816373526</v>
      </c>
      <c r="O1625" s="9" t="str">
        <f t="shared" si="125"/>
        <v>2024-03</v>
      </c>
    </row>
    <row r="1626" spans="1:15" x14ac:dyDescent="0.25">
      <c r="A1626" s="9" t="s">
        <v>316</v>
      </c>
      <c r="B1626" s="9" t="s">
        <v>317</v>
      </c>
      <c r="C1626" s="25" t="s">
        <v>98</v>
      </c>
      <c r="D1626" s="19">
        <v>186.84</v>
      </c>
      <c r="E1626" s="19">
        <v>187.47</v>
      </c>
      <c r="F1626" s="19">
        <v>185.49</v>
      </c>
      <c r="G1626" s="19">
        <v>186.37</v>
      </c>
      <c r="H1626" s="19">
        <v>186.37</v>
      </c>
      <c r="I1626" s="15">
        <v>1213652</v>
      </c>
      <c r="J1626" s="19">
        <f t="shared" si="122"/>
        <v>-0.25155213016484634</v>
      </c>
      <c r="K1626" s="19">
        <f t="shared" si="123"/>
        <v>199.01600000000002</v>
      </c>
      <c r="L1626" s="19">
        <f t="shared" si="126"/>
        <v>211.87360000000001</v>
      </c>
      <c r="M1626" s="19">
        <f>MAX(G1574:G1626)</f>
        <v>251.87</v>
      </c>
      <c r="N1626" s="19">
        <f t="shared" si="124"/>
        <v>-26.005479016953192</v>
      </c>
      <c r="O1626" s="9" t="str">
        <f t="shared" si="125"/>
        <v>2024-03</v>
      </c>
    </row>
    <row r="1627" spans="1:15" x14ac:dyDescent="0.25">
      <c r="A1627" s="9" t="s">
        <v>316</v>
      </c>
      <c r="B1627" s="9" t="s">
        <v>317</v>
      </c>
      <c r="C1627" s="25" t="s">
        <v>99</v>
      </c>
      <c r="D1627" s="19">
        <v>186.37</v>
      </c>
      <c r="E1627" s="19">
        <v>191.21</v>
      </c>
      <c r="F1627" s="19">
        <v>186.01</v>
      </c>
      <c r="G1627" s="19">
        <v>189.96</v>
      </c>
      <c r="H1627" s="19">
        <v>189.96</v>
      </c>
      <c r="I1627" s="15">
        <v>4442479</v>
      </c>
      <c r="J1627" s="19">
        <f t="shared" si="122"/>
        <v>1.926275688147236</v>
      </c>
      <c r="K1627" s="19">
        <f t="shared" si="123"/>
        <v>198.55200000000002</v>
      </c>
      <c r="L1627" s="19">
        <f t="shared" si="126"/>
        <v>211.7518</v>
      </c>
      <c r="M1627" s="19">
        <f>MAX(G1574:G1627)</f>
        <v>251.87</v>
      </c>
      <c r="N1627" s="19">
        <f t="shared" si="124"/>
        <v>-24.580140548695752</v>
      </c>
      <c r="O1627" s="9" t="str">
        <f t="shared" si="125"/>
        <v>2024-03</v>
      </c>
    </row>
    <row r="1628" spans="1:15" x14ac:dyDescent="0.25">
      <c r="A1628" s="9" t="s">
        <v>316</v>
      </c>
      <c r="B1628" s="9" t="s">
        <v>317</v>
      </c>
      <c r="C1628" s="25" t="s">
        <v>100</v>
      </c>
      <c r="D1628" s="19">
        <v>189.96</v>
      </c>
      <c r="E1628" s="19">
        <v>194.12</v>
      </c>
      <c r="F1628" s="19">
        <v>189.06</v>
      </c>
      <c r="G1628" s="19">
        <v>192.64</v>
      </c>
      <c r="H1628" s="19">
        <v>192.64</v>
      </c>
      <c r="I1628" s="15">
        <v>3400738</v>
      </c>
      <c r="J1628" s="19">
        <f t="shared" si="122"/>
        <v>1.4108233312276155</v>
      </c>
      <c r="K1628" s="19">
        <f t="shared" si="123"/>
        <v>198.00099999999998</v>
      </c>
      <c r="L1628" s="19">
        <f t="shared" si="126"/>
        <v>211.7234</v>
      </c>
      <c r="M1628" s="19">
        <f>MAX(G1574:G1628)</f>
        <v>251.87</v>
      </c>
      <c r="N1628" s="19">
        <f t="shared" si="124"/>
        <v>-23.51609957517768</v>
      </c>
      <c r="O1628" s="9" t="str">
        <f t="shared" si="125"/>
        <v>2024-03</v>
      </c>
    </row>
    <row r="1629" spans="1:15" x14ac:dyDescent="0.25">
      <c r="A1629" s="9" t="s">
        <v>316</v>
      </c>
      <c r="B1629" s="9" t="s">
        <v>317</v>
      </c>
      <c r="C1629" s="25" t="s">
        <v>101</v>
      </c>
      <c r="D1629" s="19">
        <v>192.64</v>
      </c>
      <c r="E1629" s="19">
        <v>204.24</v>
      </c>
      <c r="F1629" s="19">
        <v>191.68</v>
      </c>
      <c r="G1629" s="19">
        <v>204.18</v>
      </c>
      <c r="H1629" s="19">
        <v>204.18</v>
      </c>
      <c r="I1629" s="15">
        <v>10688639</v>
      </c>
      <c r="J1629" s="19">
        <f t="shared" si="122"/>
        <v>5.9904485049833998</v>
      </c>
      <c r="K1629" s="19">
        <f t="shared" si="123"/>
        <v>197.59999999999997</v>
      </c>
      <c r="L1629" s="19">
        <f t="shared" si="126"/>
        <v>211.64919999999998</v>
      </c>
      <c r="M1629" s="19">
        <f>MAX(G1574:G1629)</f>
        <v>251.87</v>
      </c>
      <c r="N1629" s="19">
        <f t="shared" si="124"/>
        <v>-18.934370905625915</v>
      </c>
      <c r="O1629" s="9" t="str">
        <f t="shared" si="125"/>
        <v>2024-03</v>
      </c>
    </row>
    <row r="1630" spans="1:15" x14ac:dyDescent="0.25">
      <c r="A1630" s="9" t="s">
        <v>316</v>
      </c>
      <c r="B1630" s="9" t="s">
        <v>317</v>
      </c>
      <c r="C1630" s="25" t="s">
        <v>102</v>
      </c>
      <c r="D1630" s="19">
        <v>204.18</v>
      </c>
      <c r="E1630" s="19">
        <v>205.04</v>
      </c>
      <c r="F1630" s="19">
        <v>201.02</v>
      </c>
      <c r="G1630" s="19">
        <v>202.29</v>
      </c>
      <c r="H1630" s="19">
        <v>202.29</v>
      </c>
      <c r="I1630" s="15">
        <v>3671208</v>
      </c>
      <c r="J1630" s="19">
        <f t="shared" si="122"/>
        <v>-0.92565383485160879</v>
      </c>
      <c r="K1630" s="19">
        <f t="shared" si="123"/>
        <v>196.72549999999998</v>
      </c>
      <c r="L1630" s="19">
        <f t="shared" si="126"/>
        <v>211.48320000000001</v>
      </c>
      <c r="M1630" s="19">
        <f>MAX(G1574:G1630)</f>
        <v>251.87</v>
      </c>
      <c r="N1630" s="19">
        <f t="shared" si="124"/>
        <v>-19.684758010084572</v>
      </c>
      <c r="O1630" s="9" t="str">
        <f t="shared" si="125"/>
        <v>2024-03</v>
      </c>
    </row>
    <row r="1631" spans="1:15" x14ac:dyDescent="0.25">
      <c r="A1631" s="9" t="s">
        <v>316</v>
      </c>
      <c r="B1631" s="9" t="s">
        <v>317</v>
      </c>
      <c r="C1631" s="25" t="s">
        <v>103</v>
      </c>
      <c r="D1631" s="19">
        <v>202.29</v>
      </c>
      <c r="E1631" s="19">
        <v>202.53</v>
      </c>
      <c r="F1631" s="19">
        <v>200.41</v>
      </c>
      <c r="G1631" s="19">
        <v>200.62</v>
      </c>
      <c r="H1631" s="19">
        <v>200.62</v>
      </c>
      <c r="I1631" s="15">
        <v>2493870</v>
      </c>
      <c r="J1631" s="19">
        <f t="shared" si="122"/>
        <v>-0.82554748133866607</v>
      </c>
      <c r="K1631" s="19">
        <f t="shared" si="123"/>
        <v>196.22799999999998</v>
      </c>
      <c r="L1631" s="19">
        <f t="shared" si="126"/>
        <v>211.477</v>
      </c>
      <c r="M1631" s="19">
        <f>MAX(G1574:G1631)</f>
        <v>251.87</v>
      </c>
      <c r="N1631" s="19">
        <f t="shared" si="124"/>
        <v>-20.347798467463374</v>
      </c>
      <c r="O1631" s="9" t="str">
        <f t="shared" si="125"/>
        <v>2024-03</v>
      </c>
    </row>
    <row r="1632" spans="1:15" x14ac:dyDescent="0.25">
      <c r="A1632" s="9" t="s">
        <v>316</v>
      </c>
      <c r="B1632" s="9" t="s">
        <v>317</v>
      </c>
      <c r="C1632" s="25" t="s">
        <v>104</v>
      </c>
      <c r="D1632" s="19">
        <v>200.62</v>
      </c>
      <c r="E1632" s="19">
        <v>202.78</v>
      </c>
      <c r="F1632" s="19">
        <v>197.98</v>
      </c>
      <c r="G1632" s="19">
        <v>198.22</v>
      </c>
      <c r="H1632" s="19">
        <v>198.22</v>
      </c>
      <c r="I1632" s="15">
        <v>2180028</v>
      </c>
      <c r="J1632" s="19">
        <f t="shared" si="122"/>
        <v>-1.1962914963612827</v>
      </c>
      <c r="K1632" s="19">
        <f t="shared" si="123"/>
        <v>195.73099999999997</v>
      </c>
      <c r="L1632" s="19">
        <f t="shared" si="126"/>
        <v>211.44759999999999</v>
      </c>
      <c r="M1632" s="19">
        <f>MAX(G1574:G1632)</f>
        <v>251.87</v>
      </c>
      <c r="N1632" s="19">
        <f t="shared" si="124"/>
        <v>-21.300670981061661</v>
      </c>
      <c r="O1632" s="9" t="str">
        <f t="shared" si="125"/>
        <v>2024-03</v>
      </c>
    </row>
    <row r="1633" spans="1:15" x14ac:dyDescent="0.25">
      <c r="A1633" s="9" t="s">
        <v>316</v>
      </c>
      <c r="B1633" s="9" t="s">
        <v>317</v>
      </c>
      <c r="C1633" s="25" t="s">
        <v>105</v>
      </c>
      <c r="D1633" s="19">
        <v>198.22</v>
      </c>
      <c r="E1633" s="19">
        <v>209.5</v>
      </c>
      <c r="F1633" s="19">
        <v>197.19</v>
      </c>
      <c r="G1633" s="19">
        <v>208.52</v>
      </c>
      <c r="H1633" s="19">
        <v>208.52</v>
      </c>
      <c r="I1633" s="15">
        <v>11121696</v>
      </c>
      <c r="J1633" s="19">
        <f t="shared" si="122"/>
        <v>5.1962465946927718</v>
      </c>
      <c r="K1633" s="19">
        <f t="shared" si="123"/>
        <v>195.43749999999994</v>
      </c>
      <c r="L1633" s="19">
        <f t="shared" si="126"/>
        <v>211.50440000000003</v>
      </c>
      <c r="M1633" s="19">
        <f>MAX(G1574:G1633)</f>
        <v>251.87</v>
      </c>
      <c r="N1633" s="19">
        <f t="shared" si="124"/>
        <v>-17.211259776869017</v>
      </c>
      <c r="O1633" s="9" t="str">
        <f t="shared" si="125"/>
        <v>2024-03</v>
      </c>
    </row>
    <row r="1634" spans="1:15" x14ac:dyDescent="0.25">
      <c r="A1634" s="9" t="s">
        <v>316</v>
      </c>
      <c r="B1634" s="9" t="s">
        <v>317</v>
      </c>
      <c r="C1634" s="25" t="s">
        <v>106</v>
      </c>
      <c r="D1634" s="19">
        <v>208.52</v>
      </c>
      <c r="E1634" s="19">
        <v>208.97</v>
      </c>
      <c r="F1634" s="19">
        <v>203.84</v>
      </c>
      <c r="G1634" s="19">
        <v>204.15</v>
      </c>
      <c r="H1634" s="19">
        <v>204.15</v>
      </c>
      <c r="I1634" s="15">
        <v>3770990</v>
      </c>
      <c r="J1634" s="19">
        <f t="shared" si="122"/>
        <v>-2.0957222328793419</v>
      </c>
      <c r="K1634" s="19">
        <f t="shared" si="123"/>
        <v>195.87149999999997</v>
      </c>
      <c r="L1634" s="19">
        <f t="shared" si="126"/>
        <v>211.50060000000002</v>
      </c>
      <c r="M1634" s="19">
        <f>MAX(G1574:G1634)</f>
        <v>251.87</v>
      </c>
      <c r="N1634" s="19">
        <f t="shared" si="124"/>
        <v>-18.946281812045896</v>
      </c>
      <c r="O1634" s="9" t="str">
        <f t="shared" si="125"/>
        <v>2024-03</v>
      </c>
    </row>
    <row r="1635" spans="1:15" x14ac:dyDescent="0.25">
      <c r="A1635" s="9" t="s">
        <v>316</v>
      </c>
      <c r="B1635" s="9" t="s">
        <v>317</v>
      </c>
      <c r="C1635" s="25" t="s">
        <v>107</v>
      </c>
      <c r="D1635" s="19">
        <v>204.15</v>
      </c>
      <c r="E1635" s="19">
        <v>205.06</v>
      </c>
      <c r="F1635" s="19">
        <v>203.16</v>
      </c>
      <c r="G1635" s="19">
        <v>204.69</v>
      </c>
      <c r="H1635" s="19">
        <v>204.69</v>
      </c>
      <c r="I1635" s="15">
        <v>3384164</v>
      </c>
      <c r="J1635" s="19">
        <f t="shared" si="122"/>
        <v>0.26451138868478669</v>
      </c>
      <c r="K1635" s="19">
        <f t="shared" si="123"/>
        <v>195.72899999999998</v>
      </c>
      <c r="L1635" s="19">
        <f t="shared" si="126"/>
        <v>211.59720000000002</v>
      </c>
      <c r="M1635" s="19">
        <f>MAX(G1574:G1635)</f>
        <v>251.87</v>
      </c>
      <c r="N1635" s="19">
        <f t="shared" si="124"/>
        <v>-18.731885496486285</v>
      </c>
      <c r="O1635" s="9" t="str">
        <f t="shared" si="125"/>
        <v>2024-03</v>
      </c>
    </row>
    <row r="1636" spans="1:15" x14ac:dyDescent="0.25">
      <c r="A1636" s="9" t="s">
        <v>316</v>
      </c>
      <c r="B1636" s="9" t="s">
        <v>317</v>
      </c>
      <c r="C1636" s="25" t="s">
        <v>108</v>
      </c>
      <c r="D1636" s="19">
        <v>204.69</v>
      </c>
      <c r="E1636" s="19">
        <v>204.88</v>
      </c>
      <c r="F1636" s="19">
        <v>199.29</v>
      </c>
      <c r="G1636" s="19">
        <v>199.61</v>
      </c>
      <c r="H1636" s="19">
        <v>199.61</v>
      </c>
      <c r="I1636" s="15">
        <v>4561978</v>
      </c>
      <c r="J1636" s="19">
        <f t="shared" si="122"/>
        <v>-2.481801748986264</v>
      </c>
      <c r="K1636" s="19">
        <f t="shared" si="123"/>
        <v>195.73999999999995</v>
      </c>
      <c r="L1636" s="19">
        <f t="shared" si="126"/>
        <v>211.34459999999999</v>
      </c>
      <c r="M1636" s="19">
        <f>MAX(G1574:G1636)</f>
        <v>251.87</v>
      </c>
      <c r="N1636" s="19">
        <f t="shared" si="124"/>
        <v>-20.748798983602647</v>
      </c>
      <c r="O1636" s="9" t="str">
        <f t="shared" si="125"/>
        <v>2024-03</v>
      </c>
    </row>
    <row r="1637" spans="1:15" x14ac:dyDescent="0.25">
      <c r="A1637" s="9" t="s">
        <v>316</v>
      </c>
      <c r="B1637" s="9" t="s">
        <v>317</v>
      </c>
      <c r="C1637" s="25" t="s">
        <v>109</v>
      </c>
      <c r="D1637" s="19">
        <v>199.61</v>
      </c>
      <c r="E1637" s="19">
        <v>204.1</v>
      </c>
      <c r="F1637" s="19">
        <v>199.29</v>
      </c>
      <c r="G1637" s="19">
        <v>203.3</v>
      </c>
      <c r="H1637" s="19">
        <v>203.3</v>
      </c>
      <c r="I1637" s="15">
        <v>3630629</v>
      </c>
      <c r="J1637" s="19">
        <f t="shared" si="122"/>
        <v>1.8486047793196723</v>
      </c>
      <c r="K1637" s="19">
        <f t="shared" si="123"/>
        <v>196.24499999999998</v>
      </c>
      <c r="L1637" s="19">
        <f t="shared" si="126"/>
        <v>211.12459999999999</v>
      </c>
      <c r="M1637" s="19">
        <f>MAX(G1574:G1637)</f>
        <v>251.87</v>
      </c>
      <c r="N1637" s="19">
        <f t="shared" si="124"/>
        <v>-19.283757493945288</v>
      </c>
      <c r="O1637" s="9" t="str">
        <f t="shared" si="125"/>
        <v>2024-03</v>
      </c>
    </row>
    <row r="1638" spans="1:15" x14ac:dyDescent="0.25">
      <c r="A1638" s="9" t="s">
        <v>316</v>
      </c>
      <c r="B1638" s="9" t="s">
        <v>317</v>
      </c>
      <c r="C1638" s="25" t="s">
        <v>110</v>
      </c>
      <c r="D1638" s="19">
        <v>203.3</v>
      </c>
      <c r="E1638" s="19">
        <v>204.03</v>
      </c>
      <c r="F1638" s="19">
        <v>182.24</v>
      </c>
      <c r="G1638" s="19">
        <v>182.35</v>
      </c>
      <c r="H1638" s="19">
        <v>182.35</v>
      </c>
      <c r="I1638" s="15">
        <v>8281400</v>
      </c>
      <c r="J1638" s="19">
        <f t="shared" si="122"/>
        <v>-10.304968027545506</v>
      </c>
      <c r="K1638" s="19">
        <f t="shared" si="123"/>
        <v>195.71099999999998</v>
      </c>
      <c r="L1638" s="19">
        <f t="shared" si="126"/>
        <v>210.37860000000001</v>
      </c>
      <c r="M1638" s="19">
        <f>MAX(G1574:G1638)</f>
        <v>251.87</v>
      </c>
      <c r="N1638" s="19">
        <f t="shared" si="124"/>
        <v>-27.601540477230319</v>
      </c>
      <c r="O1638" s="9" t="str">
        <f t="shared" si="125"/>
        <v>2024-03</v>
      </c>
    </row>
    <row r="1639" spans="1:15" x14ac:dyDescent="0.25">
      <c r="A1639" s="9" t="s">
        <v>316</v>
      </c>
      <c r="B1639" s="9" t="s">
        <v>317</v>
      </c>
      <c r="C1639" s="25" t="s">
        <v>111</v>
      </c>
      <c r="D1639" s="19">
        <v>182.35</v>
      </c>
      <c r="E1639" s="19">
        <v>186.1</v>
      </c>
      <c r="F1639" s="19">
        <v>181.62</v>
      </c>
      <c r="G1639" s="19">
        <v>184.87</v>
      </c>
      <c r="H1639" s="19">
        <v>184.87</v>
      </c>
      <c r="I1639" s="15">
        <v>3059773</v>
      </c>
      <c r="J1639" s="19">
        <f t="shared" ref="J1639:J1702" si="127">IFERROR((G1639-G1638)/G1638*100,"")</f>
        <v>1.3819577735124817</v>
      </c>
      <c r="K1639" s="19">
        <f t="shared" si="123"/>
        <v>195.18400000000003</v>
      </c>
      <c r="L1639" s="19">
        <f t="shared" si="126"/>
        <v>209.51660000000004</v>
      </c>
      <c r="M1639" s="19">
        <f>MAX(G1574:G1639)</f>
        <v>251.87</v>
      </c>
      <c r="N1639" s="19">
        <f t="shared" si="124"/>
        <v>-26.601024337952119</v>
      </c>
      <c r="O1639" s="9" t="str">
        <f t="shared" si="125"/>
        <v>2024-04</v>
      </c>
    </row>
    <row r="1640" spans="1:15" x14ac:dyDescent="0.25">
      <c r="A1640" s="9" t="s">
        <v>316</v>
      </c>
      <c r="B1640" s="9" t="s">
        <v>317</v>
      </c>
      <c r="C1640" s="25" t="s">
        <v>112</v>
      </c>
      <c r="D1640" s="19">
        <v>184.87</v>
      </c>
      <c r="E1640" s="19">
        <v>189.6</v>
      </c>
      <c r="F1640" s="19">
        <v>184.32</v>
      </c>
      <c r="G1640" s="19">
        <v>189.46</v>
      </c>
      <c r="H1640" s="19">
        <v>189.46</v>
      </c>
      <c r="I1640" s="15">
        <v>5198579</v>
      </c>
      <c r="J1640" s="19">
        <f t="shared" si="127"/>
        <v>2.4828257694596219</v>
      </c>
      <c r="K1640" s="19">
        <f t="shared" si="123"/>
        <v>194.94400000000002</v>
      </c>
      <c r="L1640" s="19">
        <f t="shared" si="126"/>
        <v>208.69760000000002</v>
      </c>
      <c r="M1640" s="19">
        <f>MAX(G1574:G1640)</f>
        <v>251.87</v>
      </c>
      <c r="N1640" s="19">
        <f t="shared" si="124"/>
        <v>-24.778655655695399</v>
      </c>
      <c r="O1640" s="9" t="str">
        <f t="shared" si="125"/>
        <v>2024-04</v>
      </c>
    </row>
    <row r="1641" spans="1:15" x14ac:dyDescent="0.25">
      <c r="A1641" s="9" t="s">
        <v>316</v>
      </c>
      <c r="B1641" s="9" t="s">
        <v>317</v>
      </c>
      <c r="C1641" s="25" t="s">
        <v>113</v>
      </c>
      <c r="D1641" s="19">
        <v>189.46</v>
      </c>
      <c r="E1641" s="19">
        <v>199.1</v>
      </c>
      <c r="F1641" s="19">
        <v>189.19</v>
      </c>
      <c r="G1641" s="19">
        <v>198.62</v>
      </c>
      <c r="H1641" s="19">
        <v>198.62</v>
      </c>
      <c r="I1641" s="15">
        <v>4202447</v>
      </c>
      <c r="J1641" s="19">
        <f t="shared" si="127"/>
        <v>4.8347936239839528</v>
      </c>
      <c r="K1641" s="19">
        <f t="shared" si="123"/>
        <v>195.36750000000001</v>
      </c>
      <c r="L1641" s="19">
        <f t="shared" si="126"/>
        <v>207.93400000000003</v>
      </c>
      <c r="M1641" s="19">
        <f>MAX(G1574:G1641)</f>
        <v>251.87</v>
      </c>
      <c r="N1641" s="19">
        <f t="shared" si="124"/>
        <v>-21.141858895461944</v>
      </c>
      <c r="O1641" s="9" t="str">
        <f t="shared" si="125"/>
        <v>2024-04</v>
      </c>
    </row>
    <row r="1642" spans="1:15" x14ac:dyDescent="0.25">
      <c r="A1642" s="9" t="s">
        <v>316</v>
      </c>
      <c r="B1642" s="9" t="s">
        <v>317</v>
      </c>
      <c r="C1642" s="25" t="s">
        <v>114</v>
      </c>
      <c r="D1642" s="19">
        <v>198.62</v>
      </c>
      <c r="E1642" s="19">
        <v>209.56</v>
      </c>
      <c r="F1642" s="19">
        <v>197.72</v>
      </c>
      <c r="G1642" s="19">
        <v>208.84</v>
      </c>
      <c r="H1642" s="19">
        <v>208.84</v>
      </c>
      <c r="I1642" s="15">
        <v>10246130</v>
      </c>
      <c r="J1642" s="19">
        <f t="shared" si="127"/>
        <v>5.1455039774443652</v>
      </c>
      <c r="K1642" s="19">
        <f t="shared" si="123"/>
        <v>196.55550000000002</v>
      </c>
      <c r="L1642" s="19">
        <f t="shared" si="126"/>
        <v>207.07340000000005</v>
      </c>
      <c r="M1642" s="19">
        <f>MAX(G1574:G1642)</f>
        <v>251.87</v>
      </c>
      <c r="N1642" s="19">
        <f t="shared" si="124"/>
        <v>-17.084210108389247</v>
      </c>
      <c r="O1642" s="9" t="str">
        <f t="shared" si="125"/>
        <v>2024-04</v>
      </c>
    </row>
    <row r="1643" spans="1:15" x14ac:dyDescent="0.25">
      <c r="A1643" s="9" t="s">
        <v>316</v>
      </c>
      <c r="B1643" s="9" t="s">
        <v>317</v>
      </c>
      <c r="C1643" s="25" t="s">
        <v>115</v>
      </c>
      <c r="D1643" s="19">
        <v>208.84</v>
      </c>
      <c r="E1643" s="19">
        <v>209.38</v>
      </c>
      <c r="F1643" s="19">
        <v>198.77</v>
      </c>
      <c r="G1643" s="19">
        <v>199.99</v>
      </c>
      <c r="H1643" s="19">
        <v>199.99</v>
      </c>
      <c r="I1643" s="15">
        <v>3786835</v>
      </c>
      <c r="J1643" s="19">
        <f t="shared" si="127"/>
        <v>-4.2376939283662107</v>
      </c>
      <c r="K1643" s="19">
        <f t="shared" si="123"/>
        <v>197.01249999999999</v>
      </c>
      <c r="L1643" s="19">
        <f t="shared" si="126"/>
        <v>206.09960000000004</v>
      </c>
      <c r="M1643" s="19">
        <f>MAX(G1574:G1643)</f>
        <v>251.87</v>
      </c>
      <c r="N1643" s="19">
        <f t="shared" si="124"/>
        <v>-20.597927502282921</v>
      </c>
      <c r="O1643" s="9" t="str">
        <f t="shared" si="125"/>
        <v>2024-04</v>
      </c>
    </row>
    <row r="1644" spans="1:15" x14ac:dyDescent="0.25">
      <c r="A1644" s="9" t="s">
        <v>316</v>
      </c>
      <c r="B1644" s="9" t="s">
        <v>317</v>
      </c>
      <c r="C1644" s="25" t="s">
        <v>116</v>
      </c>
      <c r="D1644" s="19">
        <v>199.99</v>
      </c>
      <c r="E1644" s="19">
        <v>202.93</v>
      </c>
      <c r="F1644" s="19">
        <v>199.37</v>
      </c>
      <c r="G1644" s="19">
        <v>202.19</v>
      </c>
      <c r="H1644" s="19">
        <v>202.19</v>
      </c>
      <c r="I1644" s="15">
        <v>4831989</v>
      </c>
      <c r="J1644" s="19">
        <f t="shared" si="127"/>
        <v>1.1000550027501319</v>
      </c>
      <c r="K1644" s="19">
        <f t="shared" si="123"/>
        <v>197.38550000000004</v>
      </c>
      <c r="L1644" s="19">
        <f t="shared" si="126"/>
        <v>205.12960000000007</v>
      </c>
      <c r="M1644" s="19">
        <f>MAX(G1574:G1644)</f>
        <v>251.87</v>
      </c>
      <c r="N1644" s="19">
        <f t="shared" si="124"/>
        <v>-19.724461031484498</v>
      </c>
      <c r="O1644" s="9" t="str">
        <f t="shared" si="125"/>
        <v>2024-04</v>
      </c>
    </row>
    <row r="1645" spans="1:15" x14ac:dyDescent="0.25">
      <c r="A1645" s="9" t="s">
        <v>316</v>
      </c>
      <c r="B1645" s="9" t="s">
        <v>317</v>
      </c>
      <c r="C1645" s="25" t="s">
        <v>117</v>
      </c>
      <c r="D1645" s="19">
        <v>202.19</v>
      </c>
      <c r="E1645" s="19">
        <v>203.85</v>
      </c>
      <c r="F1645" s="19">
        <v>199.04</v>
      </c>
      <c r="G1645" s="19">
        <v>199.22</v>
      </c>
      <c r="H1645" s="19">
        <v>199.22</v>
      </c>
      <c r="I1645" s="15">
        <v>4582557</v>
      </c>
      <c r="J1645" s="19">
        <f t="shared" si="127"/>
        <v>-1.4689153766259453</v>
      </c>
      <c r="K1645" s="19">
        <f t="shared" si="123"/>
        <v>198.00450000000001</v>
      </c>
      <c r="L1645" s="19">
        <f t="shared" si="126"/>
        <v>204.21420000000001</v>
      </c>
      <c r="M1645" s="19">
        <f>MAX(G1574:G1645)</f>
        <v>251.87</v>
      </c>
      <c r="N1645" s="19">
        <f t="shared" si="124"/>
        <v>-20.903640767062377</v>
      </c>
      <c r="O1645" s="9" t="str">
        <f t="shared" si="125"/>
        <v>2024-04</v>
      </c>
    </row>
    <row r="1646" spans="1:15" x14ac:dyDescent="0.25">
      <c r="A1646" s="9" t="s">
        <v>316</v>
      </c>
      <c r="B1646" s="9" t="s">
        <v>317</v>
      </c>
      <c r="C1646" s="25" t="s">
        <v>118</v>
      </c>
      <c r="D1646" s="19">
        <v>199.22</v>
      </c>
      <c r="E1646" s="19">
        <v>199.59</v>
      </c>
      <c r="F1646" s="19">
        <v>189.08</v>
      </c>
      <c r="G1646" s="19">
        <v>190.54</v>
      </c>
      <c r="H1646" s="19">
        <v>190.54</v>
      </c>
      <c r="I1646" s="15">
        <v>5036985</v>
      </c>
      <c r="J1646" s="19">
        <f t="shared" si="127"/>
        <v>-4.3569922698524275</v>
      </c>
      <c r="K1646" s="19">
        <f t="shared" si="123"/>
        <v>198.21300000000002</v>
      </c>
      <c r="L1646" s="19">
        <f t="shared" si="126"/>
        <v>203.36760000000001</v>
      </c>
      <c r="M1646" s="19">
        <f>MAX(G1574:G1646)</f>
        <v>251.87</v>
      </c>
      <c r="N1646" s="19">
        <f t="shared" si="124"/>
        <v>-24.349863024576173</v>
      </c>
      <c r="O1646" s="9" t="str">
        <f t="shared" si="125"/>
        <v>2024-04</v>
      </c>
    </row>
    <row r="1647" spans="1:15" x14ac:dyDescent="0.25">
      <c r="A1647" s="9" t="s">
        <v>316</v>
      </c>
      <c r="B1647" s="9" t="s">
        <v>317</v>
      </c>
      <c r="C1647" s="25" t="s">
        <v>119</v>
      </c>
      <c r="D1647" s="19">
        <v>190.54</v>
      </c>
      <c r="E1647" s="19">
        <v>193.55</v>
      </c>
      <c r="F1647" s="19">
        <v>189.44</v>
      </c>
      <c r="G1647" s="19">
        <v>192.45</v>
      </c>
      <c r="H1647" s="19">
        <v>192.45</v>
      </c>
      <c r="I1647" s="15">
        <v>2731200</v>
      </c>
      <c r="J1647" s="19">
        <f t="shared" si="127"/>
        <v>1.0024141912459308</v>
      </c>
      <c r="K1647" s="19">
        <f t="shared" si="123"/>
        <v>198.33750000000001</v>
      </c>
      <c r="L1647" s="19">
        <f t="shared" si="126"/>
        <v>202.48220000000001</v>
      </c>
      <c r="M1647" s="19">
        <f>MAX(G1574:G1647)</f>
        <v>251.87</v>
      </c>
      <c r="N1647" s="19">
        <f t="shared" si="124"/>
        <v>-23.591535315837543</v>
      </c>
      <c r="O1647" s="9" t="str">
        <f t="shared" si="125"/>
        <v>2024-04</v>
      </c>
    </row>
    <row r="1648" spans="1:15" x14ac:dyDescent="0.25">
      <c r="A1648" s="9" t="s">
        <v>316</v>
      </c>
      <c r="B1648" s="9" t="s">
        <v>317</v>
      </c>
      <c r="C1648" s="25" t="s">
        <v>120</v>
      </c>
      <c r="D1648" s="19">
        <v>192.45</v>
      </c>
      <c r="E1648" s="19">
        <v>193.66</v>
      </c>
      <c r="F1648" s="19">
        <v>189.13</v>
      </c>
      <c r="G1648" s="19">
        <v>189.6</v>
      </c>
      <c r="H1648" s="19">
        <v>189.6</v>
      </c>
      <c r="I1648" s="15">
        <v>2030496</v>
      </c>
      <c r="J1648" s="19">
        <f t="shared" si="127"/>
        <v>-1.4809041309430993</v>
      </c>
      <c r="K1648" s="19">
        <f t="shared" si="123"/>
        <v>198.18549999999999</v>
      </c>
      <c r="L1648" s="19">
        <f t="shared" si="126"/>
        <v>201.42040000000006</v>
      </c>
      <c r="M1648" s="19">
        <f>MAX(G1574:G1648)</f>
        <v>251.87</v>
      </c>
      <c r="N1648" s="19">
        <f t="shared" si="124"/>
        <v>-24.723071425735501</v>
      </c>
      <c r="O1648" s="9" t="str">
        <f t="shared" si="125"/>
        <v>2024-04</v>
      </c>
    </row>
    <row r="1649" spans="1:15" x14ac:dyDescent="0.25">
      <c r="A1649" s="9" t="s">
        <v>316</v>
      </c>
      <c r="B1649" s="9" t="s">
        <v>317</v>
      </c>
      <c r="C1649" s="25" t="s">
        <v>121</v>
      </c>
      <c r="D1649" s="19">
        <v>189.6</v>
      </c>
      <c r="E1649" s="19">
        <v>190.53</v>
      </c>
      <c r="F1649" s="19">
        <v>182.96</v>
      </c>
      <c r="G1649" s="19">
        <v>183.04</v>
      </c>
      <c r="H1649" s="19">
        <v>183.04</v>
      </c>
      <c r="I1649" s="15">
        <v>3518602</v>
      </c>
      <c r="J1649" s="19">
        <f t="shared" si="127"/>
        <v>-3.4599156118143473</v>
      </c>
      <c r="K1649" s="19">
        <f t="shared" si="123"/>
        <v>197.12849999999997</v>
      </c>
      <c r="L1649" s="19">
        <f t="shared" si="126"/>
        <v>200.39720000000005</v>
      </c>
      <c r="M1649" s="19">
        <f>MAX(G1574:G1649)</f>
        <v>251.87</v>
      </c>
      <c r="N1649" s="19">
        <f t="shared" si="124"/>
        <v>-27.327589629570813</v>
      </c>
      <c r="O1649" s="9" t="str">
        <f t="shared" si="125"/>
        <v>2024-04</v>
      </c>
    </row>
    <row r="1650" spans="1:15" x14ac:dyDescent="0.25">
      <c r="A1650" s="9" t="s">
        <v>316</v>
      </c>
      <c r="B1650" s="9" t="s">
        <v>317</v>
      </c>
      <c r="C1650" s="25" t="s">
        <v>122</v>
      </c>
      <c r="D1650" s="19">
        <v>183.04</v>
      </c>
      <c r="E1650" s="19">
        <v>194.82</v>
      </c>
      <c r="F1650" s="19">
        <v>182.4</v>
      </c>
      <c r="G1650" s="19">
        <v>193.99</v>
      </c>
      <c r="H1650" s="19">
        <v>193.99</v>
      </c>
      <c r="I1650" s="15">
        <v>7068040</v>
      </c>
      <c r="J1650" s="19">
        <f t="shared" si="127"/>
        <v>5.9822989510489606</v>
      </c>
      <c r="K1650" s="19">
        <f t="shared" si="123"/>
        <v>196.71349999999998</v>
      </c>
      <c r="L1650" s="19">
        <f t="shared" si="126"/>
        <v>199.67980000000003</v>
      </c>
      <c r="M1650" s="19">
        <f>MAX(G1574:G1650)</f>
        <v>251.87</v>
      </c>
      <c r="N1650" s="19">
        <f t="shared" si="124"/>
        <v>-22.980108786278635</v>
      </c>
      <c r="O1650" s="9" t="str">
        <f t="shared" si="125"/>
        <v>2024-04</v>
      </c>
    </row>
    <row r="1651" spans="1:15" x14ac:dyDescent="0.25">
      <c r="A1651" s="9" t="s">
        <v>316</v>
      </c>
      <c r="B1651" s="9" t="s">
        <v>317</v>
      </c>
      <c r="C1651" s="25" t="s">
        <v>123</v>
      </c>
      <c r="D1651" s="19">
        <v>193.99</v>
      </c>
      <c r="E1651" s="19">
        <v>194.06</v>
      </c>
      <c r="F1651" s="19">
        <v>178.75</v>
      </c>
      <c r="G1651" s="19">
        <v>179.15</v>
      </c>
      <c r="H1651" s="19">
        <v>179.15</v>
      </c>
      <c r="I1651" s="15">
        <v>5279500</v>
      </c>
      <c r="J1651" s="19">
        <f t="shared" si="127"/>
        <v>-7.6498788597350389</v>
      </c>
      <c r="K1651" s="19">
        <f t="shared" si="123"/>
        <v>195.64</v>
      </c>
      <c r="L1651" s="19">
        <f t="shared" si="126"/>
        <v>198.71720000000005</v>
      </c>
      <c r="M1651" s="19">
        <f>MAX(G1574:G1651)</f>
        <v>251.87</v>
      </c>
      <c r="N1651" s="19">
        <f t="shared" si="124"/>
        <v>-28.872037162028029</v>
      </c>
      <c r="O1651" s="9" t="str">
        <f t="shared" si="125"/>
        <v>2024-04</v>
      </c>
    </row>
    <row r="1652" spans="1:15" x14ac:dyDescent="0.25">
      <c r="A1652" s="9" t="s">
        <v>316</v>
      </c>
      <c r="B1652" s="9" t="s">
        <v>317</v>
      </c>
      <c r="C1652" s="25" t="s">
        <v>124</v>
      </c>
      <c r="D1652" s="19">
        <v>179.15</v>
      </c>
      <c r="E1652" s="19">
        <v>179.56</v>
      </c>
      <c r="F1652" s="19">
        <v>165.84</v>
      </c>
      <c r="G1652" s="19">
        <v>166.28</v>
      </c>
      <c r="H1652" s="19">
        <v>166.28</v>
      </c>
      <c r="I1652" s="15">
        <v>11554868</v>
      </c>
      <c r="J1652" s="19">
        <f t="shared" si="127"/>
        <v>-7.1839240859614879</v>
      </c>
      <c r="K1652" s="19">
        <f t="shared" si="123"/>
        <v>194.04299999999998</v>
      </c>
      <c r="L1652" s="19">
        <f t="shared" si="126"/>
        <v>197.60840000000005</v>
      </c>
      <c r="M1652" s="19">
        <f>MAX(G1574:G1652)</f>
        <v>251.87</v>
      </c>
      <c r="N1652" s="19">
        <f t="shared" si="124"/>
        <v>-33.981816016198835</v>
      </c>
      <c r="O1652" s="9" t="str">
        <f t="shared" si="125"/>
        <v>2024-04</v>
      </c>
    </row>
    <row r="1653" spans="1:15" x14ac:dyDescent="0.25">
      <c r="A1653" s="9" t="s">
        <v>316</v>
      </c>
      <c r="B1653" s="9" t="s">
        <v>317</v>
      </c>
      <c r="C1653" s="25" t="s">
        <v>125</v>
      </c>
      <c r="D1653" s="19">
        <v>166.28</v>
      </c>
      <c r="E1653" s="19">
        <v>171.59</v>
      </c>
      <c r="F1653" s="19">
        <v>166.27</v>
      </c>
      <c r="G1653" s="19">
        <v>171.28</v>
      </c>
      <c r="H1653" s="19">
        <v>171.28</v>
      </c>
      <c r="I1653" s="15">
        <v>4275640</v>
      </c>
      <c r="J1653" s="19">
        <f t="shared" si="127"/>
        <v>3.0069761847486167</v>
      </c>
      <c r="K1653" s="19">
        <f t="shared" si="123"/>
        <v>192.18100000000001</v>
      </c>
      <c r="L1653" s="19">
        <f t="shared" si="126"/>
        <v>196.75620000000006</v>
      </c>
      <c r="M1653" s="19">
        <f>MAX(G1574:G1653)</f>
        <v>251.87</v>
      </c>
      <c r="N1653" s="19">
        <f t="shared" si="124"/>
        <v>-31.996664946202408</v>
      </c>
      <c r="O1653" s="9" t="str">
        <f t="shared" si="125"/>
        <v>2024-04</v>
      </c>
    </row>
    <row r="1654" spans="1:15" x14ac:dyDescent="0.25">
      <c r="A1654" s="9" t="s">
        <v>316</v>
      </c>
      <c r="B1654" s="9" t="s">
        <v>317</v>
      </c>
      <c r="C1654" s="25" t="s">
        <v>126</v>
      </c>
      <c r="D1654" s="19">
        <v>171.28</v>
      </c>
      <c r="E1654" s="19">
        <v>171.43</v>
      </c>
      <c r="F1654" s="19">
        <v>162.49</v>
      </c>
      <c r="G1654" s="19">
        <v>163.01</v>
      </c>
      <c r="H1654" s="19">
        <v>163.01</v>
      </c>
      <c r="I1654" s="15">
        <v>2815689</v>
      </c>
      <c r="J1654" s="19">
        <f t="shared" si="127"/>
        <v>-4.8283512377393798</v>
      </c>
      <c r="K1654" s="19">
        <f t="shared" si="123"/>
        <v>190.12399999999997</v>
      </c>
      <c r="L1654" s="19">
        <f t="shared" si="126"/>
        <v>196.00860000000003</v>
      </c>
      <c r="M1654" s="19">
        <f>MAX(G1574:G1654)</f>
        <v>251.87</v>
      </c>
      <c r="N1654" s="19">
        <f t="shared" si="124"/>
        <v>-35.2801048159765</v>
      </c>
      <c r="O1654" s="9" t="str">
        <f t="shared" si="125"/>
        <v>2024-04</v>
      </c>
    </row>
    <row r="1655" spans="1:15" x14ac:dyDescent="0.25">
      <c r="A1655" s="9" t="s">
        <v>316</v>
      </c>
      <c r="B1655" s="9" t="s">
        <v>317</v>
      </c>
      <c r="C1655" s="25" t="s">
        <v>127</v>
      </c>
      <c r="D1655" s="19">
        <v>163.01</v>
      </c>
      <c r="E1655" s="19">
        <v>163.83000000000001</v>
      </c>
      <c r="F1655" s="19">
        <v>157.87</v>
      </c>
      <c r="G1655" s="19">
        <v>158.03</v>
      </c>
      <c r="H1655" s="19">
        <v>158.03</v>
      </c>
      <c r="I1655" s="15">
        <v>4870239</v>
      </c>
      <c r="J1655" s="19">
        <f t="shared" si="127"/>
        <v>-3.0550272989387093</v>
      </c>
      <c r="K1655" s="19">
        <f t="shared" si="123"/>
        <v>187.791</v>
      </c>
      <c r="L1655" s="19">
        <f t="shared" si="126"/>
        <v>195.00980000000007</v>
      </c>
      <c r="M1655" s="19">
        <f>MAX(G1574:G1655)</f>
        <v>251.87</v>
      </c>
      <c r="N1655" s="19">
        <f t="shared" si="124"/>
        <v>-37.257315281692939</v>
      </c>
      <c r="O1655" s="9" t="str">
        <f t="shared" si="125"/>
        <v>2024-04</v>
      </c>
    </row>
    <row r="1656" spans="1:15" x14ac:dyDescent="0.25">
      <c r="A1656" s="9" t="s">
        <v>316</v>
      </c>
      <c r="B1656" s="9" t="s">
        <v>317</v>
      </c>
      <c r="C1656" s="25" t="s">
        <v>128</v>
      </c>
      <c r="D1656" s="19">
        <v>158.03</v>
      </c>
      <c r="E1656" s="19">
        <v>158.38999999999999</v>
      </c>
      <c r="F1656" s="19">
        <v>153.56</v>
      </c>
      <c r="G1656" s="19">
        <v>153.68</v>
      </c>
      <c r="H1656" s="19">
        <v>153.68</v>
      </c>
      <c r="I1656" s="15">
        <v>5774468</v>
      </c>
      <c r="J1656" s="19">
        <f t="shared" si="127"/>
        <v>-2.7526419034360528</v>
      </c>
      <c r="K1656" s="19">
        <f t="shared" si="123"/>
        <v>185.49450000000002</v>
      </c>
      <c r="L1656" s="19">
        <f t="shared" si="126"/>
        <v>193.90180000000004</v>
      </c>
      <c r="M1656" s="19">
        <f>MAX(G1574:G1656)</f>
        <v>251.87</v>
      </c>
      <c r="N1656" s="19">
        <f t="shared" si="124"/>
        <v>-38.984396712589827</v>
      </c>
      <c r="O1656" s="9" t="str">
        <f t="shared" si="125"/>
        <v>2024-04</v>
      </c>
    </row>
    <row r="1657" spans="1:15" x14ac:dyDescent="0.25">
      <c r="A1657" s="9" t="s">
        <v>316</v>
      </c>
      <c r="B1657" s="9" t="s">
        <v>317</v>
      </c>
      <c r="C1657" s="25" t="s">
        <v>129</v>
      </c>
      <c r="D1657" s="19">
        <v>153.68</v>
      </c>
      <c r="E1657" s="19">
        <v>154.03</v>
      </c>
      <c r="F1657" s="19">
        <v>151.37</v>
      </c>
      <c r="G1657" s="19">
        <v>151.6</v>
      </c>
      <c r="H1657" s="19">
        <v>151.6</v>
      </c>
      <c r="I1657" s="15">
        <v>5144816</v>
      </c>
      <c r="J1657" s="19">
        <f t="shared" si="127"/>
        <v>-1.3534617386777801</v>
      </c>
      <c r="K1657" s="19">
        <f t="shared" ref="K1657:K1720" si="128">AVERAGE(G1638:G1657)</f>
        <v>182.90950000000001</v>
      </c>
      <c r="L1657" s="19">
        <f t="shared" si="126"/>
        <v>192.94900000000004</v>
      </c>
      <c r="M1657" s="19">
        <f>MAX(G1574:G1657)</f>
        <v>251.87</v>
      </c>
      <c r="N1657" s="19">
        <f t="shared" si="124"/>
        <v>-39.810219557708344</v>
      </c>
      <c r="O1657" s="9" t="str">
        <f t="shared" si="125"/>
        <v>2024-04</v>
      </c>
    </row>
    <row r="1658" spans="1:15" x14ac:dyDescent="0.25">
      <c r="A1658" s="9" t="s">
        <v>316</v>
      </c>
      <c r="B1658" s="9" t="s">
        <v>317</v>
      </c>
      <c r="C1658" s="25" t="s">
        <v>130</v>
      </c>
      <c r="D1658" s="19">
        <v>151.6</v>
      </c>
      <c r="E1658" s="19">
        <v>152.21</v>
      </c>
      <c r="F1658" s="19">
        <v>147.28</v>
      </c>
      <c r="G1658" s="19">
        <v>147.37</v>
      </c>
      <c r="H1658" s="19">
        <v>147.37</v>
      </c>
      <c r="I1658" s="15">
        <v>2863544</v>
      </c>
      <c r="J1658" s="19">
        <f t="shared" si="127"/>
        <v>-2.7902374670184629</v>
      </c>
      <c r="K1658" s="19">
        <f t="shared" si="128"/>
        <v>181.16050000000001</v>
      </c>
      <c r="L1658" s="19">
        <f t="shared" si="126"/>
        <v>191.82320000000007</v>
      </c>
      <c r="M1658" s="19">
        <f>MAX(G1574:G1658)</f>
        <v>251.87</v>
      </c>
      <c r="N1658" s="19">
        <f t="shared" si="124"/>
        <v>-41.489657362925321</v>
      </c>
      <c r="O1658" s="9" t="str">
        <f t="shared" si="125"/>
        <v>2024-04</v>
      </c>
    </row>
    <row r="1659" spans="1:15" x14ac:dyDescent="0.25">
      <c r="A1659" s="9" t="s">
        <v>316</v>
      </c>
      <c r="B1659" s="9" t="s">
        <v>317</v>
      </c>
      <c r="C1659" s="25" t="s">
        <v>131</v>
      </c>
      <c r="D1659" s="19">
        <v>147.37</v>
      </c>
      <c r="E1659" s="19">
        <v>148.22</v>
      </c>
      <c r="F1659" s="19">
        <v>147.24</v>
      </c>
      <c r="G1659" s="19">
        <v>148.18</v>
      </c>
      <c r="H1659" s="19">
        <v>148.18</v>
      </c>
      <c r="I1659" s="15">
        <v>4306064</v>
      </c>
      <c r="J1659" s="19">
        <f t="shared" si="127"/>
        <v>0.54963696817534247</v>
      </c>
      <c r="K1659" s="19">
        <f t="shared" si="128"/>
        <v>179.32600000000002</v>
      </c>
      <c r="L1659" s="19">
        <f t="shared" si="126"/>
        <v>190.54280000000006</v>
      </c>
      <c r="M1659" s="19">
        <f>MAX(G1574:G1659)</f>
        <v>251.87</v>
      </c>
      <c r="N1659" s="19">
        <f t="shared" si="124"/>
        <v>-41.16806288958589</v>
      </c>
      <c r="O1659" s="9" t="str">
        <f t="shared" si="125"/>
        <v>2024-04</v>
      </c>
    </row>
    <row r="1660" spans="1:15" x14ac:dyDescent="0.25">
      <c r="A1660" s="9" t="s">
        <v>316</v>
      </c>
      <c r="B1660" s="9" t="s">
        <v>317</v>
      </c>
      <c r="C1660" s="25" t="s">
        <v>132</v>
      </c>
      <c r="D1660" s="19">
        <v>148.18</v>
      </c>
      <c r="E1660" s="19">
        <v>148.94999999999999</v>
      </c>
      <c r="F1660" s="19">
        <v>147.74</v>
      </c>
      <c r="G1660" s="19">
        <v>147.93</v>
      </c>
      <c r="H1660" s="19">
        <v>147.93</v>
      </c>
      <c r="I1660" s="15">
        <v>4155181</v>
      </c>
      <c r="J1660" s="19">
        <f t="shared" si="127"/>
        <v>-0.16871372654879202</v>
      </c>
      <c r="K1660" s="19">
        <f t="shared" si="128"/>
        <v>177.24950000000001</v>
      </c>
      <c r="L1660" s="19">
        <f t="shared" si="126"/>
        <v>189.10580000000004</v>
      </c>
      <c r="M1660" s="19">
        <f>MAX(G1574:G1660)</f>
        <v>251.87</v>
      </c>
      <c r="N1660" s="19">
        <f t="shared" si="124"/>
        <v>-41.267320443085723</v>
      </c>
      <c r="O1660" s="9" t="str">
        <f t="shared" si="125"/>
        <v>2024-04</v>
      </c>
    </row>
    <row r="1661" spans="1:15" x14ac:dyDescent="0.25">
      <c r="A1661" s="9" t="s">
        <v>316</v>
      </c>
      <c r="B1661" s="9" t="s">
        <v>317</v>
      </c>
      <c r="C1661" s="25" t="s">
        <v>133</v>
      </c>
      <c r="D1661" s="19">
        <v>147.93</v>
      </c>
      <c r="E1661" s="19">
        <v>150.51</v>
      </c>
      <c r="F1661" s="19">
        <v>146.86000000000001</v>
      </c>
      <c r="G1661" s="19">
        <v>150.12</v>
      </c>
      <c r="H1661" s="19">
        <v>150.12</v>
      </c>
      <c r="I1661" s="15">
        <v>5648569</v>
      </c>
      <c r="J1661" s="19">
        <f t="shared" si="127"/>
        <v>1.4804299330764537</v>
      </c>
      <c r="K1661" s="19">
        <f t="shared" si="128"/>
        <v>174.82449999999997</v>
      </c>
      <c r="L1661" s="19">
        <f t="shared" si="126"/>
        <v>187.89680000000004</v>
      </c>
      <c r="M1661" s="19">
        <f>MAX(G1574:G1661)</f>
        <v>251.87</v>
      </c>
      <c r="N1661" s="19">
        <f t="shared" si="124"/>
        <v>-40.397824274427286</v>
      </c>
      <c r="O1661" s="9" t="str">
        <f t="shared" si="125"/>
        <v>2024-05</v>
      </c>
    </row>
    <row r="1662" spans="1:15" x14ac:dyDescent="0.25">
      <c r="A1662" s="9" t="s">
        <v>316</v>
      </c>
      <c r="B1662" s="9" t="s">
        <v>317</v>
      </c>
      <c r="C1662" s="25" t="s">
        <v>134</v>
      </c>
      <c r="D1662" s="19">
        <v>150.12</v>
      </c>
      <c r="E1662" s="19">
        <v>150.19999999999999</v>
      </c>
      <c r="F1662" s="19">
        <v>147.97999999999999</v>
      </c>
      <c r="G1662" s="19">
        <v>148.01</v>
      </c>
      <c r="H1662" s="19">
        <v>148.01</v>
      </c>
      <c r="I1662" s="15">
        <v>3692138</v>
      </c>
      <c r="J1662" s="19">
        <f t="shared" si="127"/>
        <v>-1.4055422328803715</v>
      </c>
      <c r="K1662" s="19">
        <f t="shared" si="128"/>
        <v>171.78299999999996</v>
      </c>
      <c r="L1662" s="19">
        <f t="shared" si="126"/>
        <v>186.69380000000001</v>
      </c>
      <c r="M1662" s="19">
        <f>MAX(G1574:G1662)</f>
        <v>251.87</v>
      </c>
      <c r="N1662" s="19">
        <f t="shared" si="124"/>
        <v>-41.23555802596578</v>
      </c>
      <c r="O1662" s="9" t="str">
        <f t="shared" si="125"/>
        <v>2024-05</v>
      </c>
    </row>
    <row r="1663" spans="1:15" x14ac:dyDescent="0.25">
      <c r="A1663" s="9" t="s">
        <v>316</v>
      </c>
      <c r="B1663" s="9" t="s">
        <v>317</v>
      </c>
      <c r="C1663" s="25" t="s">
        <v>135</v>
      </c>
      <c r="D1663" s="19">
        <v>148.01</v>
      </c>
      <c r="E1663" s="19">
        <v>158.01</v>
      </c>
      <c r="F1663" s="19">
        <v>147.61000000000001</v>
      </c>
      <c r="G1663" s="19">
        <v>157.87</v>
      </c>
      <c r="H1663" s="19">
        <v>157.87</v>
      </c>
      <c r="I1663" s="15">
        <v>8898259</v>
      </c>
      <c r="J1663" s="19">
        <f t="shared" si="127"/>
        <v>6.6617120464833546</v>
      </c>
      <c r="K1663" s="19">
        <f t="shared" si="128"/>
        <v>169.67699999999996</v>
      </c>
      <c r="L1663" s="19">
        <f t="shared" si="126"/>
        <v>185.5634</v>
      </c>
      <c r="M1663" s="19">
        <f>MAX(G1574:G1663)</f>
        <v>251.87</v>
      </c>
      <c r="N1663" s="19">
        <f t="shared" si="124"/>
        <v>-37.320840115932825</v>
      </c>
      <c r="O1663" s="9" t="str">
        <f t="shared" si="125"/>
        <v>2024-05</v>
      </c>
    </row>
    <row r="1664" spans="1:15" x14ac:dyDescent="0.25">
      <c r="A1664" s="9" t="s">
        <v>316</v>
      </c>
      <c r="B1664" s="9" t="s">
        <v>317</v>
      </c>
      <c r="C1664" s="25" t="s">
        <v>136</v>
      </c>
      <c r="D1664" s="19">
        <v>157.87</v>
      </c>
      <c r="E1664" s="19">
        <v>162.88</v>
      </c>
      <c r="F1664" s="19">
        <v>157.74</v>
      </c>
      <c r="G1664" s="19">
        <v>162.41999999999999</v>
      </c>
      <c r="H1664" s="19">
        <v>162.41999999999999</v>
      </c>
      <c r="I1664" s="15">
        <v>3231364</v>
      </c>
      <c r="J1664" s="19">
        <f t="shared" si="127"/>
        <v>2.8821181985177571</v>
      </c>
      <c r="K1664" s="19">
        <f t="shared" si="128"/>
        <v>167.68849999999998</v>
      </c>
      <c r="L1664" s="19">
        <f t="shared" si="126"/>
        <v>184.90240000000003</v>
      </c>
      <c r="M1664" s="19">
        <f>MAX(G1574:G1664)</f>
        <v>251.87</v>
      </c>
      <c r="N1664" s="19">
        <f t="shared" si="124"/>
        <v>-35.514352642236076</v>
      </c>
      <c r="O1664" s="9" t="str">
        <f t="shared" si="125"/>
        <v>2024-05</v>
      </c>
    </row>
    <row r="1665" spans="1:15" x14ac:dyDescent="0.25">
      <c r="A1665" s="9" t="s">
        <v>316</v>
      </c>
      <c r="B1665" s="9" t="s">
        <v>317</v>
      </c>
      <c r="C1665" s="25" t="s">
        <v>137</v>
      </c>
      <c r="D1665" s="19">
        <v>162.41999999999999</v>
      </c>
      <c r="E1665" s="19">
        <v>164.01</v>
      </c>
      <c r="F1665" s="19">
        <v>162.30000000000001</v>
      </c>
      <c r="G1665" s="19">
        <v>163.46</v>
      </c>
      <c r="H1665" s="19">
        <v>163.46</v>
      </c>
      <c r="I1665" s="15">
        <v>4319430</v>
      </c>
      <c r="J1665" s="19">
        <f t="shared" si="127"/>
        <v>0.64031523211428432</v>
      </c>
      <c r="K1665" s="19">
        <f t="shared" si="128"/>
        <v>165.90049999999997</v>
      </c>
      <c r="L1665" s="19">
        <f t="shared" si="126"/>
        <v>184.02080000000001</v>
      </c>
      <c r="M1665" s="19">
        <f>MAX(G1574:G1665)</f>
        <v>251.87</v>
      </c>
      <c r="N1665" s="19">
        <f t="shared" si="124"/>
        <v>-35.101441219676815</v>
      </c>
      <c r="O1665" s="9" t="str">
        <f t="shared" si="125"/>
        <v>2024-05</v>
      </c>
    </row>
    <row r="1666" spans="1:15" x14ac:dyDescent="0.25">
      <c r="A1666" s="9" t="s">
        <v>316</v>
      </c>
      <c r="B1666" s="9" t="s">
        <v>317</v>
      </c>
      <c r="C1666" s="25" t="s">
        <v>138</v>
      </c>
      <c r="D1666" s="19">
        <v>163.46</v>
      </c>
      <c r="E1666" s="19">
        <v>169.61</v>
      </c>
      <c r="F1666" s="19">
        <v>163.18</v>
      </c>
      <c r="G1666" s="19">
        <v>168.58</v>
      </c>
      <c r="H1666" s="19">
        <v>168.58</v>
      </c>
      <c r="I1666" s="15">
        <v>3612698</v>
      </c>
      <c r="J1666" s="19">
        <f t="shared" si="127"/>
        <v>3.1322647742567016</v>
      </c>
      <c r="K1666" s="19">
        <f t="shared" si="128"/>
        <v>164.80249999999995</v>
      </c>
      <c r="L1666" s="19">
        <f t="shared" si="126"/>
        <v>183.40459999999999</v>
      </c>
      <c r="M1666" s="19">
        <f>MAX(G1574:G1666)</f>
        <v>251.87</v>
      </c>
      <c r="N1666" s="19">
        <f t="shared" ref="N1666:N1729" si="129">(G1666-M1666)/M1666*100</f>
        <v>-33.068646524000471</v>
      </c>
      <c r="O1666" s="9" t="str">
        <f t="shared" ref="O1666:O1729" si="130">TEXT(C1666,"yyyy-mm")</f>
        <v>2024-05</v>
      </c>
    </row>
    <row r="1667" spans="1:15" x14ac:dyDescent="0.25">
      <c r="A1667" s="9" t="s">
        <v>316</v>
      </c>
      <c r="B1667" s="9" t="s">
        <v>317</v>
      </c>
      <c r="C1667" s="25" t="s">
        <v>139</v>
      </c>
      <c r="D1667" s="19">
        <v>168.58</v>
      </c>
      <c r="E1667" s="19">
        <v>173.18</v>
      </c>
      <c r="F1667" s="19">
        <v>168.27</v>
      </c>
      <c r="G1667" s="19">
        <v>172.63</v>
      </c>
      <c r="H1667" s="19">
        <v>172.63</v>
      </c>
      <c r="I1667" s="15">
        <v>2169116</v>
      </c>
      <c r="J1667" s="19">
        <f t="shared" si="127"/>
        <v>2.402420215921214</v>
      </c>
      <c r="K1667" s="19">
        <f t="shared" si="128"/>
        <v>163.81149999999997</v>
      </c>
      <c r="L1667" s="19">
        <f t="shared" si="126"/>
        <v>182.99319999999997</v>
      </c>
      <c r="M1667" s="19">
        <f>MAX(G1574:G1667)</f>
        <v>251.87</v>
      </c>
      <c r="N1667" s="19">
        <f t="shared" si="129"/>
        <v>-31.460674157303377</v>
      </c>
      <c r="O1667" s="9" t="str">
        <f t="shared" si="130"/>
        <v>2024-05</v>
      </c>
    </row>
    <row r="1668" spans="1:15" x14ac:dyDescent="0.25">
      <c r="A1668" s="9" t="s">
        <v>316</v>
      </c>
      <c r="B1668" s="9" t="s">
        <v>317</v>
      </c>
      <c r="C1668" s="25" t="s">
        <v>140</v>
      </c>
      <c r="D1668" s="19">
        <v>172.63</v>
      </c>
      <c r="E1668" s="19">
        <v>173.16</v>
      </c>
      <c r="F1668" s="19">
        <v>167.45</v>
      </c>
      <c r="G1668" s="19">
        <v>168.47</v>
      </c>
      <c r="H1668" s="19">
        <v>168.47</v>
      </c>
      <c r="I1668" s="15">
        <v>4151180</v>
      </c>
      <c r="J1668" s="19">
        <f t="shared" si="127"/>
        <v>-2.4097781382146768</v>
      </c>
      <c r="K1668" s="19">
        <f t="shared" si="128"/>
        <v>162.755</v>
      </c>
      <c r="L1668" s="19">
        <f t="shared" si="126"/>
        <v>182.50199999999998</v>
      </c>
      <c r="M1668" s="19">
        <f>MAX(G1574:G1668)</f>
        <v>251.87</v>
      </c>
      <c r="N1668" s="19">
        <f t="shared" si="129"/>
        <v>-33.112319847540398</v>
      </c>
      <c r="O1668" s="9" t="str">
        <f t="shared" si="130"/>
        <v>2024-05</v>
      </c>
    </row>
    <row r="1669" spans="1:15" x14ac:dyDescent="0.25">
      <c r="A1669" s="9" t="s">
        <v>316</v>
      </c>
      <c r="B1669" s="9" t="s">
        <v>317</v>
      </c>
      <c r="C1669" s="25" t="s">
        <v>141</v>
      </c>
      <c r="D1669" s="19">
        <v>168.47</v>
      </c>
      <c r="E1669" s="19">
        <v>168.83</v>
      </c>
      <c r="F1669" s="19">
        <v>168.03</v>
      </c>
      <c r="G1669" s="19">
        <v>168.7</v>
      </c>
      <c r="H1669" s="19">
        <v>168.7</v>
      </c>
      <c r="I1669" s="15">
        <v>4367046</v>
      </c>
      <c r="J1669" s="19">
        <f t="shared" si="127"/>
        <v>0.13652282305454369</v>
      </c>
      <c r="K1669" s="19">
        <f t="shared" si="128"/>
        <v>162.03799999999998</v>
      </c>
      <c r="L1669" s="19">
        <f t="shared" si="126"/>
        <v>181.96779999999995</v>
      </c>
      <c r="M1669" s="19">
        <f>MAX(G1574:G1669)</f>
        <v>251.87</v>
      </c>
      <c r="N1669" s="19">
        <f t="shared" si="129"/>
        <v>-33.021002898320567</v>
      </c>
      <c r="O1669" s="9" t="str">
        <f t="shared" si="130"/>
        <v>2024-05</v>
      </c>
    </row>
    <row r="1670" spans="1:15" x14ac:dyDescent="0.25">
      <c r="A1670" s="9" t="s">
        <v>316</v>
      </c>
      <c r="B1670" s="9" t="s">
        <v>317</v>
      </c>
      <c r="C1670" s="25" t="s">
        <v>142</v>
      </c>
      <c r="D1670" s="19">
        <v>168.7</v>
      </c>
      <c r="E1670" s="19">
        <v>168.79</v>
      </c>
      <c r="F1670" s="19">
        <v>166.92</v>
      </c>
      <c r="G1670" s="19">
        <v>167.25</v>
      </c>
      <c r="H1670" s="19">
        <v>167.25</v>
      </c>
      <c r="I1670" s="15">
        <v>4504141</v>
      </c>
      <c r="J1670" s="19">
        <f t="shared" si="127"/>
        <v>-0.85951393005334242</v>
      </c>
      <c r="K1670" s="19">
        <f t="shared" si="128"/>
        <v>160.70099999999999</v>
      </c>
      <c r="L1670" s="19">
        <f t="shared" si="126"/>
        <v>181.42759999999998</v>
      </c>
      <c r="M1670" s="19">
        <f>MAX(G1574:G1670)</f>
        <v>251.87</v>
      </c>
      <c r="N1670" s="19">
        <f t="shared" si="129"/>
        <v>-33.596696708619525</v>
      </c>
      <c r="O1670" s="9" t="str">
        <f t="shared" si="130"/>
        <v>2024-05</v>
      </c>
    </row>
    <row r="1671" spans="1:15" x14ac:dyDescent="0.25">
      <c r="A1671" s="9" t="s">
        <v>316</v>
      </c>
      <c r="B1671" s="9" t="s">
        <v>317</v>
      </c>
      <c r="C1671" s="25" t="s">
        <v>143</v>
      </c>
      <c r="D1671" s="19">
        <v>167.25</v>
      </c>
      <c r="E1671" s="19">
        <v>168.2</v>
      </c>
      <c r="F1671" s="19">
        <v>166.96</v>
      </c>
      <c r="G1671" s="19">
        <v>167.77</v>
      </c>
      <c r="H1671" s="19">
        <v>167.77</v>
      </c>
      <c r="I1671" s="15">
        <v>5248742</v>
      </c>
      <c r="J1671" s="19">
        <f t="shared" si="127"/>
        <v>0.31091180866966228</v>
      </c>
      <c r="K1671" s="19">
        <f t="shared" si="128"/>
        <v>160.13200000000001</v>
      </c>
      <c r="L1671" s="19">
        <f t="shared" si="126"/>
        <v>180.98</v>
      </c>
      <c r="M1671" s="19">
        <f>MAX(G1574:G1671)</f>
        <v>251.87</v>
      </c>
      <c r="N1671" s="19">
        <f t="shared" si="129"/>
        <v>-33.390240997339895</v>
      </c>
      <c r="O1671" s="9" t="str">
        <f t="shared" si="130"/>
        <v>2024-05</v>
      </c>
    </row>
    <row r="1672" spans="1:15" x14ac:dyDescent="0.25">
      <c r="A1672" s="9" t="s">
        <v>316</v>
      </c>
      <c r="B1672" s="9" t="s">
        <v>317</v>
      </c>
      <c r="C1672" s="25" t="s">
        <v>144</v>
      </c>
      <c r="D1672" s="19">
        <v>167.77</v>
      </c>
      <c r="E1672" s="19">
        <v>169.17</v>
      </c>
      <c r="F1672" s="19">
        <v>167.62</v>
      </c>
      <c r="G1672" s="19">
        <v>168.6</v>
      </c>
      <c r="H1672" s="19">
        <v>168.6</v>
      </c>
      <c r="I1672" s="15">
        <v>2702635</v>
      </c>
      <c r="J1672" s="19">
        <f t="shared" si="127"/>
        <v>0.49472492102281934</v>
      </c>
      <c r="K1672" s="19">
        <f t="shared" si="128"/>
        <v>160.24799999999999</v>
      </c>
      <c r="L1672" s="19">
        <f t="shared" si="126"/>
        <v>180.65040000000005</v>
      </c>
      <c r="M1672" s="19">
        <f>MAX(G1574:G1672)</f>
        <v>251.87</v>
      </c>
      <c r="N1672" s="19">
        <f t="shared" si="129"/>
        <v>-33.060705919720498</v>
      </c>
      <c r="O1672" s="9" t="str">
        <f t="shared" si="130"/>
        <v>2024-05</v>
      </c>
    </row>
    <row r="1673" spans="1:15" x14ac:dyDescent="0.25">
      <c r="A1673" s="9" t="s">
        <v>316</v>
      </c>
      <c r="B1673" s="9" t="s">
        <v>317</v>
      </c>
      <c r="C1673" s="25" t="s">
        <v>145</v>
      </c>
      <c r="D1673" s="19">
        <v>168.6</v>
      </c>
      <c r="E1673" s="19">
        <v>173.57</v>
      </c>
      <c r="F1673" s="19">
        <v>168.24</v>
      </c>
      <c r="G1673" s="19">
        <v>173.08</v>
      </c>
      <c r="H1673" s="19">
        <v>173.08</v>
      </c>
      <c r="I1673" s="15">
        <v>4270837</v>
      </c>
      <c r="J1673" s="19">
        <f t="shared" si="127"/>
        <v>2.6571767497034511</v>
      </c>
      <c r="K1673" s="19">
        <f t="shared" si="128"/>
        <v>160.33799999999999</v>
      </c>
      <c r="L1673" s="19">
        <f t="shared" si="126"/>
        <v>180.29500000000004</v>
      </c>
      <c r="M1673" s="19">
        <f>MAX(G1574:G1673)</f>
        <v>251.87</v>
      </c>
      <c r="N1673" s="19">
        <f t="shared" si="129"/>
        <v>-31.282010561003688</v>
      </c>
      <c r="O1673" s="9" t="str">
        <f t="shared" si="130"/>
        <v>2024-05</v>
      </c>
    </row>
    <row r="1674" spans="1:15" x14ac:dyDescent="0.25">
      <c r="A1674" s="9" t="s">
        <v>316</v>
      </c>
      <c r="B1674" s="9" t="s">
        <v>317</v>
      </c>
      <c r="C1674" s="25" t="s">
        <v>146</v>
      </c>
      <c r="D1674" s="19">
        <v>173.08</v>
      </c>
      <c r="E1674" s="19">
        <v>185.32</v>
      </c>
      <c r="F1674" s="19">
        <v>172.33</v>
      </c>
      <c r="G1674" s="19">
        <v>184.26</v>
      </c>
      <c r="H1674" s="19">
        <v>184.26</v>
      </c>
      <c r="I1674" s="15">
        <v>9968081</v>
      </c>
      <c r="J1674" s="19">
        <f t="shared" si="127"/>
        <v>6.4594407210538343</v>
      </c>
      <c r="K1674" s="19">
        <f t="shared" si="128"/>
        <v>161.40050000000002</v>
      </c>
      <c r="L1674" s="19">
        <f t="shared" si="126"/>
        <v>180.0856</v>
      </c>
      <c r="M1674" s="19">
        <f>MAX(G1574:G1674)</f>
        <v>251.87</v>
      </c>
      <c r="N1674" s="19">
        <f t="shared" si="129"/>
        <v>-26.843212768491686</v>
      </c>
      <c r="O1674" s="9" t="str">
        <f t="shared" si="130"/>
        <v>2024-05</v>
      </c>
    </row>
    <row r="1675" spans="1:15" x14ac:dyDescent="0.25">
      <c r="A1675" s="9" t="s">
        <v>316</v>
      </c>
      <c r="B1675" s="9" t="s">
        <v>317</v>
      </c>
      <c r="C1675" s="25" t="s">
        <v>147</v>
      </c>
      <c r="D1675" s="19">
        <v>184.26</v>
      </c>
      <c r="E1675" s="19">
        <v>185.07</v>
      </c>
      <c r="F1675" s="19">
        <v>174.11</v>
      </c>
      <c r="G1675" s="19">
        <v>174.41</v>
      </c>
      <c r="H1675" s="19">
        <v>174.41</v>
      </c>
      <c r="I1675" s="15">
        <v>11547913</v>
      </c>
      <c r="J1675" s="19">
        <f t="shared" si="127"/>
        <v>-5.3457071529360656</v>
      </c>
      <c r="K1675" s="19">
        <f t="shared" si="128"/>
        <v>162.21949999999998</v>
      </c>
      <c r="L1675" s="19">
        <f t="shared" si="126"/>
        <v>179.83700000000002</v>
      </c>
      <c r="M1675" s="19">
        <f>MAX(G1574:G1675)</f>
        <v>251.87</v>
      </c>
      <c r="N1675" s="19">
        <f t="shared" si="129"/>
        <v>-30.753960376384647</v>
      </c>
      <c r="O1675" s="9" t="str">
        <f t="shared" si="130"/>
        <v>2024-05</v>
      </c>
    </row>
    <row r="1676" spans="1:15" x14ac:dyDescent="0.25">
      <c r="A1676" s="9" t="s">
        <v>316</v>
      </c>
      <c r="B1676" s="9" t="s">
        <v>317</v>
      </c>
      <c r="C1676" s="25" t="s">
        <v>148</v>
      </c>
      <c r="D1676" s="19">
        <v>174.41</v>
      </c>
      <c r="E1676" s="19">
        <v>183.98</v>
      </c>
      <c r="F1676" s="19">
        <v>173.69</v>
      </c>
      <c r="G1676" s="19">
        <v>183.93</v>
      </c>
      <c r="H1676" s="19">
        <v>183.93</v>
      </c>
      <c r="I1676" s="15">
        <v>13829430</v>
      </c>
      <c r="J1676" s="19">
        <f t="shared" si="127"/>
        <v>5.458402614528989</v>
      </c>
      <c r="K1676" s="19">
        <f t="shared" si="128"/>
        <v>163.732</v>
      </c>
      <c r="L1676" s="19">
        <f t="shared" si="126"/>
        <v>179.78820000000005</v>
      </c>
      <c r="M1676" s="19">
        <f>MAX(G1574:G1676)</f>
        <v>251.87</v>
      </c>
      <c r="N1676" s="19">
        <f t="shared" si="129"/>
        <v>-26.974232739111443</v>
      </c>
      <c r="O1676" s="9" t="str">
        <f t="shared" si="130"/>
        <v>2024-05</v>
      </c>
    </row>
    <row r="1677" spans="1:15" x14ac:dyDescent="0.25">
      <c r="A1677" s="9" t="s">
        <v>316</v>
      </c>
      <c r="B1677" s="9" t="s">
        <v>317</v>
      </c>
      <c r="C1677" s="25" t="s">
        <v>149</v>
      </c>
      <c r="D1677" s="19">
        <v>183.93</v>
      </c>
      <c r="E1677" s="19">
        <v>186.74</v>
      </c>
      <c r="F1677" s="19">
        <v>183.46</v>
      </c>
      <c r="G1677" s="19">
        <v>186.62</v>
      </c>
      <c r="H1677" s="19">
        <v>186.62</v>
      </c>
      <c r="I1677" s="15">
        <v>1770736</v>
      </c>
      <c r="J1677" s="19">
        <f t="shared" si="127"/>
        <v>1.4625129125210665</v>
      </c>
      <c r="K1677" s="19">
        <f t="shared" si="128"/>
        <v>165.48299999999998</v>
      </c>
      <c r="L1677" s="19">
        <f t="shared" si="126"/>
        <v>179.72140000000007</v>
      </c>
      <c r="M1677" s="19">
        <f>MAX(G1574:G1677)</f>
        <v>251.87</v>
      </c>
      <c r="N1677" s="19">
        <f t="shared" si="129"/>
        <v>-25.906221463453367</v>
      </c>
      <c r="O1677" s="9" t="str">
        <f t="shared" si="130"/>
        <v>2024-05</v>
      </c>
    </row>
    <row r="1678" spans="1:15" x14ac:dyDescent="0.25">
      <c r="A1678" s="9" t="s">
        <v>316</v>
      </c>
      <c r="B1678" s="9" t="s">
        <v>317</v>
      </c>
      <c r="C1678" s="25" t="s">
        <v>150</v>
      </c>
      <c r="D1678" s="19">
        <v>186.62</v>
      </c>
      <c r="E1678" s="19">
        <v>197.38</v>
      </c>
      <c r="F1678" s="19">
        <v>185.3</v>
      </c>
      <c r="G1678" s="19">
        <v>197.1</v>
      </c>
      <c r="H1678" s="19">
        <v>197.1</v>
      </c>
      <c r="I1678" s="15">
        <v>10611585</v>
      </c>
      <c r="J1678" s="19">
        <f t="shared" si="127"/>
        <v>5.6156896366948823</v>
      </c>
      <c r="K1678" s="19">
        <f t="shared" si="128"/>
        <v>167.96949999999998</v>
      </c>
      <c r="L1678" s="19">
        <f t="shared" si="126"/>
        <v>179.81060000000005</v>
      </c>
      <c r="M1678" s="19">
        <f>MAX(G1574:G1678)</f>
        <v>251.87</v>
      </c>
      <c r="N1678" s="19">
        <f t="shared" si="129"/>
        <v>-21.745344820740861</v>
      </c>
      <c r="O1678" s="9" t="str">
        <f t="shared" si="130"/>
        <v>2024-05</v>
      </c>
    </row>
    <row r="1679" spans="1:15" x14ac:dyDescent="0.25">
      <c r="A1679" s="9" t="s">
        <v>316</v>
      </c>
      <c r="B1679" s="9" t="s">
        <v>317</v>
      </c>
      <c r="C1679" s="25" t="s">
        <v>151</v>
      </c>
      <c r="D1679" s="19">
        <v>197.1</v>
      </c>
      <c r="E1679" s="19">
        <v>201.78</v>
      </c>
      <c r="F1679" s="19">
        <v>197.02</v>
      </c>
      <c r="G1679" s="19">
        <v>200.37</v>
      </c>
      <c r="H1679" s="19">
        <v>200.37</v>
      </c>
      <c r="I1679" s="15">
        <v>2179232</v>
      </c>
      <c r="J1679" s="19">
        <f t="shared" si="127"/>
        <v>1.6590563165905685</v>
      </c>
      <c r="K1679" s="19">
        <f t="shared" si="128"/>
        <v>170.57899999999995</v>
      </c>
      <c r="L1679" s="19">
        <f t="shared" si="126"/>
        <v>179.73440000000005</v>
      </c>
      <c r="M1679" s="19">
        <f>MAX(G1574:G1679)</f>
        <v>251.87</v>
      </c>
      <c r="N1679" s="19">
        <f t="shared" si="129"/>
        <v>-20.447056020963196</v>
      </c>
      <c r="O1679" s="9" t="str">
        <f t="shared" si="130"/>
        <v>2024-05</v>
      </c>
    </row>
    <row r="1680" spans="1:15" x14ac:dyDescent="0.25">
      <c r="A1680" s="9" t="s">
        <v>316</v>
      </c>
      <c r="B1680" s="9" t="s">
        <v>317</v>
      </c>
      <c r="C1680" s="25" t="s">
        <v>152</v>
      </c>
      <c r="D1680" s="19">
        <v>200.37</v>
      </c>
      <c r="E1680" s="19">
        <v>200.6</v>
      </c>
      <c r="F1680" s="19">
        <v>195.94</v>
      </c>
      <c r="G1680" s="19">
        <v>196.64</v>
      </c>
      <c r="H1680" s="19">
        <v>196.64</v>
      </c>
      <c r="I1680" s="15">
        <v>3403947</v>
      </c>
      <c r="J1680" s="19">
        <f t="shared" si="127"/>
        <v>-1.861556121175834</v>
      </c>
      <c r="K1680" s="19">
        <f t="shared" si="128"/>
        <v>173.01449999999997</v>
      </c>
      <c r="L1680" s="19">
        <f t="shared" si="126"/>
        <v>179.62140000000002</v>
      </c>
      <c r="M1680" s="19">
        <f>MAX(G1574:G1680)</f>
        <v>251.87</v>
      </c>
      <c r="N1680" s="19">
        <f t="shared" si="129"/>
        <v>-21.927978719180537</v>
      </c>
      <c r="O1680" s="9" t="str">
        <f t="shared" si="130"/>
        <v>2024-05</v>
      </c>
    </row>
    <row r="1681" spans="1:15" x14ac:dyDescent="0.25">
      <c r="A1681" s="9" t="s">
        <v>316</v>
      </c>
      <c r="B1681" s="9" t="s">
        <v>317</v>
      </c>
      <c r="C1681" s="25" t="s">
        <v>153</v>
      </c>
      <c r="D1681" s="19">
        <v>196.64</v>
      </c>
      <c r="E1681" s="19">
        <v>197.14</v>
      </c>
      <c r="F1681" s="19">
        <v>195.45</v>
      </c>
      <c r="G1681" s="19">
        <v>196.35</v>
      </c>
      <c r="H1681" s="19">
        <v>196.35</v>
      </c>
      <c r="I1681" s="15">
        <v>2819280</v>
      </c>
      <c r="J1681" s="19">
        <f t="shared" si="127"/>
        <v>-0.14747762408461759</v>
      </c>
      <c r="K1681" s="19">
        <f t="shared" si="128"/>
        <v>175.32599999999996</v>
      </c>
      <c r="L1681" s="19">
        <f t="shared" si="126"/>
        <v>179.53600000000006</v>
      </c>
      <c r="M1681" s="19">
        <f>MAX(G1574:G1681)</f>
        <v>251.87</v>
      </c>
      <c r="N1681" s="19">
        <f t="shared" si="129"/>
        <v>-22.043117481240326</v>
      </c>
      <c r="O1681" s="9" t="str">
        <f t="shared" si="130"/>
        <v>2024-05</v>
      </c>
    </row>
    <row r="1682" spans="1:15" x14ac:dyDescent="0.25">
      <c r="A1682" s="9" t="s">
        <v>316</v>
      </c>
      <c r="B1682" s="9" t="s">
        <v>317</v>
      </c>
      <c r="C1682" s="25" t="s">
        <v>154</v>
      </c>
      <c r="D1682" s="19">
        <v>196.35</v>
      </c>
      <c r="E1682" s="19">
        <v>196.82</v>
      </c>
      <c r="F1682" s="19">
        <v>194.16</v>
      </c>
      <c r="G1682" s="19">
        <v>194.54</v>
      </c>
      <c r="H1682" s="19">
        <v>194.54</v>
      </c>
      <c r="I1682" s="15">
        <v>5618951</v>
      </c>
      <c r="J1682" s="19">
        <f t="shared" si="127"/>
        <v>-0.92182327476445247</v>
      </c>
      <c r="K1682" s="19">
        <f t="shared" si="128"/>
        <v>177.65249999999997</v>
      </c>
      <c r="L1682" s="19">
        <f t="shared" si="126"/>
        <v>179.46240000000006</v>
      </c>
      <c r="M1682" s="19">
        <f>MAX(G1574:G1682)</f>
        <v>251.87</v>
      </c>
      <c r="N1682" s="19">
        <f t="shared" si="129"/>
        <v>-22.761742168579033</v>
      </c>
      <c r="O1682" s="9" t="str">
        <f t="shared" si="130"/>
        <v>2024-05</v>
      </c>
    </row>
    <row r="1683" spans="1:15" x14ac:dyDescent="0.25">
      <c r="A1683" s="9" t="s">
        <v>316</v>
      </c>
      <c r="B1683" s="9" t="s">
        <v>317</v>
      </c>
      <c r="C1683" s="25" t="s">
        <v>155</v>
      </c>
      <c r="D1683" s="19">
        <v>194.54</v>
      </c>
      <c r="E1683" s="19">
        <v>201.17</v>
      </c>
      <c r="F1683" s="19">
        <v>194.24</v>
      </c>
      <c r="G1683" s="19">
        <v>201.06</v>
      </c>
      <c r="H1683" s="19">
        <v>201.06</v>
      </c>
      <c r="I1683" s="15">
        <v>3681069</v>
      </c>
      <c r="J1683" s="19">
        <f t="shared" si="127"/>
        <v>3.351495836331865</v>
      </c>
      <c r="K1683" s="19">
        <f t="shared" si="128"/>
        <v>179.81199999999995</v>
      </c>
      <c r="L1683" s="19">
        <f t="shared" si="126"/>
        <v>179.31320000000008</v>
      </c>
      <c r="M1683" s="19">
        <f>MAX(G1574:G1683)</f>
        <v>251.87</v>
      </c>
      <c r="N1683" s="19">
        <f t="shared" si="129"/>
        <v>-20.173105173303689</v>
      </c>
      <c r="O1683" s="9" t="str">
        <f t="shared" si="130"/>
        <v>2024-05</v>
      </c>
    </row>
    <row r="1684" spans="1:15" x14ac:dyDescent="0.25">
      <c r="A1684" s="9" t="s">
        <v>316</v>
      </c>
      <c r="B1684" s="9" t="s">
        <v>317</v>
      </c>
      <c r="C1684" s="25" t="s">
        <v>156</v>
      </c>
      <c r="D1684" s="19">
        <v>201.06</v>
      </c>
      <c r="E1684" s="19">
        <v>202.41</v>
      </c>
      <c r="F1684" s="19">
        <v>200.81</v>
      </c>
      <c r="G1684" s="19">
        <v>201.14</v>
      </c>
      <c r="H1684" s="19">
        <v>201.14</v>
      </c>
      <c r="I1684" s="15">
        <v>2064805</v>
      </c>
      <c r="J1684" s="19">
        <f t="shared" si="127"/>
        <v>3.9789117676307613E-2</v>
      </c>
      <c r="K1684" s="19">
        <f t="shared" si="128"/>
        <v>181.74799999999996</v>
      </c>
      <c r="L1684" s="19">
        <f t="shared" si="126"/>
        <v>179.25300000000004</v>
      </c>
      <c r="M1684" s="19">
        <f>MAX(G1574:G1684)</f>
        <v>251.87</v>
      </c>
      <c r="N1684" s="19">
        <f t="shared" si="129"/>
        <v>-20.141342756183754</v>
      </c>
      <c r="O1684" s="9" t="str">
        <f t="shared" si="130"/>
        <v>2024-06</v>
      </c>
    </row>
    <row r="1685" spans="1:15" x14ac:dyDescent="0.25">
      <c r="A1685" s="9" t="s">
        <v>316</v>
      </c>
      <c r="B1685" s="9" t="s">
        <v>317</v>
      </c>
      <c r="C1685" s="25" t="s">
        <v>157</v>
      </c>
      <c r="D1685" s="19">
        <v>201.14</v>
      </c>
      <c r="E1685" s="19">
        <v>204.94</v>
      </c>
      <c r="F1685" s="19">
        <v>201.01</v>
      </c>
      <c r="G1685" s="19">
        <v>204.71</v>
      </c>
      <c r="H1685" s="19">
        <v>204.71</v>
      </c>
      <c r="I1685" s="15">
        <v>5188849</v>
      </c>
      <c r="J1685" s="19">
        <f t="shared" si="127"/>
        <v>1.7748831659540727</v>
      </c>
      <c r="K1685" s="19">
        <f t="shared" si="128"/>
        <v>183.81049999999999</v>
      </c>
      <c r="L1685" s="19">
        <f t="shared" si="126"/>
        <v>179.25340000000003</v>
      </c>
      <c r="M1685" s="19">
        <f>MAX(G1574:G1685)</f>
        <v>251.87</v>
      </c>
      <c r="N1685" s="19">
        <f t="shared" si="129"/>
        <v>-18.723944892206294</v>
      </c>
      <c r="O1685" s="9" t="str">
        <f t="shared" si="130"/>
        <v>2024-06</v>
      </c>
    </row>
    <row r="1686" spans="1:15" x14ac:dyDescent="0.25">
      <c r="A1686" s="9" t="s">
        <v>316</v>
      </c>
      <c r="B1686" s="9" t="s">
        <v>317</v>
      </c>
      <c r="C1686" s="25" t="s">
        <v>158</v>
      </c>
      <c r="D1686" s="19">
        <v>204.71</v>
      </c>
      <c r="E1686" s="19">
        <v>209.32</v>
      </c>
      <c r="F1686" s="19">
        <v>203.8</v>
      </c>
      <c r="G1686" s="19">
        <v>208.63</v>
      </c>
      <c r="H1686" s="19">
        <v>208.63</v>
      </c>
      <c r="I1686" s="15">
        <v>3113179</v>
      </c>
      <c r="J1686" s="19">
        <f t="shared" si="127"/>
        <v>1.9149040105515058</v>
      </c>
      <c r="K1686" s="19">
        <f t="shared" si="128"/>
        <v>185.81299999999999</v>
      </c>
      <c r="L1686" s="19">
        <f t="shared" si="126"/>
        <v>179.43380000000002</v>
      </c>
      <c r="M1686" s="19">
        <f>MAX(G1574:G1686)</f>
        <v>251.87</v>
      </c>
      <c r="N1686" s="19">
        <f t="shared" si="129"/>
        <v>-17.1675864533291</v>
      </c>
      <c r="O1686" s="9" t="str">
        <f t="shared" si="130"/>
        <v>2024-06</v>
      </c>
    </row>
    <row r="1687" spans="1:15" x14ac:dyDescent="0.25">
      <c r="A1687" s="9" t="s">
        <v>316</v>
      </c>
      <c r="B1687" s="9" t="s">
        <v>317</v>
      </c>
      <c r="C1687" s="25" t="s">
        <v>159</v>
      </c>
      <c r="D1687" s="19">
        <v>208.63</v>
      </c>
      <c r="E1687" s="19">
        <v>212.3</v>
      </c>
      <c r="F1687" s="19">
        <v>207.74</v>
      </c>
      <c r="G1687" s="19">
        <v>211.99</v>
      </c>
      <c r="H1687" s="19">
        <v>211.99</v>
      </c>
      <c r="I1687" s="15">
        <v>3792064</v>
      </c>
      <c r="J1687" s="19">
        <f t="shared" si="127"/>
        <v>1.6105066385467159</v>
      </c>
      <c r="K1687" s="19">
        <f t="shared" si="128"/>
        <v>187.78100000000001</v>
      </c>
      <c r="L1687" s="19">
        <f t="shared" ref="L1687:L1750" si="131">AVERAGE(G1638:G1687)</f>
        <v>179.60760000000002</v>
      </c>
      <c r="M1687" s="19">
        <f>MAX(G1574:G1687)</f>
        <v>251.87</v>
      </c>
      <c r="N1687" s="19">
        <f t="shared" si="129"/>
        <v>-15.833564934291497</v>
      </c>
      <c r="O1687" s="9" t="str">
        <f t="shared" si="130"/>
        <v>2024-06</v>
      </c>
    </row>
    <row r="1688" spans="1:15" x14ac:dyDescent="0.25">
      <c r="A1688" s="9" t="s">
        <v>316</v>
      </c>
      <c r="B1688" s="9" t="s">
        <v>317</v>
      </c>
      <c r="C1688" s="25" t="s">
        <v>160</v>
      </c>
      <c r="D1688" s="19">
        <v>211.99</v>
      </c>
      <c r="E1688" s="19">
        <v>224.41</v>
      </c>
      <c r="F1688" s="19">
        <v>211.84</v>
      </c>
      <c r="G1688" s="19">
        <v>223.1</v>
      </c>
      <c r="H1688" s="19">
        <v>223.1</v>
      </c>
      <c r="I1688" s="15">
        <v>6762549</v>
      </c>
      <c r="J1688" s="19">
        <f t="shared" si="127"/>
        <v>5.2408132459078187</v>
      </c>
      <c r="K1688" s="19">
        <f t="shared" si="128"/>
        <v>190.51249999999999</v>
      </c>
      <c r="L1688" s="19">
        <f t="shared" si="131"/>
        <v>180.42260000000002</v>
      </c>
      <c r="M1688" s="19">
        <f>MAX(G1574:G1688)</f>
        <v>251.87</v>
      </c>
      <c r="N1688" s="19">
        <f t="shared" si="129"/>
        <v>-11.422559256759444</v>
      </c>
      <c r="O1688" s="9" t="str">
        <f t="shared" si="130"/>
        <v>2024-06</v>
      </c>
    </row>
    <row r="1689" spans="1:15" x14ac:dyDescent="0.25">
      <c r="A1689" s="9" t="s">
        <v>316</v>
      </c>
      <c r="B1689" s="9" t="s">
        <v>317</v>
      </c>
      <c r="C1689" s="25" t="s">
        <v>161</v>
      </c>
      <c r="D1689" s="19">
        <v>223.1</v>
      </c>
      <c r="E1689" s="19">
        <v>223.65</v>
      </c>
      <c r="F1689" s="19">
        <v>215.47</v>
      </c>
      <c r="G1689" s="19">
        <v>215.64</v>
      </c>
      <c r="H1689" s="19">
        <v>215.64</v>
      </c>
      <c r="I1689" s="15">
        <v>5139008</v>
      </c>
      <c r="J1689" s="19">
        <f t="shared" si="127"/>
        <v>-3.3437920215150192</v>
      </c>
      <c r="K1689" s="19">
        <f t="shared" si="128"/>
        <v>192.85949999999997</v>
      </c>
      <c r="L1689" s="19">
        <f t="shared" si="131"/>
        <v>181.03800000000004</v>
      </c>
      <c r="M1689" s="19">
        <f>MAX(G1574:G1689)</f>
        <v>251.87</v>
      </c>
      <c r="N1689" s="19">
        <f t="shared" si="129"/>
        <v>-14.384404653194116</v>
      </c>
      <c r="O1689" s="9" t="str">
        <f t="shared" si="130"/>
        <v>2024-06</v>
      </c>
    </row>
    <row r="1690" spans="1:15" x14ac:dyDescent="0.25">
      <c r="A1690" s="9" t="s">
        <v>316</v>
      </c>
      <c r="B1690" s="9" t="s">
        <v>317</v>
      </c>
      <c r="C1690" s="25" t="s">
        <v>162</v>
      </c>
      <c r="D1690" s="19">
        <v>215.64</v>
      </c>
      <c r="E1690" s="19">
        <v>222.14</v>
      </c>
      <c r="F1690" s="19">
        <v>215.48</v>
      </c>
      <c r="G1690" s="19">
        <v>222.14</v>
      </c>
      <c r="H1690" s="19">
        <v>222.14</v>
      </c>
      <c r="I1690" s="15">
        <v>2733891</v>
      </c>
      <c r="J1690" s="19">
        <f t="shared" si="127"/>
        <v>3.0142830643665368</v>
      </c>
      <c r="K1690" s="19">
        <f t="shared" si="128"/>
        <v>195.60399999999998</v>
      </c>
      <c r="L1690" s="19">
        <f t="shared" si="131"/>
        <v>181.69160000000002</v>
      </c>
      <c r="M1690" s="19">
        <f>MAX(G1574:G1690)</f>
        <v>251.87</v>
      </c>
      <c r="N1690" s="19">
        <f t="shared" si="129"/>
        <v>-11.803708262198761</v>
      </c>
      <c r="O1690" s="9" t="str">
        <f t="shared" si="130"/>
        <v>2024-06</v>
      </c>
    </row>
    <row r="1691" spans="1:15" x14ac:dyDescent="0.25">
      <c r="A1691" s="9" t="s">
        <v>316</v>
      </c>
      <c r="B1691" s="9" t="s">
        <v>317</v>
      </c>
      <c r="C1691" s="25" t="s">
        <v>163</v>
      </c>
      <c r="D1691" s="19">
        <v>222.14</v>
      </c>
      <c r="E1691" s="19">
        <v>233.27</v>
      </c>
      <c r="F1691" s="19">
        <v>221.18</v>
      </c>
      <c r="G1691" s="19">
        <v>233.02</v>
      </c>
      <c r="H1691" s="19">
        <v>233.02</v>
      </c>
      <c r="I1691" s="15">
        <v>5539178</v>
      </c>
      <c r="J1691" s="19">
        <f t="shared" si="127"/>
        <v>4.8978121905104999</v>
      </c>
      <c r="K1691" s="19">
        <f t="shared" si="128"/>
        <v>198.86649999999995</v>
      </c>
      <c r="L1691" s="19">
        <f t="shared" si="131"/>
        <v>182.37960000000004</v>
      </c>
      <c r="M1691" s="19">
        <f>MAX(G1574:G1691)</f>
        <v>251.87</v>
      </c>
      <c r="N1691" s="19">
        <f t="shared" si="129"/>
        <v>-7.484019533886527</v>
      </c>
      <c r="O1691" s="9" t="str">
        <f t="shared" si="130"/>
        <v>2024-06</v>
      </c>
    </row>
    <row r="1692" spans="1:15" x14ac:dyDescent="0.25">
      <c r="A1692" s="9" t="s">
        <v>316</v>
      </c>
      <c r="B1692" s="9" t="s">
        <v>317</v>
      </c>
      <c r="C1692" s="25" t="s">
        <v>164</v>
      </c>
      <c r="D1692" s="19">
        <v>233.02</v>
      </c>
      <c r="E1692" s="19">
        <v>233.9</v>
      </c>
      <c r="F1692" s="19">
        <v>228.75</v>
      </c>
      <c r="G1692" s="19">
        <v>229.33</v>
      </c>
      <c r="H1692" s="19">
        <v>229.33</v>
      </c>
      <c r="I1692" s="15">
        <v>3387165</v>
      </c>
      <c r="J1692" s="19">
        <f t="shared" si="127"/>
        <v>-1.5835550596515309</v>
      </c>
      <c r="K1692" s="19">
        <f t="shared" si="128"/>
        <v>201.90299999999996</v>
      </c>
      <c r="L1692" s="19">
        <f t="shared" si="131"/>
        <v>182.78940000000003</v>
      </c>
      <c r="M1692" s="19">
        <f>MAX(G1574:G1692)</f>
        <v>251.87</v>
      </c>
      <c r="N1692" s="19">
        <f t="shared" si="129"/>
        <v>-8.949061023543889</v>
      </c>
      <c r="O1692" s="9" t="str">
        <f t="shared" si="130"/>
        <v>2024-06</v>
      </c>
    </row>
    <row r="1693" spans="1:15" x14ac:dyDescent="0.25">
      <c r="A1693" s="9" t="s">
        <v>316</v>
      </c>
      <c r="B1693" s="9" t="s">
        <v>317</v>
      </c>
      <c r="C1693" s="25" t="s">
        <v>165</v>
      </c>
      <c r="D1693" s="19">
        <v>229.33</v>
      </c>
      <c r="E1693" s="19">
        <v>229.58</v>
      </c>
      <c r="F1693" s="19">
        <v>227.56</v>
      </c>
      <c r="G1693" s="19">
        <v>228.45</v>
      </c>
      <c r="H1693" s="19">
        <v>228.45</v>
      </c>
      <c r="I1693" s="15">
        <v>2843541</v>
      </c>
      <c r="J1693" s="19">
        <f t="shared" si="127"/>
        <v>-0.38372650765273791</v>
      </c>
      <c r="K1693" s="19">
        <f t="shared" si="128"/>
        <v>204.67149999999998</v>
      </c>
      <c r="L1693" s="19">
        <f t="shared" si="131"/>
        <v>183.35860000000005</v>
      </c>
      <c r="M1693" s="19">
        <f>MAX(G1574:G1693)</f>
        <v>251.87</v>
      </c>
      <c r="N1693" s="19">
        <f t="shared" si="129"/>
        <v>-9.2984476118632688</v>
      </c>
      <c r="O1693" s="9" t="str">
        <f t="shared" si="130"/>
        <v>2024-06</v>
      </c>
    </row>
    <row r="1694" spans="1:15" x14ac:dyDescent="0.25">
      <c r="A1694" s="9" t="s">
        <v>316</v>
      </c>
      <c r="B1694" s="9" t="s">
        <v>317</v>
      </c>
      <c r="C1694" s="25" t="s">
        <v>166</v>
      </c>
      <c r="D1694" s="19">
        <v>228.45</v>
      </c>
      <c r="E1694" s="19">
        <v>229.71</v>
      </c>
      <c r="F1694" s="19">
        <v>213.57</v>
      </c>
      <c r="G1694" s="19">
        <v>213.73</v>
      </c>
      <c r="H1694" s="19">
        <v>213.73</v>
      </c>
      <c r="I1694" s="15">
        <v>14432281</v>
      </c>
      <c r="J1694" s="19">
        <f t="shared" si="127"/>
        <v>-6.443423068505143</v>
      </c>
      <c r="K1694" s="19">
        <f t="shared" si="128"/>
        <v>206.14499999999992</v>
      </c>
      <c r="L1694" s="19">
        <f t="shared" si="131"/>
        <v>183.58940000000007</v>
      </c>
      <c r="M1694" s="19">
        <f>MAX(G1574:G1694)</f>
        <v>251.87</v>
      </c>
      <c r="N1694" s="19">
        <f t="shared" si="129"/>
        <v>-15.142732361932747</v>
      </c>
      <c r="O1694" s="9" t="str">
        <f t="shared" si="130"/>
        <v>2024-06</v>
      </c>
    </row>
    <row r="1695" spans="1:15" x14ac:dyDescent="0.25">
      <c r="A1695" s="9" t="s">
        <v>316</v>
      </c>
      <c r="B1695" s="9" t="s">
        <v>317</v>
      </c>
      <c r="C1695" s="25" t="s">
        <v>167</v>
      </c>
      <c r="D1695" s="19">
        <v>213.73</v>
      </c>
      <c r="E1695" s="19">
        <v>213.76</v>
      </c>
      <c r="F1695" s="19">
        <v>212.83</v>
      </c>
      <c r="G1695" s="19">
        <v>213.12</v>
      </c>
      <c r="H1695" s="19">
        <v>213.12</v>
      </c>
      <c r="I1695" s="15">
        <v>3910757</v>
      </c>
      <c r="J1695" s="19">
        <f t="shared" si="127"/>
        <v>-0.28540682169091158</v>
      </c>
      <c r="K1695" s="19">
        <f t="shared" si="128"/>
        <v>208.08049999999997</v>
      </c>
      <c r="L1695" s="19">
        <f t="shared" si="131"/>
        <v>183.86740000000009</v>
      </c>
      <c r="M1695" s="19">
        <f>MAX(G1574:G1695)</f>
        <v>251.87</v>
      </c>
      <c r="N1695" s="19">
        <f t="shared" si="129"/>
        <v>-15.384920792472306</v>
      </c>
      <c r="O1695" s="9" t="str">
        <f t="shared" si="130"/>
        <v>2024-06</v>
      </c>
    </row>
    <row r="1696" spans="1:15" x14ac:dyDescent="0.25">
      <c r="A1696" s="9" t="s">
        <v>316</v>
      </c>
      <c r="B1696" s="9" t="s">
        <v>317</v>
      </c>
      <c r="C1696" s="25" t="s">
        <v>168</v>
      </c>
      <c r="D1696" s="19">
        <v>213.12</v>
      </c>
      <c r="E1696" s="19">
        <v>213.41</v>
      </c>
      <c r="F1696" s="19">
        <v>199.87</v>
      </c>
      <c r="G1696" s="19">
        <v>200.25</v>
      </c>
      <c r="H1696" s="19">
        <v>200.25</v>
      </c>
      <c r="I1696" s="15">
        <v>10114736</v>
      </c>
      <c r="J1696" s="19">
        <f t="shared" si="127"/>
        <v>-6.0388513513513535</v>
      </c>
      <c r="K1696" s="19">
        <f t="shared" si="128"/>
        <v>208.8965</v>
      </c>
      <c r="L1696" s="19">
        <f t="shared" si="131"/>
        <v>184.06160000000008</v>
      </c>
      <c r="M1696" s="19">
        <f>MAX(G1574:G1696)</f>
        <v>251.87</v>
      </c>
      <c r="N1696" s="19">
        <f t="shared" si="129"/>
        <v>-20.49469964664311</v>
      </c>
      <c r="O1696" s="9" t="str">
        <f t="shared" si="130"/>
        <v>2024-06</v>
      </c>
    </row>
    <row r="1697" spans="1:15" x14ac:dyDescent="0.25">
      <c r="A1697" s="9" t="s">
        <v>316</v>
      </c>
      <c r="B1697" s="9" t="s">
        <v>317</v>
      </c>
      <c r="C1697" s="25" t="s">
        <v>169</v>
      </c>
      <c r="D1697" s="19">
        <v>200.25</v>
      </c>
      <c r="E1697" s="19">
        <v>200.31</v>
      </c>
      <c r="F1697" s="19">
        <v>195.56</v>
      </c>
      <c r="G1697" s="19">
        <v>195.9</v>
      </c>
      <c r="H1697" s="19">
        <v>195.9</v>
      </c>
      <c r="I1697" s="15">
        <v>4564053</v>
      </c>
      <c r="J1697" s="19">
        <f t="shared" si="127"/>
        <v>-2.1722846441947539</v>
      </c>
      <c r="K1697" s="19">
        <f t="shared" si="128"/>
        <v>209.36049999999994</v>
      </c>
      <c r="L1697" s="19">
        <f t="shared" si="131"/>
        <v>184.13060000000004</v>
      </c>
      <c r="M1697" s="19">
        <f>MAX(G1574:G1697)</f>
        <v>251.87</v>
      </c>
      <c r="N1697" s="19">
        <f t="shared" si="129"/>
        <v>-22.221781077540001</v>
      </c>
      <c r="O1697" s="9" t="str">
        <f t="shared" si="130"/>
        <v>2024-06</v>
      </c>
    </row>
    <row r="1698" spans="1:15" x14ac:dyDescent="0.25">
      <c r="A1698" s="9" t="s">
        <v>316</v>
      </c>
      <c r="B1698" s="9" t="s">
        <v>317</v>
      </c>
      <c r="C1698" s="25" t="s">
        <v>170</v>
      </c>
      <c r="D1698" s="19">
        <v>195.9</v>
      </c>
      <c r="E1698" s="19">
        <v>196.46</v>
      </c>
      <c r="F1698" s="19">
        <v>189.59</v>
      </c>
      <c r="G1698" s="19">
        <v>191.1</v>
      </c>
      <c r="H1698" s="19">
        <v>191.1</v>
      </c>
      <c r="I1698" s="15">
        <v>3267972</v>
      </c>
      <c r="J1698" s="19">
        <f t="shared" si="127"/>
        <v>-2.4502297090352276</v>
      </c>
      <c r="K1698" s="19">
        <f t="shared" si="128"/>
        <v>209.06049999999999</v>
      </c>
      <c r="L1698" s="19">
        <f t="shared" si="131"/>
        <v>184.16060000000007</v>
      </c>
      <c r="M1698" s="19">
        <f>MAX(G1574:G1698)</f>
        <v>251.87</v>
      </c>
      <c r="N1698" s="19">
        <f t="shared" si="129"/>
        <v>-24.127526104736575</v>
      </c>
      <c r="O1698" s="9" t="str">
        <f t="shared" si="130"/>
        <v>2024-06</v>
      </c>
    </row>
    <row r="1699" spans="1:15" x14ac:dyDescent="0.25">
      <c r="A1699" s="9" t="s">
        <v>316</v>
      </c>
      <c r="B1699" s="9" t="s">
        <v>317</v>
      </c>
      <c r="C1699" s="25" t="s">
        <v>171</v>
      </c>
      <c r="D1699" s="19">
        <v>191.1</v>
      </c>
      <c r="E1699" s="19">
        <v>196.3</v>
      </c>
      <c r="F1699" s="19">
        <v>188.88</v>
      </c>
      <c r="G1699" s="19">
        <v>195.69</v>
      </c>
      <c r="H1699" s="19">
        <v>195.69</v>
      </c>
      <c r="I1699" s="15">
        <v>3550213</v>
      </c>
      <c r="J1699" s="19">
        <f t="shared" si="127"/>
        <v>2.4018838304552608</v>
      </c>
      <c r="K1699" s="19">
        <f t="shared" si="128"/>
        <v>208.82649999999995</v>
      </c>
      <c r="L1699" s="19">
        <f t="shared" si="131"/>
        <v>184.41360000000009</v>
      </c>
      <c r="M1699" s="19">
        <f>MAX(G1574:G1699)</f>
        <v>251.87</v>
      </c>
      <c r="N1699" s="19">
        <f t="shared" si="129"/>
        <v>-22.305157422479855</v>
      </c>
      <c r="O1699" s="9" t="str">
        <f t="shared" si="130"/>
        <v>2024-06</v>
      </c>
    </row>
    <row r="1700" spans="1:15" x14ac:dyDescent="0.25">
      <c r="A1700" s="9" t="s">
        <v>316</v>
      </c>
      <c r="B1700" s="9" t="s">
        <v>317</v>
      </c>
      <c r="C1700" s="25" t="s">
        <v>172</v>
      </c>
      <c r="D1700" s="19">
        <v>195.69</v>
      </c>
      <c r="E1700" s="19">
        <v>196.97</v>
      </c>
      <c r="F1700" s="19">
        <v>188.45</v>
      </c>
      <c r="G1700" s="19">
        <v>188.64</v>
      </c>
      <c r="H1700" s="19">
        <v>188.64</v>
      </c>
      <c r="I1700" s="15">
        <v>2576716</v>
      </c>
      <c r="J1700" s="19">
        <f t="shared" si="127"/>
        <v>-3.6026368235474533</v>
      </c>
      <c r="K1700" s="19">
        <f t="shared" si="128"/>
        <v>208.42649999999998</v>
      </c>
      <c r="L1700" s="19">
        <f t="shared" si="131"/>
        <v>184.30660000000003</v>
      </c>
      <c r="M1700" s="19">
        <f>MAX(G1574:G1700)</f>
        <v>251.87</v>
      </c>
      <c r="N1700" s="19">
        <f t="shared" si="129"/>
        <v>-25.104220431174816</v>
      </c>
      <c r="O1700" s="9" t="str">
        <f t="shared" si="130"/>
        <v>2024-06</v>
      </c>
    </row>
    <row r="1701" spans="1:15" x14ac:dyDescent="0.25">
      <c r="A1701" s="9" t="s">
        <v>316</v>
      </c>
      <c r="B1701" s="9" t="s">
        <v>317</v>
      </c>
      <c r="C1701" s="25" t="s">
        <v>173</v>
      </c>
      <c r="D1701" s="19">
        <v>188.64</v>
      </c>
      <c r="E1701" s="19">
        <v>193.26</v>
      </c>
      <c r="F1701" s="19">
        <v>188.29</v>
      </c>
      <c r="G1701" s="19">
        <v>192.71</v>
      </c>
      <c r="H1701" s="19">
        <v>192.71</v>
      </c>
      <c r="I1701" s="15">
        <v>3166479</v>
      </c>
      <c r="J1701" s="19">
        <f t="shared" si="127"/>
        <v>2.1575487701442015</v>
      </c>
      <c r="K1701" s="19">
        <f t="shared" si="128"/>
        <v>208.24449999999996</v>
      </c>
      <c r="L1701" s="19">
        <f t="shared" si="131"/>
        <v>184.57780000000002</v>
      </c>
      <c r="M1701" s="19">
        <f>MAX(G1574:G1701)</f>
        <v>251.87</v>
      </c>
      <c r="N1701" s="19">
        <f t="shared" si="129"/>
        <v>-23.488307460197717</v>
      </c>
      <c r="O1701" s="9" t="str">
        <f t="shared" si="130"/>
        <v>2024-06</v>
      </c>
    </row>
    <row r="1702" spans="1:15" x14ac:dyDescent="0.25">
      <c r="A1702" s="9" t="s">
        <v>316</v>
      </c>
      <c r="B1702" s="9" t="s">
        <v>317</v>
      </c>
      <c r="C1702" s="25" t="s">
        <v>174</v>
      </c>
      <c r="D1702" s="19">
        <v>192.71</v>
      </c>
      <c r="E1702" s="19">
        <v>194.06</v>
      </c>
      <c r="F1702" s="19">
        <v>183.82</v>
      </c>
      <c r="G1702" s="19">
        <v>184.98</v>
      </c>
      <c r="H1702" s="19">
        <v>184.98</v>
      </c>
      <c r="I1702" s="15">
        <v>2968599</v>
      </c>
      <c r="J1702" s="19">
        <f t="shared" si="127"/>
        <v>-4.0112085517098324</v>
      </c>
      <c r="K1702" s="19">
        <f t="shared" si="128"/>
        <v>207.76649999999995</v>
      </c>
      <c r="L1702" s="19">
        <f t="shared" si="131"/>
        <v>184.95180000000005</v>
      </c>
      <c r="M1702" s="19">
        <f>MAX(G1574:G1702)</f>
        <v>251.87</v>
      </c>
      <c r="N1702" s="19">
        <f t="shared" si="129"/>
        <v>-26.557351014412202</v>
      </c>
      <c r="O1702" s="9" t="str">
        <f t="shared" si="130"/>
        <v>2024-06</v>
      </c>
    </row>
    <row r="1703" spans="1:15" x14ac:dyDescent="0.25">
      <c r="A1703" s="9" t="s">
        <v>316</v>
      </c>
      <c r="B1703" s="9" t="s">
        <v>317</v>
      </c>
      <c r="C1703" s="25" t="s">
        <v>175</v>
      </c>
      <c r="D1703" s="19">
        <v>184.98</v>
      </c>
      <c r="E1703" s="19">
        <v>189.3</v>
      </c>
      <c r="F1703" s="19">
        <v>184.24</v>
      </c>
      <c r="G1703" s="19">
        <v>188.44</v>
      </c>
      <c r="H1703" s="19">
        <v>188.44</v>
      </c>
      <c r="I1703" s="15">
        <v>3097077</v>
      </c>
      <c r="J1703" s="19">
        <f t="shared" ref="J1703:J1766" si="132">IFERROR((G1703-G1702)/G1702*100,"")</f>
        <v>1.8704724835117352</v>
      </c>
      <c r="K1703" s="19">
        <f t="shared" si="128"/>
        <v>207.13549999999995</v>
      </c>
      <c r="L1703" s="19">
        <f t="shared" si="131"/>
        <v>185.29499999999999</v>
      </c>
      <c r="M1703" s="19">
        <f>MAX(G1574:G1703)</f>
        <v>251.87</v>
      </c>
      <c r="N1703" s="19">
        <f t="shared" si="129"/>
        <v>-25.183626473974673</v>
      </c>
      <c r="O1703" s="9" t="str">
        <f t="shared" si="130"/>
        <v>2024-06</v>
      </c>
    </row>
    <row r="1704" spans="1:15" x14ac:dyDescent="0.25">
      <c r="A1704" s="9" t="s">
        <v>316</v>
      </c>
      <c r="B1704" s="9" t="s">
        <v>317</v>
      </c>
      <c r="C1704" s="25" t="s">
        <v>176</v>
      </c>
      <c r="D1704" s="19">
        <v>188.44</v>
      </c>
      <c r="E1704" s="19">
        <v>188.82</v>
      </c>
      <c r="F1704" s="19">
        <v>178.45</v>
      </c>
      <c r="G1704" s="19">
        <v>178.82</v>
      </c>
      <c r="H1704" s="19">
        <v>178.82</v>
      </c>
      <c r="I1704" s="15">
        <v>18855008</v>
      </c>
      <c r="J1704" s="19">
        <f t="shared" si="132"/>
        <v>-5.1050732328592678</v>
      </c>
      <c r="K1704" s="19">
        <f t="shared" si="128"/>
        <v>206.01949999999997</v>
      </c>
      <c r="L1704" s="19">
        <f t="shared" si="131"/>
        <v>185.6112</v>
      </c>
      <c r="M1704" s="19">
        <f>MAX(G1574:G1704)</f>
        <v>251.87</v>
      </c>
      <c r="N1704" s="19">
        <f t="shared" si="129"/>
        <v>-29.003057132647797</v>
      </c>
      <c r="O1704" s="9" t="str">
        <f t="shared" si="130"/>
        <v>2024-07</v>
      </c>
    </row>
    <row r="1705" spans="1:15" x14ac:dyDescent="0.25">
      <c r="A1705" s="9" t="s">
        <v>316</v>
      </c>
      <c r="B1705" s="9" t="s">
        <v>317</v>
      </c>
      <c r="C1705" s="25" t="s">
        <v>177</v>
      </c>
      <c r="D1705" s="19">
        <v>178.82</v>
      </c>
      <c r="E1705" s="19">
        <v>179.06</v>
      </c>
      <c r="F1705" s="19">
        <v>171</v>
      </c>
      <c r="G1705" s="19">
        <v>171.97</v>
      </c>
      <c r="H1705" s="19">
        <v>171.97</v>
      </c>
      <c r="I1705" s="15">
        <v>2629993</v>
      </c>
      <c r="J1705" s="19">
        <f t="shared" si="132"/>
        <v>-3.830667710546916</v>
      </c>
      <c r="K1705" s="19">
        <f t="shared" si="128"/>
        <v>204.38249999999999</v>
      </c>
      <c r="L1705" s="19">
        <f t="shared" si="131"/>
        <v>185.88999999999996</v>
      </c>
      <c r="M1705" s="19">
        <f>MAX(G1574:G1705)</f>
        <v>251.87</v>
      </c>
      <c r="N1705" s="19">
        <f t="shared" si="129"/>
        <v>-31.722714098542902</v>
      </c>
      <c r="O1705" s="9" t="str">
        <f t="shared" si="130"/>
        <v>2024-07</v>
      </c>
    </row>
    <row r="1706" spans="1:15" x14ac:dyDescent="0.25">
      <c r="A1706" s="9" t="s">
        <v>316</v>
      </c>
      <c r="B1706" s="9" t="s">
        <v>317</v>
      </c>
      <c r="C1706" s="25" t="s">
        <v>178</v>
      </c>
      <c r="D1706" s="19">
        <v>171.97</v>
      </c>
      <c r="E1706" s="19">
        <v>172.11</v>
      </c>
      <c r="F1706" s="19">
        <v>169.15</v>
      </c>
      <c r="G1706" s="19">
        <v>169.75</v>
      </c>
      <c r="H1706" s="19">
        <v>169.75</v>
      </c>
      <c r="I1706" s="15">
        <v>6195544</v>
      </c>
      <c r="J1706" s="19">
        <f t="shared" si="132"/>
        <v>-1.2909228353782629</v>
      </c>
      <c r="K1706" s="19">
        <f t="shared" si="128"/>
        <v>202.4385</v>
      </c>
      <c r="L1706" s="19">
        <f t="shared" si="131"/>
        <v>186.21139999999997</v>
      </c>
      <c r="M1706" s="19">
        <f>MAX(G1574:G1706)</f>
        <v>251.87</v>
      </c>
      <c r="N1706" s="19">
        <f t="shared" si="129"/>
        <v>-32.604121173621316</v>
      </c>
      <c r="O1706" s="9" t="str">
        <f t="shared" si="130"/>
        <v>2024-07</v>
      </c>
    </row>
    <row r="1707" spans="1:15" x14ac:dyDescent="0.25">
      <c r="A1707" s="9" t="s">
        <v>316</v>
      </c>
      <c r="B1707" s="9" t="s">
        <v>317</v>
      </c>
      <c r="C1707" s="25" t="s">
        <v>179</v>
      </c>
      <c r="D1707" s="19">
        <v>169.75</v>
      </c>
      <c r="E1707" s="19">
        <v>170.24</v>
      </c>
      <c r="F1707" s="19">
        <v>166.49</v>
      </c>
      <c r="G1707" s="19">
        <v>167.37</v>
      </c>
      <c r="H1707" s="19">
        <v>167.37</v>
      </c>
      <c r="I1707" s="15">
        <v>6119986</v>
      </c>
      <c r="J1707" s="19">
        <f t="shared" si="132"/>
        <v>-1.4020618556701003</v>
      </c>
      <c r="K1707" s="19">
        <f t="shared" si="128"/>
        <v>200.20750000000001</v>
      </c>
      <c r="L1707" s="19">
        <f t="shared" si="131"/>
        <v>186.52680000000001</v>
      </c>
      <c r="M1707" s="19">
        <f>MAX(G1574:G1707)</f>
        <v>251.87</v>
      </c>
      <c r="N1707" s="19">
        <f t="shared" si="129"/>
        <v>-33.549053082939615</v>
      </c>
      <c r="O1707" s="9" t="str">
        <f t="shared" si="130"/>
        <v>2024-07</v>
      </c>
    </row>
    <row r="1708" spans="1:15" x14ac:dyDescent="0.25">
      <c r="A1708" s="9" t="s">
        <v>316</v>
      </c>
      <c r="B1708" s="9" t="s">
        <v>317</v>
      </c>
      <c r="C1708" s="25" t="s">
        <v>180</v>
      </c>
      <c r="D1708" s="19">
        <v>167.37</v>
      </c>
      <c r="E1708" s="19">
        <v>167.89</v>
      </c>
      <c r="F1708" s="19">
        <v>156.43</v>
      </c>
      <c r="G1708" s="19">
        <v>156.66</v>
      </c>
      <c r="H1708" s="19">
        <v>156.66</v>
      </c>
      <c r="I1708" s="15">
        <v>17505748</v>
      </c>
      <c r="J1708" s="19">
        <f t="shared" si="132"/>
        <v>-6.3989962358845718</v>
      </c>
      <c r="K1708" s="19">
        <f t="shared" si="128"/>
        <v>196.88549999999998</v>
      </c>
      <c r="L1708" s="19">
        <f t="shared" si="131"/>
        <v>186.71260000000001</v>
      </c>
      <c r="M1708" s="19">
        <f>MAX(G1574:G1708)</f>
        <v>251.87</v>
      </c>
      <c r="N1708" s="19">
        <f t="shared" si="129"/>
        <v>-37.801246674871955</v>
      </c>
      <c r="O1708" s="9" t="str">
        <f t="shared" si="130"/>
        <v>2024-07</v>
      </c>
    </row>
    <row r="1709" spans="1:15" x14ac:dyDescent="0.25">
      <c r="A1709" s="9" t="s">
        <v>316</v>
      </c>
      <c r="B1709" s="9" t="s">
        <v>317</v>
      </c>
      <c r="C1709" s="25" t="s">
        <v>181</v>
      </c>
      <c r="D1709" s="19">
        <v>156.66</v>
      </c>
      <c r="E1709" s="19">
        <v>162.15</v>
      </c>
      <c r="F1709" s="19">
        <v>156.07</v>
      </c>
      <c r="G1709" s="19">
        <v>161.80000000000001</v>
      </c>
      <c r="H1709" s="19">
        <v>161.80000000000001</v>
      </c>
      <c r="I1709" s="15">
        <v>3187605</v>
      </c>
      <c r="J1709" s="19">
        <f t="shared" si="132"/>
        <v>3.2809906804544973</v>
      </c>
      <c r="K1709" s="19">
        <f t="shared" si="128"/>
        <v>194.1935</v>
      </c>
      <c r="L1709" s="19">
        <f t="shared" si="131"/>
        <v>186.98499999999996</v>
      </c>
      <c r="M1709" s="19">
        <f>MAX(G1574:G1709)</f>
        <v>251.87</v>
      </c>
      <c r="N1709" s="19">
        <f t="shared" si="129"/>
        <v>-35.760511374915623</v>
      </c>
      <c r="O1709" s="9" t="str">
        <f t="shared" si="130"/>
        <v>2024-07</v>
      </c>
    </row>
    <row r="1710" spans="1:15" x14ac:dyDescent="0.25">
      <c r="A1710" s="9" t="s">
        <v>316</v>
      </c>
      <c r="B1710" s="9" t="s">
        <v>317</v>
      </c>
      <c r="C1710" s="25" t="s">
        <v>182</v>
      </c>
      <c r="D1710" s="19">
        <v>161.80000000000001</v>
      </c>
      <c r="E1710" s="19">
        <v>162.34</v>
      </c>
      <c r="F1710" s="19">
        <v>157.19</v>
      </c>
      <c r="G1710" s="19">
        <v>157.47</v>
      </c>
      <c r="H1710" s="19">
        <v>157.47</v>
      </c>
      <c r="I1710" s="15">
        <v>5073668</v>
      </c>
      <c r="J1710" s="19">
        <f t="shared" si="132"/>
        <v>-2.6761433868974116</v>
      </c>
      <c r="K1710" s="19">
        <f t="shared" si="128"/>
        <v>190.95999999999998</v>
      </c>
      <c r="L1710" s="19">
        <f t="shared" si="131"/>
        <v>187.17579999999995</v>
      </c>
      <c r="M1710" s="19">
        <f>MAX(G1574:G1710)</f>
        <v>251.87</v>
      </c>
      <c r="N1710" s="19">
        <f t="shared" si="129"/>
        <v>-37.479652201532538</v>
      </c>
      <c r="O1710" s="9" t="str">
        <f t="shared" si="130"/>
        <v>2024-07</v>
      </c>
    </row>
    <row r="1711" spans="1:15" x14ac:dyDescent="0.25">
      <c r="A1711" s="9" t="s">
        <v>316</v>
      </c>
      <c r="B1711" s="9" t="s">
        <v>317</v>
      </c>
      <c r="C1711" s="25" t="s">
        <v>183</v>
      </c>
      <c r="D1711" s="19">
        <v>157.47</v>
      </c>
      <c r="E1711" s="19">
        <v>163.59</v>
      </c>
      <c r="F1711" s="19">
        <v>157.01</v>
      </c>
      <c r="G1711" s="19">
        <v>162.49</v>
      </c>
      <c r="H1711" s="19">
        <v>162.49</v>
      </c>
      <c r="I1711" s="15">
        <v>6138158</v>
      </c>
      <c r="J1711" s="19">
        <f t="shared" si="132"/>
        <v>3.1879088080269327</v>
      </c>
      <c r="K1711" s="19">
        <f t="shared" si="128"/>
        <v>187.43350000000001</v>
      </c>
      <c r="L1711" s="19">
        <f t="shared" si="131"/>
        <v>187.42319999999995</v>
      </c>
      <c r="M1711" s="19">
        <f>MAX(G1574:G1711)</f>
        <v>251.87</v>
      </c>
      <c r="N1711" s="19">
        <f t="shared" si="129"/>
        <v>-35.486560527256124</v>
      </c>
      <c r="O1711" s="9" t="str">
        <f t="shared" si="130"/>
        <v>2024-07</v>
      </c>
    </row>
    <row r="1712" spans="1:15" x14ac:dyDescent="0.25">
      <c r="A1712" s="9" t="s">
        <v>316</v>
      </c>
      <c r="B1712" s="9" t="s">
        <v>317</v>
      </c>
      <c r="C1712" s="25" t="s">
        <v>184</v>
      </c>
      <c r="D1712" s="19">
        <v>162.49</v>
      </c>
      <c r="E1712" s="19">
        <v>162.83000000000001</v>
      </c>
      <c r="F1712" s="19">
        <v>152.66999999999999</v>
      </c>
      <c r="G1712" s="19">
        <v>153.12</v>
      </c>
      <c r="H1712" s="19">
        <v>153.12</v>
      </c>
      <c r="I1712" s="15">
        <v>6796356</v>
      </c>
      <c r="J1712" s="19">
        <f t="shared" si="132"/>
        <v>-5.7665087082282014</v>
      </c>
      <c r="K1712" s="19">
        <f t="shared" si="128"/>
        <v>183.62299999999999</v>
      </c>
      <c r="L1712" s="19">
        <f t="shared" si="131"/>
        <v>187.52539999999996</v>
      </c>
      <c r="M1712" s="19">
        <f>MAX(G1574:G1712)</f>
        <v>251.87</v>
      </c>
      <c r="N1712" s="19">
        <f t="shared" si="129"/>
        <v>-39.206733632429426</v>
      </c>
      <c r="O1712" s="9" t="str">
        <f t="shared" si="130"/>
        <v>2024-07</v>
      </c>
    </row>
    <row r="1713" spans="1:15" x14ac:dyDescent="0.25">
      <c r="A1713" s="9" t="s">
        <v>316</v>
      </c>
      <c r="B1713" s="9" t="s">
        <v>317</v>
      </c>
      <c r="C1713" s="25" t="s">
        <v>185</v>
      </c>
      <c r="D1713" s="19">
        <v>153.12</v>
      </c>
      <c r="E1713" s="19">
        <v>160.94999999999999</v>
      </c>
      <c r="F1713" s="19">
        <v>152.46</v>
      </c>
      <c r="G1713" s="19">
        <v>160.51</v>
      </c>
      <c r="H1713" s="19">
        <v>160.51</v>
      </c>
      <c r="I1713" s="15">
        <v>4390524</v>
      </c>
      <c r="J1713" s="19">
        <f t="shared" si="132"/>
        <v>4.8262800417972738</v>
      </c>
      <c r="K1713" s="19">
        <f t="shared" si="128"/>
        <v>180.22599999999997</v>
      </c>
      <c r="L1713" s="19">
        <f t="shared" si="131"/>
        <v>187.57819999999995</v>
      </c>
      <c r="M1713" s="19">
        <f>MAX(G1574:G1713)</f>
        <v>251.87</v>
      </c>
      <c r="N1713" s="19">
        <f t="shared" si="129"/>
        <v>-36.27268035097471</v>
      </c>
      <c r="O1713" s="9" t="str">
        <f t="shared" si="130"/>
        <v>2024-07</v>
      </c>
    </row>
    <row r="1714" spans="1:15" x14ac:dyDescent="0.25">
      <c r="A1714" s="9" t="s">
        <v>316</v>
      </c>
      <c r="B1714" s="9" t="s">
        <v>317</v>
      </c>
      <c r="C1714" s="25" t="s">
        <v>186</v>
      </c>
      <c r="D1714" s="19">
        <v>160.51</v>
      </c>
      <c r="E1714" s="19">
        <v>161.86000000000001</v>
      </c>
      <c r="F1714" s="19">
        <v>158.68</v>
      </c>
      <c r="G1714" s="19">
        <v>158.94999999999999</v>
      </c>
      <c r="H1714" s="19">
        <v>158.94999999999999</v>
      </c>
      <c r="I1714" s="15">
        <v>1569030</v>
      </c>
      <c r="J1714" s="19">
        <f t="shared" si="132"/>
        <v>-0.97190206217681285</v>
      </c>
      <c r="K1714" s="19">
        <f t="shared" si="128"/>
        <v>177.48699999999999</v>
      </c>
      <c r="L1714" s="19">
        <f t="shared" si="131"/>
        <v>187.50879999999998</v>
      </c>
      <c r="M1714" s="19">
        <f>MAX(G1574:G1714)</f>
        <v>251.87</v>
      </c>
      <c r="N1714" s="19">
        <f t="shared" si="129"/>
        <v>-36.892047484813602</v>
      </c>
      <c r="O1714" s="9" t="str">
        <f t="shared" si="130"/>
        <v>2024-07</v>
      </c>
    </row>
    <row r="1715" spans="1:15" x14ac:dyDescent="0.25">
      <c r="A1715" s="9" t="s">
        <v>316</v>
      </c>
      <c r="B1715" s="9" t="s">
        <v>317</v>
      </c>
      <c r="C1715" s="25" t="s">
        <v>187</v>
      </c>
      <c r="D1715" s="19">
        <v>158.94999999999999</v>
      </c>
      <c r="E1715" s="19">
        <v>160.16</v>
      </c>
      <c r="F1715" s="19">
        <v>152.69999999999999</v>
      </c>
      <c r="G1715" s="19">
        <v>153.04</v>
      </c>
      <c r="H1715" s="19">
        <v>153.04</v>
      </c>
      <c r="I1715" s="15">
        <v>2955692</v>
      </c>
      <c r="J1715" s="19">
        <f t="shared" si="132"/>
        <v>-3.7181503617489757</v>
      </c>
      <c r="K1715" s="19">
        <f t="shared" si="128"/>
        <v>174.483</v>
      </c>
      <c r="L1715" s="19">
        <f t="shared" si="131"/>
        <v>187.3004</v>
      </c>
      <c r="M1715" s="19">
        <f>MAX(G1574:G1715)</f>
        <v>251.87</v>
      </c>
      <c r="N1715" s="19">
        <f t="shared" si="129"/>
        <v>-39.238496049549376</v>
      </c>
      <c r="O1715" s="9" t="str">
        <f t="shared" si="130"/>
        <v>2024-07</v>
      </c>
    </row>
    <row r="1716" spans="1:15" x14ac:dyDescent="0.25">
      <c r="A1716" s="9" t="s">
        <v>316</v>
      </c>
      <c r="B1716" s="9" t="s">
        <v>317</v>
      </c>
      <c r="C1716" s="25" t="s">
        <v>188</v>
      </c>
      <c r="D1716" s="19">
        <v>153.04</v>
      </c>
      <c r="E1716" s="19">
        <v>154.30000000000001</v>
      </c>
      <c r="F1716" s="19">
        <v>152.91999999999999</v>
      </c>
      <c r="G1716" s="19">
        <v>154.26</v>
      </c>
      <c r="H1716" s="19">
        <v>154.26</v>
      </c>
      <c r="I1716" s="15">
        <v>5125498</v>
      </c>
      <c r="J1716" s="19">
        <f t="shared" si="132"/>
        <v>0.7971772085729214</v>
      </c>
      <c r="K1716" s="19">
        <f t="shared" si="128"/>
        <v>172.18350000000001</v>
      </c>
      <c r="L1716" s="19">
        <f t="shared" si="131"/>
        <v>187.01400000000001</v>
      </c>
      <c r="M1716" s="19">
        <f>MAX(G1574:G1716)</f>
        <v>251.87</v>
      </c>
      <c r="N1716" s="19">
        <f t="shared" si="129"/>
        <v>-38.754119188470249</v>
      </c>
      <c r="O1716" s="9" t="str">
        <f t="shared" si="130"/>
        <v>2024-07</v>
      </c>
    </row>
    <row r="1717" spans="1:15" x14ac:dyDescent="0.25">
      <c r="A1717" s="9" t="s">
        <v>316</v>
      </c>
      <c r="B1717" s="9" t="s">
        <v>317</v>
      </c>
      <c r="C1717" s="25" t="s">
        <v>189</v>
      </c>
      <c r="D1717" s="19">
        <v>154.26</v>
      </c>
      <c r="E1717" s="19">
        <v>156.13999999999999</v>
      </c>
      <c r="F1717" s="19">
        <v>154.13999999999999</v>
      </c>
      <c r="G1717" s="19">
        <v>154.37</v>
      </c>
      <c r="H1717" s="19">
        <v>154.37</v>
      </c>
      <c r="I1717" s="15">
        <v>3042623</v>
      </c>
      <c r="J1717" s="19">
        <f t="shared" si="132"/>
        <v>7.1308180993137335E-2</v>
      </c>
      <c r="K1717" s="19">
        <f t="shared" si="128"/>
        <v>170.10699999999997</v>
      </c>
      <c r="L1717" s="19">
        <f t="shared" si="131"/>
        <v>186.64880000000005</v>
      </c>
      <c r="M1717" s="19">
        <f>MAX(G1574:G1717)</f>
        <v>251.87</v>
      </c>
      <c r="N1717" s="19">
        <f t="shared" si="129"/>
        <v>-38.710445864930321</v>
      </c>
      <c r="O1717" s="9" t="str">
        <f t="shared" si="130"/>
        <v>2024-07</v>
      </c>
    </row>
    <row r="1718" spans="1:15" x14ac:dyDescent="0.25">
      <c r="A1718" s="9" t="s">
        <v>316</v>
      </c>
      <c r="B1718" s="9" t="s">
        <v>317</v>
      </c>
      <c r="C1718" s="25" t="s">
        <v>190</v>
      </c>
      <c r="D1718" s="19">
        <v>154.37</v>
      </c>
      <c r="E1718" s="19">
        <v>157.96</v>
      </c>
      <c r="F1718" s="19">
        <v>154.1</v>
      </c>
      <c r="G1718" s="19">
        <v>157.81</v>
      </c>
      <c r="H1718" s="19">
        <v>157.81</v>
      </c>
      <c r="I1718" s="15">
        <v>3120212</v>
      </c>
      <c r="J1718" s="19">
        <f t="shared" si="132"/>
        <v>2.2284122562674082</v>
      </c>
      <c r="K1718" s="19">
        <f t="shared" si="128"/>
        <v>168.4425</v>
      </c>
      <c r="L1718" s="19">
        <f t="shared" si="131"/>
        <v>186.43560000000005</v>
      </c>
      <c r="M1718" s="19">
        <f>MAX(G1574:G1718)</f>
        <v>251.87</v>
      </c>
      <c r="N1718" s="19">
        <f t="shared" si="129"/>
        <v>-37.34466192877278</v>
      </c>
      <c r="O1718" s="9" t="str">
        <f t="shared" si="130"/>
        <v>2024-07</v>
      </c>
    </row>
    <row r="1719" spans="1:15" x14ac:dyDescent="0.25">
      <c r="A1719" s="9" t="s">
        <v>316</v>
      </c>
      <c r="B1719" s="9" t="s">
        <v>317</v>
      </c>
      <c r="C1719" s="25" t="s">
        <v>191</v>
      </c>
      <c r="D1719" s="19">
        <v>157.81</v>
      </c>
      <c r="E1719" s="19">
        <v>160.31</v>
      </c>
      <c r="F1719" s="19">
        <v>157.74</v>
      </c>
      <c r="G1719" s="19">
        <v>159.12</v>
      </c>
      <c r="H1719" s="19">
        <v>159.12</v>
      </c>
      <c r="I1719" s="15">
        <v>4182921</v>
      </c>
      <c r="J1719" s="19">
        <f t="shared" si="132"/>
        <v>0.83011216019263823</v>
      </c>
      <c r="K1719" s="19">
        <f t="shared" si="128"/>
        <v>166.61399999999998</v>
      </c>
      <c r="L1719" s="19">
        <f t="shared" si="131"/>
        <v>186.24400000000003</v>
      </c>
      <c r="M1719" s="19">
        <f>MAX(G1574:G1719)</f>
        <v>251.87</v>
      </c>
      <c r="N1719" s="19">
        <f t="shared" si="129"/>
        <v>-36.824552348433713</v>
      </c>
      <c r="O1719" s="9" t="str">
        <f t="shared" si="130"/>
        <v>2024-07</v>
      </c>
    </row>
    <row r="1720" spans="1:15" x14ac:dyDescent="0.25">
      <c r="A1720" s="9" t="s">
        <v>316</v>
      </c>
      <c r="B1720" s="9" t="s">
        <v>317</v>
      </c>
      <c r="C1720" s="25" t="s">
        <v>192</v>
      </c>
      <c r="D1720" s="19">
        <v>159.12</v>
      </c>
      <c r="E1720" s="19">
        <v>166.53</v>
      </c>
      <c r="F1720" s="19">
        <v>158.56</v>
      </c>
      <c r="G1720" s="19">
        <v>165.76</v>
      </c>
      <c r="H1720" s="19">
        <v>165.76</v>
      </c>
      <c r="I1720" s="15">
        <v>3145335</v>
      </c>
      <c r="J1720" s="19">
        <f t="shared" si="132"/>
        <v>4.1729512317747526</v>
      </c>
      <c r="K1720" s="19">
        <f t="shared" si="128"/>
        <v>165.46999999999997</v>
      </c>
      <c r="L1720" s="19">
        <f t="shared" si="131"/>
        <v>186.21420000000001</v>
      </c>
      <c r="M1720" s="19">
        <f>MAX(G1574:G1720)</f>
        <v>251.87</v>
      </c>
      <c r="N1720" s="19">
        <f t="shared" si="129"/>
        <v>-34.188271727478465</v>
      </c>
      <c r="O1720" s="9" t="str">
        <f t="shared" si="130"/>
        <v>2024-07</v>
      </c>
    </row>
    <row r="1721" spans="1:15" x14ac:dyDescent="0.25">
      <c r="A1721" s="9" t="s">
        <v>316</v>
      </c>
      <c r="B1721" s="9" t="s">
        <v>317</v>
      </c>
      <c r="C1721" s="25" t="s">
        <v>193</v>
      </c>
      <c r="D1721" s="19">
        <v>165.76</v>
      </c>
      <c r="E1721" s="19">
        <v>173.68</v>
      </c>
      <c r="F1721" s="19">
        <v>164.98</v>
      </c>
      <c r="G1721" s="19">
        <v>172.69</v>
      </c>
      <c r="H1721" s="19">
        <v>172.69</v>
      </c>
      <c r="I1721" s="15">
        <v>2505287</v>
      </c>
      <c r="J1721" s="19">
        <f t="shared" si="132"/>
        <v>4.1807432432432474</v>
      </c>
      <c r="K1721" s="19">
        <f t="shared" ref="K1721:K1784" si="133">AVERAGE(G1702:G1721)</f>
        <v>164.46899999999999</v>
      </c>
      <c r="L1721" s="19">
        <f t="shared" si="131"/>
        <v>186.31260000000003</v>
      </c>
      <c r="M1721" s="19">
        <f>MAX(G1574:G1721)</f>
        <v>251.87</v>
      </c>
      <c r="N1721" s="19">
        <f t="shared" si="129"/>
        <v>-31.436852344463418</v>
      </c>
      <c r="O1721" s="9" t="str">
        <f t="shared" si="130"/>
        <v>2024-07</v>
      </c>
    </row>
    <row r="1722" spans="1:15" x14ac:dyDescent="0.25">
      <c r="A1722" s="9" t="s">
        <v>316</v>
      </c>
      <c r="B1722" s="9" t="s">
        <v>317</v>
      </c>
      <c r="C1722" s="25" t="s">
        <v>194</v>
      </c>
      <c r="D1722" s="19">
        <v>172.69</v>
      </c>
      <c r="E1722" s="19">
        <v>173.18</v>
      </c>
      <c r="F1722" s="19">
        <v>160.69</v>
      </c>
      <c r="G1722" s="19">
        <v>160.84</v>
      </c>
      <c r="H1722" s="19">
        <v>160.84</v>
      </c>
      <c r="I1722" s="15">
        <v>10539532</v>
      </c>
      <c r="J1722" s="19">
        <f t="shared" si="132"/>
        <v>-6.8620070646823752</v>
      </c>
      <c r="K1722" s="19">
        <f t="shared" si="133"/>
        <v>163.26199999999997</v>
      </c>
      <c r="L1722" s="19">
        <f t="shared" si="131"/>
        <v>186.15739999999997</v>
      </c>
      <c r="M1722" s="19">
        <f>MAX(G1574:G1722)</f>
        <v>251.87</v>
      </c>
      <c r="N1722" s="19">
        <f t="shared" si="129"/>
        <v>-36.141660380354942</v>
      </c>
      <c r="O1722" s="9" t="str">
        <f t="shared" si="130"/>
        <v>2024-07</v>
      </c>
    </row>
    <row r="1723" spans="1:15" x14ac:dyDescent="0.25">
      <c r="A1723" s="9" t="s">
        <v>316</v>
      </c>
      <c r="B1723" s="9" t="s">
        <v>317</v>
      </c>
      <c r="C1723" s="25" t="s">
        <v>195</v>
      </c>
      <c r="D1723" s="19">
        <v>160.84</v>
      </c>
      <c r="E1723" s="19">
        <v>169.97</v>
      </c>
      <c r="F1723" s="19">
        <v>160.25</v>
      </c>
      <c r="G1723" s="19">
        <v>169.53</v>
      </c>
      <c r="H1723" s="19">
        <v>169.53</v>
      </c>
      <c r="I1723" s="15">
        <v>14116756</v>
      </c>
      <c r="J1723" s="19">
        <f t="shared" si="132"/>
        <v>5.4028848545138004</v>
      </c>
      <c r="K1723" s="19">
        <f t="shared" si="133"/>
        <v>162.31649999999999</v>
      </c>
      <c r="L1723" s="19">
        <f t="shared" si="131"/>
        <v>186.0864</v>
      </c>
      <c r="M1723" s="19">
        <f>MAX(G1574:G1723)</f>
        <v>251.87</v>
      </c>
      <c r="N1723" s="19">
        <f t="shared" si="129"/>
        <v>-32.691467820701156</v>
      </c>
      <c r="O1723" s="9" t="str">
        <f t="shared" si="130"/>
        <v>2024-07</v>
      </c>
    </row>
    <row r="1724" spans="1:15" x14ac:dyDescent="0.25">
      <c r="A1724" s="9" t="s">
        <v>316</v>
      </c>
      <c r="B1724" s="9" t="s">
        <v>317</v>
      </c>
      <c r="C1724" s="25" t="s">
        <v>196</v>
      </c>
      <c r="D1724" s="19">
        <v>169.53</v>
      </c>
      <c r="E1724" s="19">
        <v>169.93</v>
      </c>
      <c r="F1724" s="19">
        <v>169.47</v>
      </c>
      <c r="G1724" s="19">
        <v>169.72</v>
      </c>
      <c r="H1724" s="19">
        <v>169.72</v>
      </c>
      <c r="I1724" s="15">
        <v>4664869</v>
      </c>
      <c r="J1724" s="19">
        <f t="shared" si="132"/>
        <v>0.11207455907508862</v>
      </c>
      <c r="K1724" s="19">
        <f t="shared" si="133"/>
        <v>161.86150000000001</v>
      </c>
      <c r="L1724" s="19">
        <f t="shared" si="131"/>
        <v>185.79559999999998</v>
      </c>
      <c r="M1724" s="19">
        <f>MAX(G1574:G1724)</f>
        <v>251.87</v>
      </c>
      <c r="N1724" s="19">
        <f t="shared" si="129"/>
        <v>-32.616032080041293</v>
      </c>
      <c r="O1724" s="9" t="str">
        <f t="shared" si="130"/>
        <v>2024-07</v>
      </c>
    </row>
    <row r="1725" spans="1:15" x14ac:dyDescent="0.25">
      <c r="A1725" s="9" t="s">
        <v>316</v>
      </c>
      <c r="B1725" s="9" t="s">
        <v>317</v>
      </c>
      <c r="C1725" s="25" t="s">
        <v>197</v>
      </c>
      <c r="D1725" s="19">
        <v>169.72</v>
      </c>
      <c r="E1725" s="19">
        <v>169.74</v>
      </c>
      <c r="F1725" s="19">
        <v>163.72</v>
      </c>
      <c r="G1725" s="19">
        <v>164.66</v>
      </c>
      <c r="H1725" s="19">
        <v>164.66</v>
      </c>
      <c r="I1725" s="15">
        <v>2093417</v>
      </c>
      <c r="J1725" s="19">
        <f t="shared" si="132"/>
        <v>-2.9813810982795208</v>
      </c>
      <c r="K1725" s="19">
        <f t="shared" si="133"/>
        <v>161.49599999999998</v>
      </c>
      <c r="L1725" s="19">
        <f t="shared" si="131"/>
        <v>185.60060000000001</v>
      </c>
      <c r="M1725" s="19">
        <f>MAX(G1574:G1725)</f>
        <v>251.87</v>
      </c>
      <c r="N1725" s="19">
        <f t="shared" si="129"/>
        <v>-34.625004962877675</v>
      </c>
      <c r="O1725" s="9" t="str">
        <f t="shared" si="130"/>
        <v>2024-07</v>
      </c>
    </row>
    <row r="1726" spans="1:15" x14ac:dyDescent="0.25">
      <c r="A1726" s="9" t="s">
        <v>316</v>
      </c>
      <c r="B1726" s="9" t="s">
        <v>317</v>
      </c>
      <c r="C1726" s="25" t="s">
        <v>198</v>
      </c>
      <c r="D1726" s="19">
        <v>164.66</v>
      </c>
      <c r="E1726" s="19">
        <v>165.05</v>
      </c>
      <c r="F1726" s="19">
        <v>156.31</v>
      </c>
      <c r="G1726" s="19">
        <v>156.69999999999999</v>
      </c>
      <c r="H1726" s="19">
        <v>156.69999999999999</v>
      </c>
      <c r="I1726" s="15">
        <v>3654353</v>
      </c>
      <c r="J1726" s="19">
        <f t="shared" si="132"/>
        <v>-4.8342038139195971</v>
      </c>
      <c r="K1726" s="19">
        <f t="shared" si="133"/>
        <v>160.84349999999998</v>
      </c>
      <c r="L1726" s="19">
        <f t="shared" si="131"/>
        <v>185.05600000000001</v>
      </c>
      <c r="M1726" s="19">
        <f>MAX(G1574:G1726)</f>
        <v>251.87</v>
      </c>
      <c r="N1726" s="19">
        <f t="shared" si="129"/>
        <v>-37.785365466311994</v>
      </c>
      <c r="O1726" s="9" t="str">
        <f t="shared" si="130"/>
        <v>2024-07</v>
      </c>
    </row>
    <row r="1727" spans="1:15" x14ac:dyDescent="0.25">
      <c r="A1727" s="9" t="s">
        <v>316</v>
      </c>
      <c r="B1727" s="9" t="s">
        <v>317</v>
      </c>
      <c r="C1727" s="25" t="s">
        <v>199</v>
      </c>
      <c r="D1727" s="19">
        <v>156.69999999999999</v>
      </c>
      <c r="E1727" s="19">
        <v>166.17</v>
      </c>
      <c r="F1727" s="19">
        <v>156.35</v>
      </c>
      <c r="G1727" s="19">
        <v>164.53</v>
      </c>
      <c r="H1727" s="19">
        <v>164.53</v>
      </c>
      <c r="I1727" s="15">
        <v>5217574</v>
      </c>
      <c r="J1727" s="19">
        <f t="shared" si="132"/>
        <v>4.99680918953415</v>
      </c>
      <c r="K1727" s="19">
        <f t="shared" si="133"/>
        <v>160.70149999999998</v>
      </c>
      <c r="L1727" s="19">
        <f t="shared" si="131"/>
        <v>184.61420000000001</v>
      </c>
      <c r="M1727" s="19">
        <f>MAX(G1574:G1727)</f>
        <v>251.87</v>
      </c>
      <c r="N1727" s="19">
        <f t="shared" si="129"/>
        <v>-34.676618890697583</v>
      </c>
      <c r="O1727" s="9" t="str">
        <f t="shared" si="130"/>
        <v>2024-08</v>
      </c>
    </row>
    <row r="1728" spans="1:15" x14ac:dyDescent="0.25">
      <c r="A1728" s="9" t="s">
        <v>316</v>
      </c>
      <c r="B1728" s="9" t="s">
        <v>317</v>
      </c>
      <c r="C1728" s="25" t="s">
        <v>200</v>
      </c>
      <c r="D1728" s="19">
        <v>164.53</v>
      </c>
      <c r="E1728" s="19">
        <v>165.6</v>
      </c>
      <c r="F1728" s="19">
        <v>159.13</v>
      </c>
      <c r="G1728" s="19">
        <v>159.87</v>
      </c>
      <c r="H1728" s="19">
        <v>159.87</v>
      </c>
      <c r="I1728" s="15">
        <v>5364777</v>
      </c>
      <c r="J1728" s="19">
        <f t="shared" si="132"/>
        <v>-2.8323102169817034</v>
      </c>
      <c r="K1728" s="19">
        <f t="shared" si="133"/>
        <v>160.86199999999997</v>
      </c>
      <c r="L1728" s="19">
        <f t="shared" si="131"/>
        <v>183.86960000000002</v>
      </c>
      <c r="M1728" s="19">
        <f>MAX(G1574:G1728)</f>
        <v>251.87</v>
      </c>
      <c r="N1728" s="19">
        <f t="shared" si="129"/>
        <v>-36.526779687934251</v>
      </c>
      <c r="O1728" s="9" t="str">
        <f t="shared" si="130"/>
        <v>2024-08</v>
      </c>
    </row>
    <row r="1729" spans="1:15" x14ac:dyDescent="0.25">
      <c r="A1729" s="9" t="s">
        <v>316</v>
      </c>
      <c r="B1729" s="9" t="s">
        <v>317</v>
      </c>
      <c r="C1729" s="25" t="s">
        <v>201</v>
      </c>
      <c r="D1729" s="19">
        <v>159.87</v>
      </c>
      <c r="E1729" s="19">
        <v>162.41999999999999</v>
      </c>
      <c r="F1729" s="19">
        <v>158.76</v>
      </c>
      <c r="G1729" s="19">
        <v>161.81</v>
      </c>
      <c r="H1729" s="19">
        <v>161.81</v>
      </c>
      <c r="I1729" s="15">
        <v>4843458</v>
      </c>
      <c r="J1729" s="19">
        <f t="shared" si="132"/>
        <v>1.2134859573403376</v>
      </c>
      <c r="K1729" s="19">
        <f t="shared" si="133"/>
        <v>160.86249999999998</v>
      </c>
      <c r="L1729" s="19">
        <f t="shared" si="131"/>
        <v>183.0984</v>
      </c>
      <c r="M1729" s="19">
        <f>MAX(G1574:G1729)</f>
        <v>251.87</v>
      </c>
      <c r="N1729" s="19">
        <f t="shared" si="129"/>
        <v>-35.75654107277564</v>
      </c>
      <c r="O1729" s="9" t="str">
        <f t="shared" si="130"/>
        <v>2024-08</v>
      </c>
    </row>
    <row r="1730" spans="1:15" x14ac:dyDescent="0.25">
      <c r="A1730" s="9" t="s">
        <v>316</v>
      </c>
      <c r="B1730" s="9" t="s">
        <v>317</v>
      </c>
      <c r="C1730" s="25" t="s">
        <v>202</v>
      </c>
      <c r="D1730" s="19">
        <v>161.81</v>
      </c>
      <c r="E1730" s="19">
        <v>168.28</v>
      </c>
      <c r="F1730" s="19">
        <v>160.66999999999999</v>
      </c>
      <c r="G1730" s="19">
        <v>167.73</v>
      </c>
      <c r="H1730" s="19">
        <v>167.73</v>
      </c>
      <c r="I1730" s="15">
        <v>3999623</v>
      </c>
      <c r="J1730" s="19">
        <f t="shared" si="132"/>
        <v>3.6586119522897151</v>
      </c>
      <c r="K1730" s="19">
        <f t="shared" si="133"/>
        <v>161.37549999999996</v>
      </c>
      <c r="L1730" s="19">
        <f t="shared" si="131"/>
        <v>182.52020000000002</v>
      </c>
      <c r="M1730" s="19">
        <f>MAX(G1574:G1730)</f>
        <v>251.87</v>
      </c>
      <c r="N1730" s="19">
        <f t="shared" ref="N1730:N1793" si="134">(G1730-M1730)/M1730*100</f>
        <v>-33.406122205899877</v>
      </c>
      <c r="O1730" s="9" t="str">
        <f t="shared" ref="O1730:O1793" si="135">TEXT(C1730,"yyyy-mm")</f>
        <v>2024-08</v>
      </c>
    </row>
    <row r="1731" spans="1:15" x14ac:dyDescent="0.25">
      <c r="A1731" s="9" t="s">
        <v>316</v>
      </c>
      <c r="B1731" s="9" t="s">
        <v>317</v>
      </c>
      <c r="C1731" s="25" t="s">
        <v>203</v>
      </c>
      <c r="D1731" s="19">
        <v>167.73</v>
      </c>
      <c r="E1731" s="19">
        <v>168.03</v>
      </c>
      <c r="F1731" s="19">
        <v>160.54</v>
      </c>
      <c r="G1731" s="19">
        <v>160.84</v>
      </c>
      <c r="H1731" s="19">
        <v>160.84</v>
      </c>
      <c r="I1731" s="15">
        <v>1914266</v>
      </c>
      <c r="J1731" s="19">
        <f t="shared" si="132"/>
        <v>-4.1077922852202864</v>
      </c>
      <c r="K1731" s="19">
        <f t="shared" si="133"/>
        <v>161.29299999999998</v>
      </c>
      <c r="L1731" s="19">
        <f t="shared" si="131"/>
        <v>181.81</v>
      </c>
      <c r="M1731" s="19">
        <f>MAX(G1574:G1731)</f>
        <v>251.87</v>
      </c>
      <c r="N1731" s="19">
        <f t="shared" si="134"/>
        <v>-36.141660380354942</v>
      </c>
      <c r="O1731" s="9" t="str">
        <f t="shared" si="135"/>
        <v>2024-08</v>
      </c>
    </row>
    <row r="1732" spans="1:15" x14ac:dyDescent="0.25">
      <c r="A1732" s="9" t="s">
        <v>316</v>
      </c>
      <c r="B1732" s="9" t="s">
        <v>317</v>
      </c>
      <c r="C1732" s="25" t="s">
        <v>204</v>
      </c>
      <c r="D1732" s="19">
        <v>160.84</v>
      </c>
      <c r="E1732" s="19">
        <v>167</v>
      </c>
      <c r="F1732" s="19">
        <v>160.80000000000001</v>
      </c>
      <c r="G1732" s="19">
        <v>166.77</v>
      </c>
      <c r="H1732" s="19">
        <v>166.77</v>
      </c>
      <c r="I1732" s="15">
        <v>2821235</v>
      </c>
      <c r="J1732" s="19">
        <f t="shared" si="132"/>
        <v>3.6868938075105739</v>
      </c>
      <c r="K1732" s="19">
        <f t="shared" si="133"/>
        <v>161.97549999999998</v>
      </c>
      <c r="L1732" s="19">
        <f t="shared" si="131"/>
        <v>181.25459999999998</v>
      </c>
      <c r="M1732" s="19">
        <f>MAX(G1574:G1732)</f>
        <v>251.87</v>
      </c>
      <c r="N1732" s="19">
        <f t="shared" si="134"/>
        <v>-33.787271211339181</v>
      </c>
      <c r="O1732" s="9" t="str">
        <f t="shared" si="135"/>
        <v>2024-08</v>
      </c>
    </row>
    <row r="1733" spans="1:15" x14ac:dyDescent="0.25">
      <c r="A1733" s="9" t="s">
        <v>316</v>
      </c>
      <c r="B1733" s="9" t="s">
        <v>317</v>
      </c>
      <c r="C1733" s="25" t="s">
        <v>205</v>
      </c>
      <c r="D1733" s="19">
        <v>166.77</v>
      </c>
      <c r="E1733" s="19">
        <v>174.98</v>
      </c>
      <c r="F1733" s="19">
        <v>165.98</v>
      </c>
      <c r="G1733" s="19">
        <v>173.37</v>
      </c>
      <c r="H1733" s="19">
        <v>173.37</v>
      </c>
      <c r="I1733" s="15">
        <v>6734082</v>
      </c>
      <c r="J1733" s="19">
        <f t="shared" si="132"/>
        <v>3.9575463212808017</v>
      </c>
      <c r="K1733" s="19">
        <f t="shared" si="133"/>
        <v>162.61849999999998</v>
      </c>
      <c r="L1733" s="19">
        <f t="shared" si="131"/>
        <v>180.70079999999999</v>
      </c>
      <c r="M1733" s="19">
        <f>MAX(G1574:G1733)</f>
        <v>251.87</v>
      </c>
      <c r="N1733" s="19">
        <f t="shared" si="134"/>
        <v>-31.166871798943902</v>
      </c>
      <c r="O1733" s="9" t="str">
        <f t="shared" si="135"/>
        <v>2024-08</v>
      </c>
    </row>
    <row r="1734" spans="1:15" x14ac:dyDescent="0.25">
      <c r="A1734" s="9" t="s">
        <v>316</v>
      </c>
      <c r="B1734" s="9" t="s">
        <v>317</v>
      </c>
      <c r="C1734" s="25" t="s">
        <v>206</v>
      </c>
      <c r="D1734" s="19">
        <v>173.37</v>
      </c>
      <c r="E1734" s="19">
        <v>178.31</v>
      </c>
      <c r="F1734" s="19">
        <v>173.37</v>
      </c>
      <c r="G1734" s="19">
        <v>177.41</v>
      </c>
      <c r="H1734" s="19">
        <v>177.41</v>
      </c>
      <c r="I1734" s="15">
        <v>3292874</v>
      </c>
      <c r="J1734" s="19">
        <f t="shared" si="132"/>
        <v>2.3302762877083647</v>
      </c>
      <c r="K1734" s="19">
        <f t="shared" si="133"/>
        <v>163.54149999999998</v>
      </c>
      <c r="L1734" s="19">
        <f t="shared" si="131"/>
        <v>180.22620000000003</v>
      </c>
      <c r="M1734" s="19">
        <f>MAX(G1574:G1734)</f>
        <v>251.87</v>
      </c>
      <c r="N1734" s="19">
        <f t="shared" si="134"/>
        <v>-29.562869734386787</v>
      </c>
      <c r="O1734" s="9" t="str">
        <f t="shared" si="135"/>
        <v>2024-08</v>
      </c>
    </row>
    <row r="1735" spans="1:15" x14ac:dyDescent="0.25">
      <c r="A1735" s="9" t="s">
        <v>316</v>
      </c>
      <c r="B1735" s="9" t="s">
        <v>317</v>
      </c>
      <c r="C1735" s="25" t="s">
        <v>207</v>
      </c>
      <c r="D1735" s="19">
        <v>177.41</v>
      </c>
      <c r="E1735" s="19">
        <v>178</v>
      </c>
      <c r="F1735" s="19">
        <v>170.11</v>
      </c>
      <c r="G1735" s="19">
        <v>170.68</v>
      </c>
      <c r="H1735" s="19">
        <v>170.68</v>
      </c>
      <c r="I1735" s="15">
        <v>4286595</v>
      </c>
      <c r="J1735" s="19">
        <f t="shared" si="132"/>
        <v>-3.7934727467448228</v>
      </c>
      <c r="K1735" s="19">
        <f t="shared" si="133"/>
        <v>164.42349999999999</v>
      </c>
      <c r="L1735" s="19">
        <f t="shared" si="131"/>
        <v>179.54560000000001</v>
      </c>
      <c r="M1735" s="19">
        <f>MAX(G1574:G1735)</f>
        <v>251.87</v>
      </c>
      <c r="N1735" s="19">
        <f t="shared" si="134"/>
        <v>-32.234883074601974</v>
      </c>
      <c r="O1735" s="9" t="str">
        <f t="shared" si="135"/>
        <v>2024-08</v>
      </c>
    </row>
    <row r="1736" spans="1:15" x14ac:dyDescent="0.25">
      <c r="A1736" s="9" t="s">
        <v>316</v>
      </c>
      <c r="B1736" s="9" t="s">
        <v>317</v>
      </c>
      <c r="C1736" s="25" t="s">
        <v>208</v>
      </c>
      <c r="D1736" s="19">
        <v>170.68</v>
      </c>
      <c r="E1736" s="19">
        <v>173.68</v>
      </c>
      <c r="F1736" s="19">
        <v>169.73</v>
      </c>
      <c r="G1736" s="19">
        <v>172.79</v>
      </c>
      <c r="H1736" s="19">
        <v>172.79</v>
      </c>
      <c r="I1736" s="15">
        <v>2389446</v>
      </c>
      <c r="J1736" s="19">
        <f t="shared" si="132"/>
        <v>1.2362315444105842</v>
      </c>
      <c r="K1736" s="19">
        <f t="shared" si="133"/>
        <v>165.35</v>
      </c>
      <c r="L1736" s="19">
        <f t="shared" si="131"/>
        <v>178.82880000000006</v>
      </c>
      <c r="M1736" s="19">
        <f>MAX(G1574:G1736)</f>
        <v>251.87</v>
      </c>
      <c r="N1736" s="19">
        <f t="shared" si="134"/>
        <v>-31.397149323063488</v>
      </c>
      <c r="O1736" s="9" t="str">
        <f t="shared" si="135"/>
        <v>2024-08</v>
      </c>
    </row>
    <row r="1737" spans="1:15" x14ac:dyDescent="0.25">
      <c r="A1737" s="9" t="s">
        <v>316</v>
      </c>
      <c r="B1737" s="9" t="s">
        <v>317</v>
      </c>
      <c r="C1737" s="25" t="s">
        <v>209</v>
      </c>
      <c r="D1737" s="19">
        <v>172.79</v>
      </c>
      <c r="E1737" s="19">
        <v>172.9</v>
      </c>
      <c r="F1737" s="19">
        <v>163.25</v>
      </c>
      <c r="G1737" s="19">
        <v>164.58</v>
      </c>
      <c r="H1737" s="19">
        <v>164.58</v>
      </c>
      <c r="I1737" s="15">
        <v>4970709</v>
      </c>
      <c r="J1737" s="19">
        <f t="shared" si="132"/>
        <v>-4.7514323745587017</v>
      </c>
      <c r="K1737" s="19">
        <f t="shared" si="133"/>
        <v>165.86049999999997</v>
      </c>
      <c r="L1737" s="19">
        <f t="shared" si="131"/>
        <v>177.88060000000004</v>
      </c>
      <c r="M1737" s="19">
        <f>MAX(G1574:G1737)</f>
        <v>251.87</v>
      </c>
      <c r="N1737" s="19">
        <f t="shared" si="134"/>
        <v>-34.656767379997618</v>
      </c>
      <c r="O1737" s="9" t="str">
        <f t="shared" si="135"/>
        <v>2024-08</v>
      </c>
    </row>
    <row r="1738" spans="1:15" x14ac:dyDescent="0.25">
      <c r="A1738" s="9" t="s">
        <v>316</v>
      </c>
      <c r="B1738" s="9" t="s">
        <v>317</v>
      </c>
      <c r="C1738" s="25" t="s">
        <v>210</v>
      </c>
      <c r="D1738" s="19">
        <v>164.58</v>
      </c>
      <c r="E1738" s="19">
        <v>164.69</v>
      </c>
      <c r="F1738" s="19">
        <v>161.81</v>
      </c>
      <c r="G1738" s="19">
        <v>162.47999999999999</v>
      </c>
      <c r="H1738" s="19">
        <v>162.47999999999999</v>
      </c>
      <c r="I1738" s="15">
        <v>5476000</v>
      </c>
      <c r="J1738" s="19">
        <f t="shared" si="132"/>
        <v>-1.2759752096245125</v>
      </c>
      <c r="K1738" s="19">
        <f t="shared" si="133"/>
        <v>166.09399999999999</v>
      </c>
      <c r="L1738" s="19">
        <f t="shared" si="131"/>
        <v>176.66819999999998</v>
      </c>
      <c r="M1738" s="19">
        <f>MAX(G1574:G1738)</f>
        <v>251.87</v>
      </c>
      <c r="N1738" s="19">
        <f t="shared" si="134"/>
        <v>-35.490530829396121</v>
      </c>
      <c r="O1738" s="9" t="str">
        <f t="shared" si="135"/>
        <v>2024-08</v>
      </c>
    </row>
    <row r="1739" spans="1:15" x14ac:dyDescent="0.25">
      <c r="A1739" s="9" t="s">
        <v>316</v>
      </c>
      <c r="B1739" s="9" t="s">
        <v>317</v>
      </c>
      <c r="C1739" s="25" t="s">
        <v>211</v>
      </c>
      <c r="D1739" s="19">
        <v>162.47999999999999</v>
      </c>
      <c r="E1739" s="19">
        <v>163.54</v>
      </c>
      <c r="F1739" s="19">
        <v>155.62</v>
      </c>
      <c r="G1739" s="19">
        <v>157.04</v>
      </c>
      <c r="H1739" s="19">
        <v>157.04</v>
      </c>
      <c r="I1739" s="15">
        <v>2585871</v>
      </c>
      <c r="J1739" s="19">
        <f t="shared" si="132"/>
        <v>-3.3481043820777927</v>
      </c>
      <c r="K1739" s="19">
        <f t="shared" si="133"/>
        <v>165.98999999999995</v>
      </c>
      <c r="L1739" s="19">
        <f t="shared" si="131"/>
        <v>175.49620000000002</v>
      </c>
      <c r="M1739" s="19">
        <f>MAX(G1574:G1739)</f>
        <v>251.87</v>
      </c>
      <c r="N1739" s="19">
        <f t="shared" si="134"/>
        <v>-37.650375193552236</v>
      </c>
      <c r="O1739" s="9" t="str">
        <f t="shared" si="135"/>
        <v>2024-08</v>
      </c>
    </row>
    <row r="1740" spans="1:15" x14ac:dyDescent="0.25">
      <c r="A1740" s="9" t="s">
        <v>316</v>
      </c>
      <c r="B1740" s="9" t="s">
        <v>317</v>
      </c>
      <c r="C1740" s="25" t="s">
        <v>212</v>
      </c>
      <c r="D1740" s="19">
        <v>157.04</v>
      </c>
      <c r="E1740" s="19">
        <v>158.91</v>
      </c>
      <c r="F1740" s="19">
        <v>156.66999999999999</v>
      </c>
      <c r="G1740" s="19">
        <v>158.29</v>
      </c>
      <c r="H1740" s="19">
        <v>158.29</v>
      </c>
      <c r="I1740" s="15">
        <v>3801242</v>
      </c>
      <c r="J1740" s="19">
        <f t="shared" si="132"/>
        <v>0.79597554763117684</v>
      </c>
      <c r="K1740" s="19">
        <f t="shared" si="133"/>
        <v>165.61649999999997</v>
      </c>
      <c r="L1740" s="19">
        <f t="shared" si="131"/>
        <v>174.21920000000003</v>
      </c>
      <c r="M1740" s="19">
        <f>MAX(G1574:G1740)</f>
        <v>251.87</v>
      </c>
      <c r="N1740" s="19">
        <f t="shared" si="134"/>
        <v>-37.154087426053131</v>
      </c>
      <c r="O1740" s="9" t="str">
        <f t="shared" si="135"/>
        <v>2024-08</v>
      </c>
    </row>
    <row r="1741" spans="1:15" x14ac:dyDescent="0.25">
      <c r="A1741" s="9" t="s">
        <v>316</v>
      </c>
      <c r="B1741" s="9" t="s">
        <v>317</v>
      </c>
      <c r="C1741" s="25" t="s">
        <v>213</v>
      </c>
      <c r="D1741" s="19">
        <v>158.29</v>
      </c>
      <c r="E1741" s="19">
        <v>160.12</v>
      </c>
      <c r="F1741" s="19">
        <v>156.97999999999999</v>
      </c>
      <c r="G1741" s="19">
        <v>158.77000000000001</v>
      </c>
      <c r="H1741" s="19">
        <v>158.77000000000001</v>
      </c>
      <c r="I1741" s="15">
        <v>3176802</v>
      </c>
      <c r="J1741" s="19">
        <f t="shared" si="132"/>
        <v>0.30324088697960594</v>
      </c>
      <c r="K1741" s="19">
        <f t="shared" si="133"/>
        <v>164.92049999999998</v>
      </c>
      <c r="L1741" s="19">
        <f t="shared" si="131"/>
        <v>172.73420000000002</v>
      </c>
      <c r="M1741" s="19">
        <f>MAX(G1574:G1741)</f>
        <v>251.87</v>
      </c>
      <c r="N1741" s="19">
        <f t="shared" si="134"/>
        <v>-36.963512923333461</v>
      </c>
      <c r="O1741" s="9" t="str">
        <f t="shared" si="135"/>
        <v>2024-08</v>
      </c>
    </row>
    <row r="1742" spans="1:15" x14ac:dyDescent="0.25">
      <c r="A1742" s="9" t="s">
        <v>316</v>
      </c>
      <c r="B1742" s="9" t="s">
        <v>317</v>
      </c>
      <c r="C1742" s="25" t="s">
        <v>214</v>
      </c>
      <c r="D1742" s="19">
        <v>158.77000000000001</v>
      </c>
      <c r="E1742" s="19">
        <v>158.91999999999999</v>
      </c>
      <c r="F1742" s="19">
        <v>152.56</v>
      </c>
      <c r="G1742" s="19">
        <v>153.66</v>
      </c>
      <c r="H1742" s="19">
        <v>153.66</v>
      </c>
      <c r="I1742" s="15">
        <v>2373462</v>
      </c>
      <c r="J1742" s="19">
        <f t="shared" si="132"/>
        <v>-3.2184921584682327</v>
      </c>
      <c r="K1742" s="19">
        <f t="shared" si="133"/>
        <v>164.56149999999997</v>
      </c>
      <c r="L1742" s="19">
        <f t="shared" si="131"/>
        <v>171.22080000000003</v>
      </c>
      <c r="M1742" s="19">
        <f>MAX(G1574:G1742)</f>
        <v>251.87</v>
      </c>
      <c r="N1742" s="19">
        <f t="shared" si="134"/>
        <v>-38.992337316869822</v>
      </c>
      <c r="O1742" s="9" t="str">
        <f t="shared" si="135"/>
        <v>2024-08</v>
      </c>
    </row>
    <row r="1743" spans="1:15" x14ac:dyDescent="0.25">
      <c r="A1743" s="9" t="s">
        <v>316</v>
      </c>
      <c r="B1743" s="9" t="s">
        <v>317</v>
      </c>
      <c r="C1743" s="25" t="s">
        <v>215</v>
      </c>
      <c r="D1743" s="19">
        <v>153.66</v>
      </c>
      <c r="E1743" s="19">
        <v>154.86000000000001</v>
      </c>
      <c r="F1743" s="19">
        <v>149.79</v>
      </c>
      <c r="G1743" s="19">
        <v>149.88999999999999</v>
      </c>
      <c r="H1743" s="19">
        <v>149.88999999999999</v>
      </c>
      <c r="I1743" s="15">
        <v>4613035</v>
      </c>
      <c r="J1743" s="19">
        <f t="shared" si="132"/>
        <v>-2.4534686971235264</v>
      </c>
      <c r="K1743" s="19">
        <f t="shared" si="133"/>
        <v>163.5795</v>
      </c>
      <c r="L1743" s="19">
        <f t="shared" si="131"/>
        <v>169.64959999999999</v>
      </c>
      <c r="M1743" s="19">
        <f>MAX(G1574:G1743)</f>
        <v>251.87</v>
      </c>
      <c r="N1743" s="19">
        <f t="shared" si="134"/>
        <v>-40.489141223647124</v>
      </c>
      <c r="O1743" s="9" t="str">
        <f t="shared" si="135"/>
        <v>2024-08</v>
      </c>
    </row>
    <row r="1744" spans="1:15" x14ac:dyDescent="0.25">
      <c r="A1744" s="9" t="s">
        <v>316</v>
      </c>
      <c r="B1744" s="9" t="s">
        <v>317</v>
      </c>
      <c r="C1744" s="25" t="s">
        <v>216</v>
      </c>
      <c r="D1744" s="19">
        <v>149.88999999999999</v>
      </c>
      <c r="E1744" s="19">
        <v>163.12</v>
      </c>
      <c r="F1744" s="19">
        <v>148.88999999999999</v>
      </c>
      <c r="G1744" s="19">
        <v>162.76</v>
      </c>
      <c r="H1744" s="19">
        <v>162.76</v>
      </c>
      <c r="I1744" s="15">
        <v>6245230</v>
      </c>
      <c r="J1744" s="19">
        <f t="shared" si="132"/>
        <v>8.5862966175195172</v>
      </c>
      <c r="K1744" s="19">
        <f t="shared" si="133"/>
        <v>163.23149999999995</v>
      </c>
      <c r="L1744" s="19">
        <f t="shared" si="131"/>
        <v>168.6302</v>
      </c>
      <c r="M1744" s="19">
        <f>MAX(G1574:G1744)</f>
        <v>251.87</v>
      </c>
      <c r="N1744" s="19">
        <f t="shared" si="134"/>
        <v>-35.379362369476318</v>
      </c>
      <c r="O1744" s="9" t="str">
        <f t="shared" si="135"/>
        <v>2024-08</v>
      </c>
    </row>
    <row r="1745" spans="1:15" x14ac:dyDescent="0.25">
      <c r="A1745" s="9" t="s">
        <v>316</v>
      </c>
      <c r="B1745" s="9" t="s">
        <v>317</v>
      </c>
      <c r="C1745" s="25" t="s">
        <v>217</v>
      </c>
      <c r="D1745" s="19">
        <v>162.76</v>
      </c>
      <c r="E1745" s="19">
        <v>163</v>
      </c>
      <c r="F1745" s="19">
        <v>155.09</v>
      </c>
      <c r="G1745" s="19">
        <v>156.44999999999999</v>
      </c>
      <c r="H1745" s="19">
        <v>156.44999999999999</v>
      </c>
      <c r="I1745" s="15">
        <v>5428658</v>
      </c>
      <c r="J1745" s="19">
        <f t="shared" si="132"/>
        <v>-3.8768739247972492</v>
      </c>
      <c r="K1745" s="19">
        <f t="shared" si="133"/>
        <v>162.821</v>
      </c>
      <c r="L1745" s="19">
        <f t="shared" si="131"/>
        <v>167.49680000000001</v>
      </c>
      <c r="M1745" s="19">
        <f>MAX(G1574:G1745)</f>
        <v>251.87</v>
      </c>
      <c r="N1745" s="19">
        <f t="shared" si="134"/>
        <v>-37.884623019811812</v>
      </c>
      <c r="O1745" s="9" t="str">
        <f t="shared" si="135"/>
        <v>2024-08</v>
      </c>
    </row>
    <row r="1746" spans="1:15" x14ac:dyDescent="0.25">
      <c r="A1746" s="9" t="s">
        <v>316</v>
      </c>
      <c r="B1746" s="9" t="s">
        <v>317</v>
      </c>
      <c r="C1746" s="25" t="s">
        <v>218</v>
      </c>
      <c r="D1746" s="19">
        <v>156.44999999999999</v>
      </c>
      <c r="E1746" s="19">
        <v>158.30000000000001</v>
      </c>
      <c r="F1746" s="19">
        <v>156.33000000000001</v>
      </c>
      <c r="G1746" s="19">
        <v>157.66</v>
      </c>
      <c r="H1746" s="19">
        <v>157.66</v>
      </c>
      <c r="I1746" s="15">
        <v>5668878</v>
      </c>
      <c r="J1746" s="19">
        <f t="shared" si="132"/>
        <v>0.77341003515500673</v>
      </c>
      <c r="K1746" s="19">
        <f t="shared" si="133"/>
        <v>162.86899999999997</v>
      </c>
      <c r="L1746" s="19">
        <f t="shared" si="131"/>
        <v>166.64500000000001</v>
      </c>
      <c r="M1746" s="19">
        <f>MAX(G1574:G1746)</f>
        <v>251.87</v>
      </c>
      <c r="N1746" s="19">
        <f t="shared" si="134"/>
        <v>-37.404216460872675</v>
      </c>
      <c r="O1746" s="9" t="str">
        <f t="shared" si="135"/>
        <v>2024-08</v>
      </c>
    </row>
    <row r="1747" spans="1:15" x14ac:dyDescent="0.25">
      <c r="A1747" s="9" t="s">
        <v>316</v>
      </c>
      <c r="B1747" s="9" t="s">
        <v>317</v>
      </c>
      <c r="C1747" s="25" t="s">
        <v>219</v>
      </c>
      <c r="D1747" s="19">
        <v>157.66</v>
      </c>
      <c r="E1747" s="19">
        <v>158.88999999999999</v>
      </c>
      <c r="F1747" s="19">
        <v>156.66</v>
      </c>
      <c r="G1747" s="19">
        <v>158.38999999999999</v>
      </c>
      <c r="H1747" s="19">
        <v>158.38999999999999</v>
      </c>
      <c r="I1747" s="15">
        <v>3036610</v>
      </c>
      <c r="J1747" s="19">
        <f t="shared" si="132"/>
        <v>0.46302169224913725</v>
      </c>
      <c r="K1747" s="19">
        <f t="shared" si="133"/>
        <v>162.56199999999995</v>
      </c>
      <c r="L1747" s="19">
        <f t="shared" si="131"/>
        <v>165.89479999999995</v>
      </c>
      <c r="M1747" s="19">
        <f>MAX(G1574:G1747)</f>
        <v>251.87</v>
      </c>
      <c r="N1747" s="19">
        <f t="shared" si="134"/>
        <v>-37.114384404653201</v>
      </c>
      <c r="O1747" s="9" t="str">
        <f t="shared" si="135"/>
        <v>2024-08</v>
      </c>
    </row>
    <row r="1748" spans="1:15" x14ac:dyDescent="0.25">
      <c r="A1748" s="9" t="s">
        <v>316</v>
      </c>
      <c r="B1748" s="9" t="s">
        <v>317</v>
      </c>
      <c r="C1748" s="25" t="s">
        <v>220</v>
      </c>
      <c r="D1748" s="19">
        <v>158.38999999999999</v>
      </c>
      <c r="E1748" s="19">
        <v>158.44</v>
      </c>
      <c r="F1748" s="19">
        <v>157.55000000000001</v>
      </c>
      <c r="G1748" s="19">
        <v>158.03</v>
      </c>
      <c r="H1748" s="19">
        <v>158.03</v>
      </c>
      <c r="I1748" s="15">
        <v>4207060</v>
      </c>
      <c r="J1748" s="19">
        <f t="shared" si="132"/>
        <v>-0.22728707620429653</v>
      </c>
      <c r="K1748" s="19">
        <f t="shared" si="133"/>
        <v>162.46999999999997</v>
      </c>
      <c r="L1748" s="19">
        <f t="shared" si="131"/>
        <v>165.23339999999999</v>
      </c>
      <c r="M1748" s="19">
        <f>MAX(G1574:G1748)</f>
        <v>251.87</v>
      </c>
      <c r="N1748" s="19">
        <f t="shared" si="134"/>
        <v>-37.257315281692939</v>
      </c>
      <c r="O1748" s="9" t="str">
        <f t="shared" si="135"/>
        <v>2024-08</v>
      </c>
    </row>
    <row r="1749" spans="1:15" x14ac:dyDescent="0.25">
      <c r="A1749" s="9" t="s">
        <v>316</v>
      </c>
      <c r="B1749" s="9" t="s">
        <v>317</v>
      </c>
      <c r="C1749" s="25" t="s">
        <v>221</v>
      </c>
      <c r="D1749" s="19">
        <v>158.03</v>
      </c>
      <c r="E1749" s="19">
        <v>164.93</v>
      </c>
      <c r="F1749" s="19">
        <v>156.59</v>
      </c>
      <c r="G1749" s="19">
        <v>164.72</v>
      </c>
      <c r="H1749" s="19">
        <v>164.72</v>
      </c>
      <c r="I1749" s="15">
        <v>3514723</v>
      </c>
      <c r="J1749" s="19">
        <f t="shared" si="132"/>
        <v>4.2333734101120024</v>
      </c>
      <c r="K1749" s="19">
        <f t="shared" si="133"/>
        <v>162.61549999999994</v>
      </c>
      <c r="L1749" s="19">
        <f t="shared" si="131"/>
        <v>164.61399999999998</v>
      </c>
      <c r="M1749" s="19">
        <f>MAX(G1574:G1749)</f>
        <v>251.87</v>
      </c>
      <c r="N1749" s="19">
        <f t="shared" si="134"/>
        <v>-34.60118315003772</v>
      </c>
      <c r="O1749" s="9" t="str">
        <f t="shared" si="135"/>
        <v>2024-09</v>
      </c>
    </row>
    <row r="1750" spans="1:15" x14ac:dyDescent="0.25">
      <c r="A1750" s="9" t="s">
        <v>316</v>
      </c>
      <c r="B1750" s="9" t="s">
        <v>317</v>
      </c>
      <c r="C1750" s="25" t="s">
        <v>222</v>
      </c>
      <c r="D1750" s="19">
        <v>164.72</v>
      </c>
      <c r="E1750" s="19">
        <v>167.99</v>
      </c>
      <c r="F1750" s="19">
        <v>164.35</v>
      </c>
      <c r="G1750" s="19">
        <v>167.61</v>
      </c>
      <c r="H1750" s="19">
        <v>167.61</v>
      </c>
      <c r="I1750" s="15">
        <v>3023763</v>
      </c>
      <c r="J1750" s="19">
        <f t="shared" si="132"/>
        <v>1.7544924720738313</v>
      </c>
      <c r="K1750" s="19">
        <f t="shared" si="133"/>
        <v>162.60949999999997</v>
      </c>
      <c r="L1750" s="19">
        <f t="shared" si="131"/>
        <v>164.1934</v>
      </c>
      <c r="M1750" s="19">
        <f>MAX(G1574:G1750)</f>
        <v>251.87</v>
      </c>
      <c r="N1750" s="19">
        <f t="shared" si="134"/>
        <v>-33.45376583157978</v>
      </c>
      <c r="O1750" s="9" t="str">
        <f t="shared" si="135"/>
        <v>2024-09</v>
      </c>
    </row>
    <row r="1751" spans="1:15" x14ac:dyDescent="0.25">
      <c r="A1751" s="9" t="s">
        <v>316</v>
      </c>
      <c r="B1751" s="9" t="s">
        <v>317</v>
      </c>
      <c r="C1751" s="25" t="s">
        <v>223</v>
      </c>
      <c r="D1751" s="19">
        <v>167.61</v>
      </c>
      <c r="E1751" s="19">
        <v>167.94</v>
      </c>
      <c r="F1751" s="19">
        <v>166.61</v>
      </c>
      <c r="G1751" s="19">
        <v>167.06</v>
      </c>
      <c r="H1751" s="19">
        <v>167.06</v>
      </c>
      <c r="I1751" s="15">
        <v>4151413</v>
      </c>
      <c r="J1751" s="19">
        <f t="shared" si="132"/>
        <v>-0.3281427122486793</v>
      </c>
      <c r="K1751" s="19">
        <f t="shared" si="133"/>
        <v>162.92049999999998</v>
      </c>
      <c r="L1751" s="19">
        <f t="shared" ref="L1751:L1814" si="136">AVERAGE(G1702:G1751)</f>
        <v>163.68040000000002</v>
      </c>
      <c r="M1751" s="19">
        <f>MAX(G1574:G1751)</f>
        <v>251.87</v>
      </c>
      <c r="N1751" s="19">
        <f t="shared" si="134"/>
        <v>-33.672132449279388</v>
      </c>
      <c r="O1751" s="9" t="str">
        <f t="shared" si="135"/>
        <v>2024-09</v>
      </c>
    </row>
    <row r="1752" spans="1:15" x14ac:dyDescent="0.25">
      <c r="A1752" s="9" t="s">
        <v>316</v>
      </c>
      <c r="B1752" s="9" t="s">
        <v>317</v>
      </c>
      <c r="C1752" s="25" t="s">
        <v>224</v>
      </c>
      <c r="D1752" s="19">
        <v>167.06</v>
      </c>
      <c r="E1752" s="19">
        <v>168.43</v>
      </c>
      <c r="F1752" s="19">
        <v>165.42</v>
      </c>
      <c r="G1752" s="19">
        <v>165.81</v>
      </c>
      <c r="H1752" s="19">
        <v>165.81</v>
      </c>
      <c r="I1752" s="15">
        <v>5013139</v>
      </c>
      <c r="J1752" s="19">
        <f t="shared" si="132"/>
        <v>-0.74823416736501847</v>
      </c>
      <c r="K1752" s="19">
        <f t="shared" si="133"/>
        <v>162.8725</v>
      </c>
      <c r="L1752" s="19">
        <f t="shared" si="136"/>
        <v>163.297</v>
      </c>
      <c r="M1752" s="19">
        <f>MAX(G1574:G1752)</f>
        <v>251.87</v>
      </c>
      <c r="N1752" s="19">
        <f t="shared" si="134"/>
        <v>-34.168420216778493</v>
      </c>
      <c r="O1752" s="9" t="str">
        <f t="shared" si="135"/>
        <v>2024-09</v>
      </c>
    </row>
    <row r="1753" spans="1:15" x14ac:dyDescent="0.25">
      <c r="A1753" s="9" t="s">
        <v>316</v>
      </c>
      <c r="B1753" s="9" t="s">
        <v>317</v>
      </c>
      <c r="C1753" s="25" t="s">
        <v>225</v>
      </c>
      <c r="D1753" s="19">
        <v>165.81</v>
      </c>
      <c r="E1753" s="19">
        <v>166.52</v>
      </c>
      <c r="F1753" s="19">
        <v>164.48</v>
      </c>
      <c r="G1753" s="19">
        <v>164.85</v>
      </c>
      <c r="H1753" s="19">
        <v>164.85</v>
      </c>
      <c r="I1753" s="15">
        <v>3823569</v>
      </c>
      <c r="J1753" s="19">
        <f t="shared" si="132"/>
        <v>-0.57897593631265176</v>
      </c>
      <c r="K1753" s="19">
        <f t="shared" si="133"/>
        <v>162.44649999999999</v>
      </c>
      <c r="L1753" s="19">
        <f t="shared" si="136"/>
        <v>162.82520000000002</v>
      </c>
      <c r="M1753" s="19">
        <f>MAX(G1574:G1753)</f>
        <v>251.87</v>
      </c>
      <c r="N1753" s="19">
        <f t="shared" si="134"/>
        <v>-34.549569222217812</v>
      </c>
      <c r="O1753" s="9" t="str">
        <f t="shared" si="135"/>
        <v>2024-09</v>
      </c>
    </row>
    <row r="1754" spans="1:15" x14ac:dyDescent="0.25">
      <c r="A1754" s="9" t="s">
        <v>316</v>
      </c>
      <c r="B1754" s="9" t="s">
        <v>317</v>
      </c>
      <c r="C1754" s="25" t="s">
        <v>226</v>
      </c>
      <c r="D1754" s="19">
        <v>164.85</v>
      </c>
      <c r="E1754" s="19">
        <v>169.89</v>
      </c>
      <c r="F1754" s="19">
        <v>164.65</v>
      </c>
      <c r="G1754" s="19">
        <v>169.75</v>
      </c>
      <c r="H1754" s="19">
        <v>169.75</v>
      </c>
      <c r="I1754" s="15">
        <v>2260696</v>
      </c>
      <c r="J1754" s="19">
        <f t="shared" si="132"/>
        <v>2.9723991507431031</v>
      </c>
      <c r="K1754" s="19">
        <f t="shared" si="133"/>
        <v>162.06350000000003</v>
      </c>
      <c r="L1754" s="19">
        <f t="shared" si="136"/>
        <v>162.64380000000003</v>
      </c>
      <c r="M1754" s="19">
        <f>MAX(G1574:G1754)</f>
        <v>251.87</v>
      </c>
      <c r="N1754" s="19">
        <f t="shared" si="134"/>
        <v>-32.604121173621316</v>
      </c>
      <c r="O1754" s="9" t="str">
        <f t="shared" si="135"/>
        <v>2024-09</v>
      </c>
    </row>
    <row r="1755" spans="1:15" x14ac:dyDescent="0.25">
      <c r="A1755" s="9" t="s">
        <v>316</v>
      </c>
      <c r="B1755" s="9" t="s">
        <v>317</v>
      </c>
      <c r="C1755" s="25" t="s">
        <v>227</v>
      </c>
      <c r="D1755" s="19">
        <v>169.75</v>
      </c>
      <c r="E1755" s="19">
        <v>172.56</v>
      </c>
      <c r="F1755" s="19">
        <v>169.57</v>
      </c>
      <c r="G1755" s="19">
        <v>171.73</v>
      </c>
      <c r="H1755" s="19">
        <v>171.73</v>
      </c>
      <c r="I1755" s="15">
        <v>5661438</v>
      </c>
      <c r="J1755" s="19">
        <f t="shared" si="132"/>
        <v>1.1664212076583149</v>
      </c>
      <c r="K1755" s="19">
        <f t="shared" si="133"/>
        <v>162.11600000000001</v>
      </c>
      <c r="L1755" s="19">
        <f t="shared" si="136"/>
        <v>162.63900000000001</v>
      </c>
      <c r="M1755" s="19">
        <f>MAX(G1574:G1755)</f>
        <v>251.87</v>
      </c>
      <c r="N1755" s="19">
        <f t="shared" si="134"/>
        <v>-31.81800134990273</v>
      </c>
      <c r="O1755" s="9" t="str">
        <f t="shared" si="135"/>
        <v>2024-09</v>
      </c>
    </row>
    <row r="1756" spans="1:15" x14ac:dyDescent="0.25">
      <c r="A1756" s="9" t="s">
        <v>316</v>
      </c>
      <c r="B1756" s="9" t="s">
        <v>317</v>
      </c>
      <c r="C1756" s="25" t="s">
        <v>228</v>
      </c>
      <c r="D1756" s="19">
        <v>171.73</v>
      </c>
      <c r="E1756" s="19">
        <v>175.22</v>
      </c>
      <c r="F1756" s="19">
        <v>170.69</v>
      </c>
      <c r="G1756" s="19">
        <v>174.45</v>
      </c>
      <c r="H1756" s="19">
        <v>174.45</v>
      </c>
      <c r="I1756" s="15">
        <v>6096086</v>
      </c>
      <c r="J1756" s="19">
        <f t="shared" si="132"/>
        <v>1.5838816747219466</v>
      </c>
      <c r="K1756" s="19">
        <f t="shared" si="133"/>
        <v>162.19900000000001</v>
      </c>
      <c r="L1756" s="19">
        <f t="shared" si="136"/>
        <v>162.733</v>
      </c>
      <c r="M1756" s="19">
        <f>MAX(G1574:G1756)</f>
        <v>251.87</v>
      </c>
      <c r="N1756" s="19">
        <f t="shared" si="134"/>
        <v>-30.738079167824679</v>
      </c>
      <c r="O1756" s="9" t="str">
        <f t="shared" si="135"/>
        <v>2024-09</v>
      </c>
    </row>
    <row r="1757" spans="1:15" x14ac:dyDescent="0.25">
      <c r="A1757" s="9" t="s">
        <v>316</v>
      </c>
      <c r="B1757" s="9" t="s">
        <v>317</v>
      </c>
      <c r="C1757" s="25" t="s">
        <v>229</v>
      </c>
      <c r="D1757" s="19">
        <v>174.45</v>
      </c>
      <c r="E1757" s="19">
        <v>175.23</v>
      </c>
      <c r="F1757" s="19">
        <v>174.05</v>
      </c>
      <c r="G1757" s="19">
        <v>174.82</v>
      </c>
      <c r="H1757" s="19">
        <v>174.82</v>
      </c>
      <c r="I1757" s="15">
        <v>2468434</v>
      </c>
      <c r="J1757" s="19">
        <f t="shared" si="132"/>
        <v>0.21209515620521902</v>
      </c>
      <c r="K1757" s="19">
        <f t="shared" si="133"/>
        <v>162.71099999999998</v>
      </c>
      <c r="L1757" s="19">
        <f t="shared" si="136"/>
        <v>162.88200000000001</v>
      </c>
      <c r="M1757" s="19">
        <f>MAX(G1574:G1757)</f>
        <v>251.87</v>
      </c>
      <c r="N1757" s="19">
        <f t="shared" si="134"/>
        <v>-30.59117798864494</v>
      </c>
      <c r="O1757" s="9" t="str">
        <f t="shared" si="135"/>
        <v>2024-09</v>
      </c>
    </row>
    <row r="1758" spans="1:15" x14ac:dyDescent="0.25">
      <c r="A1758" s="9" t="s">
        <v>316</v>
      </c>
      <c r="B1758" s="9" t="s">
        <v>317</v>
      </c>
      <c r="C1758" s="25" t="s">
        <v>230</v>
      </c>
      <c r="D1758" s="19">
        <v>174.82</v>
      </c>
      <c r="E1758" s="19">
        <v>175.03</v>
      </c>
      <c r="F1758" s="19">
        <v>166.06</v>
      </c>
      <c r="G1758" s="19">
        <v>166.99</v>
      </c>
      <c r="H1758" s="19">
        <v>166.99</v>
      </c>
      <c r="I1758" s="15">
        <v>4665069</v>
      </c>
      <c r="J1758" s="19">
        <f t="shared" si="132"/>
        <v>-4.4788925752202173</v>
      </c>
      <c r="K1758" s="19">
        <f t="shared" si="133"/>
        <v>162.93649999999997</v>
      </c>
      <c r="L1758" s="19">
        <f t="shared" si="136"/>
        <v>163.08859999999999</v>
      </c>
      <c r="M1758" s="19">
        <f>MAX(G1574:G1758)</f>
        <v>251.87</v>
      </c>
      <c r="N1758" s="19">
        <f t="shared" si="134"/>
        <v>-33.699924564259334</v>
      </c>
      <c r="O1758" s="9" t="str">
        <f t="shared" si="135"/>
        <v>2024-09</v>
      </c>
    </row>
    <row r="1759" spans="1:15" x14ac:dyDescent="0.25">
      <c r="A1759" s="9" t="s">
        <v>316</v>
      </c>
      <c r="B1759" s="9" t="s">
        <v>317</v>
      </c>
      <c r="C1759" s="25" t="s">
        <v>231</v>
      </c>
      <c r="D1759" s="19">
        <v>166.99</v>
      </c>
      <c r="E1759" s="19">
        <v>167.08</v>
      </c>
      <c r="F1759" s="19">
        <v>157.94999999999999</v>
      </c>
      <c r="G1759" s="19">
        <v>158.02000000000001</v>
      </c>
      <c r="H1759" s="19">
        <v>158.02000000000001</v>
      </c>
      <c r="I1759" s="15">
        <v>7059402</v>
      </c>
      <c r="J1759" s="19">
        <f t="shared" si="132"/>
        <v>-5.371579136475237</v>
      </c>
      <c r="K1759" s="19">
        <f t="shared" si="133"/>
        <v>162.98549999999997</v>
      </c>
      <c r="L1759" s="19">
        <f t="shared" si="136"/>
        <v>163.01300000000001</v>
      </c>
      <c r="M1759" s="19">
        <f>MAX(G1574:G1759)</f>
        <v>251.87</v>
      </c>
      <c r="N1759" s="19">
        <f t="shared" si="134"/>
        <v>-37.26128558383293</v>
      </c>
      <c r="O1759" s="9" t="str">
        <f t="shared" si="135"/>
        <v>2024-09</v>
      </c>
    </row>
    <row r="1760" spans="1:15" x14ac:dyDescent="0.25">
      <c r="A1760" s="9" t="s">
        <v>316</v>
      </c>
      <c r="B1760" s="9" t="s">
        <v>317</v>
      </c>
      <c r="C1760" s="25" t="s">
        <v>232</v>
      </c>
      <c r="D1760" s="19">
        <v>158.02000000000001</v>
      </c>
      <c r="E1760" s="19">
        <v>158.36000000000001</v>
      </c>
      <c r="F1760" s="19">
        <v>155.12</v>
      </c>
      <c r="G1760" s="19">
        <v>155.19999999999999</v>
      </c>
      <c r="H1760" s="19">
        <v>155.19999999999999</v>
      </c>
      <c r="I1760" s="15">
        <v>3327270</v>
      </c>
      <c r="J1760" s="19">
        <f t="shared" si="132"/>
        <v>-1.7845842298443371</v>
      </c>
      <c r="K1760" s="19">
        <f t="shared" si="133"/>
        <v>162.83099999999996</v>
      </c>
      <c r="L1760" s="19">
        <f t="shared" si="136"/>
        <v>162.96759999999998</v>
      </c>
      <c r="M1760" s="19">
        <f>MAX(G1574:G1760)</f>
        <v>251.87</v>
      </c>
      <c r="N1760" s="19">
        <f t="shared" si="134"/>
        <v>-38.380910787310917</v>
      </c>
      <c r="O1760" s="9" t="str">
        <f t="shared" si="135"/>
        <v>2024-09</v>
      </c>
    </row>
    <row r="1761" spans="1:15" x14ac:dyDescent="0.25">
      <c r="A1761" s="9" t="s">
        <v>316</v>
      </c>
      <c r="B1761" s="9" t="s">
        <v>317</v>
      </c>
      <c r="C1761" s="25" t="s">
        <v>233</v>
      </c>
      <c r="D1761" s="19">
        <v>155.19999999999999</v>
      </c>
      <c r="E1761" s="19">
        <v>156.47999999999999</v>
      </c>
      <c r="F1761" s="19">
        <v>139.22999999999999</v>
      </c>
      <c r="G1761" s="19">
        <v>139.34</v>
      </c>
      <c r="H1761" s="19">
        <v>139.34</v>
      </c>
      <c r="I1761" s="15">
        <v>12728958</v>
      </c>
      <c r="J1761" s="19">
        <f t="shared" si="132"/>
        <v>-10.219072164948445</v>
      </c>
      <c r="K1761" s="19">
        <f t="shared" si="133"/>
        <v>161.8595</v>
      </c>
      <c r="L1761" s="19">
        <f t="shared" si="136"/>
        <v>162.50459999999998</v>
      </c>
      <c r="M1761" s="19">
        <f>MAX(G1574:G1761)</f>
        <v>251.87</v>
      </c>
      <c r="N1761" s="19">
        <f t="shared" si="134"/>
        <v>-44.677809981339578</v>
      </c>
      <c r="O1761" s="9" t="str">
        <f t="shared" si="135"/>
        <v>2024-09</v>
      </c>
    </row>
    <row r="1762" spans="1:15" x14ac:dyDescent="0.25">
      <c r="A1762" s="9" t="s">
        <v>316</v>
      </c>
      <c r="B1762" s="9" t="s">
        <v>317</v>
      </c>
      <c r="C1762" s="25" t="s">
        <v>234</v>
      </c>
      <c r="D1762" s="19">
        <v>139.34</v>
      </c>
      <c r="E1762" s="19">
        <v>148.77000000000001</v>
      </c>
      <c r="F1762" s="19">
        <v>139.03</v>
      </c>
      <c r="G1762" s="19">
        <v>147.65</v>
      </c>
      <c r="H1762" s="19">
        <v>147.65</v>
      </c>
      <c r="I1762" s="15">
        <v>8562832</v>
      </c>
      <c r="J1762" s="19">
        <f t="shared" si="132"/>
        <v>5.9638294818429758</v>
      </c>
      <c r="K1762" s="19">
        <f t="shared" si="133"/>
        <v>161.55899999999997</v>
      </c>
      <c r="L1762" s="19">
        <f t="shared" si="136"/>
        <v>162.39519999999999</v>
      </c>
      <c r="M1762" s="19">
        <f>MAX(G1574:G1762)</f>
        <v>251.87</v>
      </c>
      <c r="N1762" s="19">
        <f t="shared" si="134"/>
        <v>-41.378488903005518</v>
      </c>
      <c r="O1762" s="9" t="str">
        <f t="shared" si="135"/>
        <v>2024-09</v>
      </c>
    </row>
    <row r="1763" spans="1:15" x14ac:dyDescent="0.25">
      <c r="A1763" s="9" t="s">
        <v>316</v>
      </c>
      <c r="B1763" s="9" t="s">
        <v>317</v>
      </c>
      <c r="C1763" s="25" t="s">
        <v>235</v>
      </c>
      <c r="D1763" s="19">
        <v>147.65</v>
      </c>
      <c r="E1763" s="19">
        <v>149.38999999999999</v>
      </c>
      <c r="F1763" s="19">
        <v>147.36000000000001</v>
      </c>
      <c r="G1763" s="19">
        <v>148.6</v>
      </c>
      <c r="H1763" s="19">
        <v>148.6</v>
      </c>
      <c r="I1763" s="15">
        <v>4985160</v>
      </c>
      <c r="J1763" s="19">
        <f t="shared" si="132"/>
        <v>0.64341347781915925</v>
      </c>
      <c r="K1763" s="19">
        <f t="shared" si="133"/>
        <v>161.49449999999999</v>
      </c>
      <c r="L1763" s="19">
        <f t="shared" si="136"/>
        <v>162.15700000000001</v>
      </c>
      <c r="M1763" s="19">
        <f>MAX(G1574:G1763)</f>
        <v>251.87</v>
      </c>
      <c r="N1763" s="19">
        <f t="shared" si="134"/>
        <v>-41.001310199706204</v>
      </c>
      <c r="O1763" s="9" t="str">
        <f t="shared" si="135"/>
        <v>2024-09</v>
      </c>
    </row>
    <row r="1764" spans="1:15" x14ac:dyDescent="0.25">
      <c r="A1764" s="9" t="s">
        <v>316</v>
      </c>
      <c r="B1764" s="9" t="s">
        <v>317</v>
      </c>
      <c r="C1764" s="25" t="s">
        <v>236</v>
      </c>
      <c r="D1764" s="19">
        <v>148.6</v>
      </c>
      <c r="E1764" s="19">
        <v>148.66999999999999</v>
      </c>
      <c r="F1764" s="19">
        <v>139.58000000000001</v>
      </c>
      <c r="G1764" s="19">
        <v>140.13</v>
      </c>
      <c r="H1764" s="19">
        <v>140.13</v>
      </c>
      <c r="I1764" s="15">
        <v>3172609</v>
      </c>
      <c r="J1764" s="19">
        <f t="shared" si="132"/>
        <v>-5.6998654104979805</v>
      </c>
      <c r="K1764" s="19">
        <f t="shared" si="133"/>
        <v>160.363</v>
      </c>
      <c r="L1764" s="19">
        <f t="shared" si="136"/>
        <v>161.78060000000002</v>
      </c>
      <c r="M1764" s="19">
        <f>MAX(G1574:G1764)</f>
        <v>251.87</v>
      </c>
      <c r="N1764" s="19">
        <f t="shared" si="134"/>
        <v>-44.364156112280142</v>
      </c>
      <c r="O1764" s="9" t="str">
        <f t="shared" si="135"/>
        <v>2024-09</v>
      </c>
    </row>
    <row r="1765" spans="1:15" x14ac:dyDescent="0.25">
      <c r="A1765" s="9" t="s">
        <v>316</v>
      </c>
      <c r="B1765" s="9" t="s">
        <v>317</v>
      </c>
      <c r="C1765" s="25" t="s">
        <v>237</v>
      </c>
      <c r="D1765" s="19">
        <v>140.13</v>
      </c>
      <c r="E1765" s="19">
        <v>141.12</v>
      </c>
      <c r="F1765" s="19">
        <v>134.51</v>
      </c>
      <c r="G1765" s="19">
        <v>134.71</v>
      </c>
      <c r="H1765" s="19">
        <v>134.71</v>
      </c>
      <c r="I1765" s="15">
        <v>3922979</v>
      </c>
      <c r="J1765" s="19">
        <f t="shared" si="132"/>
        <v>-3.8678370084921059</v>
      </c>
      <c r="K1765" s="19">
        <f t="shared" si="133"/>
        <v>159.27600000000001</v>
      </c>
      <c r="L1765" s="19">
        <f t="shared" si="136"/>
        <v>161.41400000000002</v>
      </c>
      <c r="M1765" s="19">
        <f>MAX(G1574:G1765)</f>
        <v>251.87</v>
      </c>
      <c r="N1765" s="19">
        <f t="shared" si="134"/>
        <v>-46.516059872156269</v>
      </c>
      <c r="O1765" s="9" t="str">
        <f t="shared" si="135"/>
        <v>2024-09</v>
      </c>
    </row>
    <row r="1766" spans="1:15" x14ac:dyDescent="0.25">
      <c r="A1766" s="9" t="s">
        <v>316</v>
      </c>
      <c r="B1766" s="9" t="s">
        <v>317</v>
      </c>
      <c r="C1766" s="25" t="s">
        <v>238</v>
      </c>
      <c r="D1766" s="19">
        <v>134.71</v>
      </c>
      <c r="E1766" s="19">
        <v>134.97999999999999</v>
      </c>
      <c r="F1766" s="19">
        <v>129.91999999999999</v>
      </c>
      <c r="G1766" s="19">
        <v>129.97999999999999</v>
      </c>
      <c r="H1766" s="19">
        <v>129.97999999999999</v>
      </c>
      <c r="I1766" s="15">
        <v>4608905</v>
      </c>
      <c r="J1766" s="19">
        <f t="shared" si="132"/>
        <v>-3.5112463811150012</v>
      </c>
      <c r="K1766" s="19">
        <f t="shared" si="133"/>
        <v>157.892</v>
      </c>
      <c r="L1766" s="19">
        <f t="shared" si="136"/>
        <v>160.92840000000001</v>
      </c>
      <c r="M1766" s="19">
        <f>MAX(G1574:G1766)</f>
        <v>251.87</v>
      </c>
      <c r="N1766" s="19">
        <f t="shared" si="134"/>
        <v>-48.394012784372897</v>
      </c>
      <c r="O1766" s="9" t="str">
        <f t="shared" si="135"/>
        <v>2024-09</v>
      </c>
    </row>
    <row r="1767" spans="1:15" x14ac:dyDescent="0.25">
      <c r="A1767" s="9" t="s">
        <v>316</v>
      </c>
      <c r="B1767" s="9" t="s">
        <v>317</v>
      </c>
      <c r="C1767" s="25" t="s">
        <v>239</v>
      </c>
      <c r="D1767" s="19">
        <v>129.97999999999999</v>
      </c>
      <c r="E1767" s="19">
        <v>130.57</v>
      </c>
      <c r="F1767" s="19">
        <v>125.69</v>
      </c>
      <c r="G1767" s="19">
        <v>125.85</v>
      </c>
      <c r="H1767" s="19">
        <v>125.85</v>
      </c>
      <c r="I1767" s="15">
        <v>3743851</v>
      </c>
      <c r="J1767" s="19">
        <f t="shared" ref="J1767:J1835" si="137">IFERROR((G1767-G1766)/G1766*100,"")</f>
        <v>-3.177411909524539</v>
      </c>
      <c r="K1767" s="19">
        <f t="shared" si="133"/>
        <v>156.26500000000001</v>
      </c>
      <c r="L1767" s="19">
        <f t="shared" si="136"/>
        <v>160.358</v>
      </c>
      <c r="M1767" s="19">
        <f>MAX(G1574:G1767)</f>
        <v>251.87</v>
      </c>
      <c r="N1767" s="19">
        <f t="shared" si="134"/>
        <v>-50.033747568189945</v>
      </c>
      <c r="O1767" s="9" t="str">
        <f t="shared" si="135"/>
        <v>2024-09</v>
      </c>
    </row>
    <row r="1768" spans="1:15" x14ac:dyDescent="0.25">
      <c r="A1768" s="9" t="s">
        <v>316</v>
      </c>
      <c r="B1768" s="9" t="s">
        <v>317</v>
      </c>
      <c r="C1768" s="25" t="s">
        <v>240</v>
      </c>
      <c r="D1768" s="19">
        <v>125.85</v>
      </c>
      <c r="E1768" s="19">
        <v>128.35</v>
      </c>
      <c r="F1768" s="19">
        <v>125.15</v>
      </c>
      <c r="G1768" s="19">
        <v>128.08000000000001</v>
      </c>
      <c r="H1768" s="19">
        <v>128.08000000000001</v>
      </c>
      <c r="I1768" s="15">
        <v>7174044</v>
      </c>
      <c r="J1768" s="19">
        <f t="shared" si="137"/>
        <v>1.7719507350020012</v>
      </c>
      <c r="K1768" s="19">
        <f t="shared" si="133"/>
        <v>154.76749999999998</v>
      </c>
      <c r="L1768" s="19">
        <f t="shared" si="136"/>
        <v>159.76339999999999</v>
      </c>
      <c r="M1768" s="19">
        <f>MAX(G1574:G1768)</f>
        <v>251.87</v>
      </c>
      <c r="N1768" s="19">
        <f t="shared" si="134"/>
        <v>-49.148370190971526</v>
      </c>
      <c r="O1768" s="9" t="str">
        <f t="shared" si="135"/>
        <v>2024-09</v>
      </c>
    </row>
    <row r="1769" spans="1:15" x14ac:dyDescent="0.25">
      <c r="A1769" s="9" t="s">
        <v>316</v>
      </c>
      <c r="B1769" s="9" t="s">
        <v>317</v>
      </c>
      <c r="C1769" s="25" t="s">
        <v>241</v>
      </c>
      <c r="D1769" s="19">
        <v>128.08000000000001</v>
      </c>
      <c r="E1769" s="19">
        <v>128.75</v>
      </c>
      <c r="F1769" s="19">
        <v>124.07</v>
      </c>
      <c r="G1769" s="19">
        <v>124.09</v>
      </c>
      <c r="H1769" s="19">
        <v>124.09</v>
      </c>
      <c r="I1769" s="15">
        <v>4061437</v>
      </c>
      <c r="J1769" s="19">
        <f t="shared" si="137"/>
        <v>-3.1152404747033171</v>
      </c>
      <c r="K1769" s="19">
        <f t="shared" si="133"/>
        <v>152.73599999999999</v>
      </c>
      <c r="L1769" s="19">
        <f t="shared" si="136"/>
        <v>159.06279999999998</v>
      </c>
      <c r="M1769" s="19">
        <f>MAX(G1574:G1769)</f>
        <v>251.87</v>
      </c>
      <c r="N1769" s="19">
        <f t="shared" si="134"/>
        <v>-50.732520744828676</v>
      </c>
      <c r="O1769" s="9" t="str">
        <f t="shared" si="135"/>
        <v>2024-09</v>
      </c>
    </row>
    <row r="1770" spans="1:15" x14ac:dyDescent="0.25">
      <c r="A1770" s="9" t="s">
        <v>316</v>
      </c>
      <c r="B1770" s="9" t="s">
        <v>317</v>
      </c>
      <c r="C1770" s="25" t="s">
        <v>242</v>
      </c>
      <c r="D1770" s="19">
        <v>124.09</v>
      </c>
      <c r="E1770" s="19">
        <v>124.77</v>
      </c>
      <c r="F1770" s="19">
        <v>121.66</v>
      </c>
      <c r="G1770" s="19">
        <v>121.95</v>
      </c>
      <c r="H1770" s="19">
        <v>121.95</v>
      </c>
      <c r="I1770" s="15">
        <v>5293482</v>
      </c>
      <c r="J1770" s="19">
        <f t="shared" si="137"/>
        <v>-1.7245547586429206</v>
      </c>
      <c r="K1770" s="19">
        <f t="shared" si="133"/>
        <v>150.453</v>
      </c>
      <c r="L1770" s="19">
        <f t="shared" si="136"/>
        <v>158.18659999999997</v>
      </c>
      <c r="M1770" s="19">
        <f>MAX(G1574:G1770)</f>
        <v>251.87</v>
      </c>
      <c r="N1770" s="19">
        <f t="shared" si="134"/>
        <v>-51.582165402787162</v>
      </c>
      <c r="O1770" s="9" t="str">
        <f t="shared" si="135"/>
        <v>2024-10</v>
      </c>
    </row>
    <row r="1771" spans="1:15" x14ac:dyDescent="0.25">
      <c r="A1771" s="9" t="s">
        <v>316</v>
      </c>
      <c r="B1771" s="9" t="s">
        <v>317</v>
      </c>
      <c r="C1771" s="25" t="s">
        <v>243</v>
      </c>
      <c r="D1771" s="19">
        <v>121.95</v>
      </c>
      <c r="E1771" s="19">
        <v>122.73</v>
      </c>
      <c r="F1771" s="19">
        <v>119.41</v>
      </c>
      <c r="G1771" s="19">
        <v>119.62</v>
      </c>
      <c r="H1771" s="19">
        <v>119.62</v>
      </c>
      <c r="I1771" s="15">
        <v>4570516</v>
      </c>
      <c r="J1771" s="19">
        <f t="shared" si="137"/>
        <v>-1.9106191061910602</v>
      </c>
      <c r="K1771" s="19">
        <f t="shared" si="133"/>
        <v>148.08099999999996</v>
      </c>
      <c r="L1771" s="19">
        <f t="shared" si="136"/>
        <v>157.12519999999998</v>
      </c>
      <c r="M1771" s="19">
        <f>MAX(G1574:G1771)</f>
        <v>251.87</v>
      </c>
      <c r="N1771" s="19">
        <f t="shared" si="134"/>
        <v>-52.507245801405489</v>
      </c>
      <c r="O1771" s="9" t="str">
        <f t="shared" si="135"/>
        <v>2024-10</v>
      </c>
    </row>
    <row r="1772" spans="1:15" x14ac:dyDescent="0.25">
      <c r="A1772" s="9" t="s">
        <v>316</v>
      </c>
      <c r="B1772" s="9" t="s">
        <v>317</v>
      </c>
      <c r="C1772" s="25" t="s">
        <v>244</v>
      </c>
      <c r="D1772" s="19">
        <v>119.62</v>
      </c>
      <c r="E1772" s="19">
        <v>119.83</v>
      </c>
      <c r="F1772" s="19">
        <v>115.3</v>
      </c>
      <c r="G1772" s="19">
        <v>116.33</v>
      </c>
      <c r="H1772" s="19">
        <v>116.33</v>
      </c>
      <c r="I1772" s="15">
        <v>5324884</v>
      </c>
      <c r="J1772" s="19">
        <f t="shared" si="137"/>
        <v>-2.7503761912723674</v>
      </c>
      <c r="K1772" s="19">
        <f t="shared" si="133"/>
        <v>145.60699999999997</v>
      </c>
      <c r="L1772" s="19">
        <f t="shared" si="136"/>
        <v>156.23499999999999</v>
      </c>
      <c r="M1772" s="19">
        <f>MAX(G1574:G1772)</f>
        <v>251.87</v>
      </c>
      <c r="N1772" s="19">
        <f t="shared" si="134"/>
        <v>-53.813475205463149</v>
      </c>
      <c r="O1772" s="9" t="str">
        <f t="shared" si="135"/>
        <v>2024-10</v>
      </c>
    </row>
    <row r="1773" spans="1:15" x14ac:dyDescent="0.25">
      <c r="A1773" s="9" t="s">
        <v>316</v>
      </c>
      <c r="B1773" s="9" t="s">
        <v>317</v>
      </c>
      <c r="C1773" s="25" t="s">
        <v>245</v>
      </c>
      <c r="D1773" s="19">
        <v>116.33</v>
      </c>
      <c r="E1773" s="19">
        <v>117.01</v>
      </c>
      <c r="F1773" s="19">
        <v>115.88</v>
      </c>
      <c r="G1773" s="19">
        <v>117</v>
      </c>
      <c r="H1773" s="19">
        <v>117</v>
      </c>
      <c r="I1773" s="15">
        <v>5954999</v>
      </c>
      <c r="J1773" s="19">
        <f t="shared" si="137"/>
        <v>0.5759477348921187</v>
      </c>
      <c r="K1773" s="19">
        <f t="shared" si="133"/>
        <v>143.21449999999999</v>
      </c>
      <c r="L1773" s="19">
        <f t="shared" si="136"/>
        <v>155.18439999999998</v>
      </c>
      <c r="M1773" s="19">
        <f>MAX(G1574:G1773)</f>
        <v>251.87</v>
      </c>
      <c r="N1773" s="19">
        <f t="shared" si="134"/>
        <v>-53.547464962083616</v>
      </c>
      <c r="O1773" s="9" t="str">
        <f t="shared" si="135"/>
        <v>2024-10</v>
      </c>
    </row>
    <row r="1774" spans="1:15" x14ac:dyDescent="0.25">
      <c r="A1774" s="9" t="s">
        <v>316</v>
      </c>
      <c r="B1774" s="9" t="s">
        <v>317</v>
      </c>
      <c r="C1774" s="25" t="s">
        <v>246</v>
      </c>
      <c r="D1774" s="19">
        <v>117</v>
      </c>
      <c r="E1774" s="19">
        <v>117.55</v>
      </c>
      <c r="F1774" s="19">
        <v>113.45</v>
      </c>
      <c r="G1774" s="19">
        <v>114.66</v>
      </c>
      <c r="H1774" s="19">
        <v>114.66</v>
      </c>
      <c r="I1774" s="15">
        <v>3374318</v>
      </c>
      <c r="J1774" s="19">
        <f t="shared" si="137"/>
        <v>-2.0000000000000027</v>
      </c>
      <c r="K1774" s="19">
        <f t="shared" si="133"/>
        <v>140.45999999999998</v>
      </c>
      <c r="L1774" s="19">
        <f t="shared" si="136"/>
        <v>154.08319999999998</v>
      </c>
      <c r="M1774" s="19">
        <f>MAX(G1574:G1774)</f>
        <v>251.87</v>
      </c>
      <c r="N1774" s="19">
        <f t="shared" si="134"/>
        <v>-54.47651566284194</v>
      </c>
      <c r="O1774" s="9" t="str">
        <f t="shared" si="135"/>
        <v>2024-10</v>
      </c>
    </row>
    <row r="1775" spans="1:15" x14ac:dyDescent="0.25">
      <c r="A1775" s="9" t="s">
        <v>316</v>
      </c>
      <c r="B1775" s="9" t="s">
        <v>317</v>
      </c>
      <c r="C1775" s="25" t="s">
        <v>247</v>
      </c>
      <c r="D1775" s="19">
        <v>114.66</v>
      </c>
      <c r="E1775" s="19">
        <v>120.1</v>
      </c>
      <c r="F1775" s="19">
        <v>114.61</v>
      </c>
      <c r="G1775" s="19">
        <v>119.28</v>
      </c>
      <c r="H1775" s="19">
        <v>119.28</v>
      </c>
      <c r="I1775" s="15">
        <v>2513136</v>
      </c>
      <c r="J1775" s="19">
        <f t="shared" si="137"/>
        <v>4.0293040293040336</v>
      </c>
      <c r="K1775" s="19">
        <f t="shared" si="133"/>
        <v>137.83749999999998</v>
      </c>
      <c r="L1775" s="19">
        <f t="shared" si="136"/>
        <v>153.1756</v>
      </c>
      <c r="M1775" s="19">
        <f>MAX(G1574:G1775)</f>
        <v>251.87</v>
      </c>
      <c r="N1775" s="19">
        <f t="shared" si="134"/>
        <v>-52.642236074165247</v>
      </c>
      <c r="O1775" s="9" t="str">
        <f t="shared" si="135"/>
        <v>2024-10</v>
      </c>
    </row>
    <row r="1776" spans="1:15" x14ac:dyDescent="0.25">
      <c r="A1776" s="9" t="s">
        <v>316</v>
      </c>
      <c r="B1776" s="9" t="s">
        <v>317</v>
      </c>
      <c r="C1776" s="25" t="s">
        <v>248</v>
      </c>
      <c r="D1776" s="19">
        <v>119.28</v>
      </c>
      <c r="E1776" s="19">
        <v>128.88</v>
      </c>
      <c r="F1776" s="19">
        <v>118.7</v>
      </c>
      <c r="G1776" s="19">
        <v>128.06</v>
      </c>
      <c r="H1776" s="19">
        <v>128.06</v>
      </c>
      <c r="I1776" s="15">
        <v>10168685</v>
      </c>
      <c r="J1776" s="19">
        <f t="shared" si="137"/>
        <v>7.3608316566063055</v>
      </c>
      <c r="K1776" s="19">
        <f t="shared" si="133"/>
        <v>135.51799999999997</v>
      </c>
      <c r="L1776" s="19">
        <f t="shared" si="136"/>
        <v>152.60279999999997</v>
      </c>
      <c r="M1776" s="19">
        <f>MAX(G1574:G1776)</f>
        <v>251.87</v>
      </c>
      <c r="N1776" s="19">
        <f t="shared" si="134"/>
        <v>-49.156310795251521</v>
      </c>
      <c r="O1776" s="9" t="str">
        <f t="shared" si="135"/>
        <v>2024-10</v>
      </c>
    </row>
    <row r="1777" spans="1:15" x14ac:dyDescent="0.25">
      <c r="A1777" s="9" t="s">
        <v>316</v>
      </c>
      <c r="B1777" s="9" t="s">
        <v>317</v>
      </c>
      <c r="C1777" s="25" t="s">
        <v>249</v>
      </c>
      <c r="D1777" s="19">
        <v>128.06</v>
      </c>
      <c r="E1777" s="19">
        <v>132.61000000000001</v>
      </c>
      <c r="F1777" s="19">
        <v>127.72</v>
      </c>
      <c r="G1777" s="19">
        <v>132.04</v>
      </c>
      <c r="H1777" s="19">
        <v>132.04</v>
      </c>
      <c r="I1777" s="15">
        <v>4993679</v>
      </c>
      <c r="J1777" s="19">
        <f t="shared" si="137"/>
        <v>3.1079181633609165</v>
      </c>
      <c r="K1777" s="19">
        <f t="shared" si="133"/>
        <v>133.37899999999996</v>
      </c>
      <c r="L1777" s="19">
        <f t="shared" si="136"/>
        <v>151.95299999999997</v>
      </c>
      <c r="M1777" s="19">
        <f>MAX(G1574:G1777)</f>
        <v>251.87</v>
      </c>
      <c r="N1777" s="19">
        <f t="shared" si="134"/>
        <v>-47.576130543534369</v>
      </c>
      <c r="O1777" s="9" t="str">
        <f t="shared" si="135"/>
        <v>2024-10</v>
      </c>
    </row>
    <row r="1778" spans="1:15" x14ac:dyDescent="0.25">
      <c r="A1778" s="9" t="s">
        <v>316</v>
      </c>
      <c r="B1778" s="9" t="s">
        <v>317</v>
      </c>
      <c r="C1778" s="25" t="s">
        <v>250</v>
      </c>
      <c r="D1778" s="19">
        <v>132.04</v>
      </c>
      <c r="E1778" s="19">
        <v>133.33000000000001</v>
      </c>
      <c r="F1778" s="19">
        <v>130.59</v>
      </c>
      <c r="G1778" s="19">
        <v>130.87</v>
      </c>
      <c r="H1778" s="19">
        <v>130.87</v>
      </c>
      <c r="I1778" s="15">
        <v>2118568</v>
      </c>
      <c r="J1778" s="19">
        <f t="shared" si="137"/>
        <v>-0.88609512269008439</v>
      </c>
      <c r="K1778" s="19">
        <f t="shared" si="133"/>
        <v>131.57299999999998</v>
      </c>
      <c r="L1778" s="19">
        <f t="shared" si="136"/>
        <v>151.37299999999996</v>
      </c>
      <c r="M1778" s="19">
        <f>MAX(G1574:G1778)</f>
        <v>251.87</v>
      </c>
      <c r="N1778" s="19">
        <f t="shared" si="134"/>
        <v>-48.040655893913524</v>
      </c>
      <c r="O1778" s="9" t="str">
        <f t="shared" si="135"/>
        <v>2024-10</v>
      </c>
    </row>
    <row r="1779" spans="1:15" x14ac:dyDescent="0.25">
      <c r="A1779" s="9" t="s">
        <v>316</v>
      </c>
      <c r="B1779" s="9" t="s">
        <v>317</v>
      </c>
      <c r="C1779" s="25" t="s">
        <v>251</v>
      </c>
      <c r="D1779" s="19">
        <v>130.87</v>
      </c>
      <c r="E1779" s="19">
        <v>133.83000000000001</v>
      </c>
      <c r="F1779" s="19">
        <v>130.87</v>
      </c>
      <c r="G1779" s="19">
        <v>132.5</v>
      </c>
      <c r="H1779" s="19">
        <v>132.5</v>
      </c>
      <c r="I1779" s="15">
        <v>3726534</v>
      </c>
      <c r="J1779" s="19">
        <f t="shared" si="137"/>
        <v>1.2455108122564342</v>
      </c>
      <c r="K1779" s="19">
        <f t="shared" si="133"/>
        <v>130.29699999999997</v>
      </c>
      <c r="L1779" s="19">
        <f t="shared" si="136"/>
        <v>150.78679999999997</v>
      </c>
      <c r="M1779" s="19">
        <f>MAX(G1574:G1779)</f>
        <v>251.87</v>
      </c>
      <c r="N1779" s="19">
        <f t="shared" si="134"/>
        <v>-47.393496645094693</v>
      </c>
      <c r="O1779" s="9" t="str">
        <f t="shared" si="135"/>
        <v>2024-10</v>
      </c>
    </row>
    <row r="1780" spans="1:15" x14ac:dyDescent="0.25">
      <c r="A1780" s="9" t="s">
        <v>316</v>
      </c>
      <c r="B1780" s="9" t="s">
        <v>317</v>
      </c>
      <c r="C1780" s="25" t="s">
        <v>252</v>
      </c>
      <c r="D1780" s="19">
        <v>132.5</v>
      </c>
      <c r="E1780" s="19">
        <v>137.63999999999999</v>
      </c>
      <c r="F1780" s="19">
        <v>132.16</v>
      </c>
      <c r="G1780" s="19">
        <v>137.13999999999999</v>
      </c>
      <c r="H1780" s="19">
        <v>137.13999999999999</v>
      </c>
      <c r="I1780" s="15">
        <v>4147693</v>
      </c>
      <c r="J1780" s="19">
        <f t="shared" si="137"/>
        <v>3.5018867924528201</v>
      </c>
      <c r="K1780" s="19">
        <f t="shared" si="133"/>
        <v>129.39399999999998</v>
      </c>
      <c r="L1780" s="19">
        <f t="shared" si="136"/>
        <v>150.17499999999998</v>
      </c>
      <c r="M1780" s="19">
        <f>MAX(G1574:G1780)</f>
        <v>251.87</v>
      </c>
      <c r="N1780" s="19">
        <f t="shared" si="134"/>
        <v>-45.551276452138012</v>
      </c>
      <c r="O1780" s="9" t="str">
        <f t="shared" si="135"/>
        <v>2024-10</v>
      </c>
    </row>
    <row r="1781" spans="1:15" x14ac:dyDescent="0.25">
      <c r="A1781" s="9" t="s">
        <v>316</v>
      </c>
      <c r="B1781" s="9" t="s">
        <v>317</v>
      </c>
      <c r="C1781" s="25" t="s">
        <v>253</v>
      </c>
      <c r="D1781" s="19">
        <v>137.13999999999999</v>
      </c>
      <c r="E1781" s="19">
        <v>137.86000000000001</v>
      </c>
      <c r="F1781" s="19">
        <v>136.18</v>
      </c>
      <c r="G1781" s="19">
        <v>136.63999999999999</v>
      </c>
      <c r="H1781" s="19">
        <v>136.63999999999999</v>
      </c>
      <c r="I1781" s="15">
        <v>6544681</v>
      </c>
      <c r="J1781" s="19">
        <f t="shared" si="137"/>
        <v>-0.36459092897768708</v>
      </c>
      <c r="K1781" s="19">
        <f t="shared" si="133"/>
        <v>129.25899999999999</v>
      </c>
      <c r="L1781" s="19">
        <f t="shared" si="136"/>
        <v>149.69099999999997</v>
      </c>
      <c r="M1781" s="19">
        <f>MAX(G1574:G1781)</f>
        <v>251.87</v>
      </c>
      <c r="N1781" s="19">
        <f t="shared" si="134"/>
        <v>-45.749791559137662</v>
      </c>
      <c r="O1781" s="9" t="str">
        <f t="shared" si="135"/>
        <v>2024-10</v>
      </c>
    </row>
    <row r="1782" spans="1:15" x14ac:dyDescent="0.25">
      <c r="A1782" s="9" t="s">
        <v>316</v>
      </c>
      <c r="B1782" s="9" t="s">
        <v>317</v>
      </c>
      <c r="C1782" s="25" t="s">
        <v>254</v>
      </c>
      <c r="D1782" s="19">
        <v>136.63999999999999</v>
      </c>
      <c r="E1782" s="19">
        <v>140.86000000000001</v>
      </c>
      <c r="F1782" s="19">
        <v>136.52000000000001</v>
      </c>
      <c r="G1782" s="19">
        <v>139.46</v>
      </c>
      <c r="H1782" s="19">
        <v>139.46</v>
      </c>
      <c r="I1782" s="15">
        <v>5289181</v>
      </c>
      <c r="J1782" s="19">
        <f t="shared" si="137"/>
        <v>2.0638173302107892</v>
      </c>
      <c r="K1782" s="19">
        <f t="shared" si="133"/>
        <v>128.84949999999998</v>
      </c>
      <c r="L1782" s="19">
        <f t="shared" si="136"/>
        <v>149.1448</v>
      </c>
      <c r="M1782" s="19">
        <f>MAX(G1574:G1782)</f>
        <v>251.87</v>
      </c>
      <c r="N1782" s="19">
        <f t="shared" si="134"/>
        <v>-44.630166355659661</v>
      </c>
      <c r="O1782" s="9" t="str">
        <f t="shared" si="135"/>
        <v>2024-10</v>
      </c>
    </row>
    <row r="1783" spans="1:15" x14ac:dyDescent="0.25">
      <c r="A1783" s="9" t="s">
        <v>316</v>
      </c>
      <c r="B1783" s="9" t="s">
        <v>317</v>
      </c>
      <c r="C1783" s="25" t="s">
        <v>255</v>
      </c>
      <c r="D1783" s="19">
        <v>139.46</v>
      </c>
      <c r="E1783" s="19">
        <v>141.1</v>
      </c>
      <c r="F1783" s="19">
        <v>138.59</v>
      </c>
      <c r="G1783" s="19">
        <v>140.59</v>
      </c>
      <c r="H1783" s="19">
        <v>140.59</v>
      </c>
      <c r="I1783" s="15">
        <v>3473504</v>
      </c>
      <c r="J1783" s="19">
        <f t="shared" si="137"/>
        <v>0.81026817725512357</v>
      </c>
      <c r="K1783" s="19">
        <f t="shared" si="133"/>
        <v>128.44900000000001</v>
      </c>
      <c r="L1783" s="19">
        <f t="shared" si="136"/>
        <v>148.48920000000001</v>
      </c>
      <c r="M1783" s="19">
        <f>MAX(G1574:G1783)</f>
        <v>251.87</v>
      </c>
      <c r="N1783" s="19">
        <f t="shared" si="134"/>
        <v>-44.181522213840474</v>
      </c>
      <c r="O1783" s="9" t="str">
        <f t="shared" si="135"/>
        <v>2024-10</v>
      </c>
    </row>
    <row r="1784" spans="1:15" x14ac:dyDescent="0.25">
      <c r="A1784" s="9" t="s">
        <v>316</v>
      </c>
      <c r="B1784" s="9" t="s">
        <v>317</v>
      </c>
      <c r="C1784" s="25" t="s">
        <v>256</v>
      </c>
      <c r="D1784" s="19">
        <v>140.59</v>
      </c>
      <c r="E1784" s="19">
        <v>141.81</v>
      </c>
      <c r="F1784" s="19">
        <v>140.12</v>
      </c>
      <c r="G1784" s="19">
        <v>141.34</v>
      </c>
      <c r="H1784" s="19">
        <v>141.34</v>
      </c>
      <c r="I1784" s="15">
        <v>3234060</v>
      </c>
      <c r="J1784" s="19">
        <f t="shared" si="137"/>
        <v>0.53346610711999431</v>
      </c>
      <c r="K1784" s="19">
        <f t="shared" si="133"/>
        <v>128.5095</v>
      </c>
      <c r="L1784" s="19">
        <f t="shared" si="136"/>
        <v>147.76780000000002</v>
      </c>
      <c r="M1784" s="19">
        <f>MAX(G1574:G1784)</f>
        <v>251.87</v>
      </c>
      <c r="N1784" s="19">
        <f t="shared" si="134"/>
        <v>-43.883749553341012</v>
      </c>
      <c r="O1784" s="9" t="str">
        <f t="shared" si="135"/>
        <v>2024-10</v>
      </c>
    </row>
    <row r="1785" spans="1:15" x14ac:dyDescent="0.25">
      <c r="A1785" s="9" t="s">
        <v>316</v>
      </c>
      <c r="B1785" s="9" t="s">
        <v>317</v>
      </c>
      <c r="C1785" s="25" t="s">
        <v>257</v>
      </c>
      <c r="D1785" s="19">
        <v>141.34</v>
      </c>
      <c r="E1785" s="19">
        <v>141.94999999999999</v>
      </c>
      <c r="F1785" s="19">
        <v>136.5</v>
      </c>
      <c r="G1785" s="19">
        <v>137.35</v>
      </c>
      <c r="H1785" s="19">
        <v>137.35</v>
      </c>
      <c r="I1785" s="15">
        <v>6235295</v>
      </c>
      <c r="J1785" s="19">
        <f t="shared" si="137"/>
        <v>-2.8229800481109448</v>
      </c>
      <c r="K1785" s="19">
        <f t="shared" ref="K1785:K1848" si="138">AVERAGE(G1766:G1785)</f>
        <v>128.64150000000001</v>
      </c>
      <c r="L1785" s="19">
        <f t="shared" si="136"/>
        <v>147.10120000000001</v>
      </c>
      <c r="M1785" s="19">
        <f>MAX(G1574:G1785)</f>
        <v>251.87</v>
      </c>
      <c r="N1785" s="19">
        <f t="shared" si="134"/>
        <v>-45.467900107198162</v>
      </c>
      <c r="O1785" s="9" t="str">
        <f t="shared" si="135"/>
        <v>2024-10</v>
      </c>
    </row>
    <row r="1786" spans="1:15" x14ac:dyDescent="0.25">
      <c r="A1786" s="9" t="s">
        <v>316</v>
      </c>
      <c r="B1786" s="9" t="s">
        <v>317</v>
      </c>
      <c r="C1786" s="25" t="s">
        <v>258</v>
      </c>
      <c r="D1786" s="19">
        <v>137.35</v>
      </c>
      <c r="E1786" s="19">
        <v>137.46</v>
      </c>
      <c r="F1786" s="19">
        <v>133.87</v>
      </c>
      <c r="G1786" s="19">
        <v>133.91</v>
      </c>
      <c r="H1786" s="19">
        <v>133.91</v>
      </c>
      <c r="I1786" s="15">
        <v>2447790</v>
      </c>
      <c r="J1786" s="19">
        <f t="shared" si="137"/>
        <v>-2.5045504186385132</v>
      </c>
      <c r="K1786" s="19">
        <f t="shared" si="138"/>
        <v>128.83799999999999</v>
      </c>
      <c r="L1786" s="19">
        <f t="shared" si="136"/>
        <v>146.32360000000003</v>
      </c>
      <c r="M1786" s="19">
        <f>MAX(G1574:G1786)</f>
        <v>251.87</v>
      </c>
      <c r="N1786" s="19">
        <f t="shared" si="134"/>
        <v>-46.833684043355703</v>
      </c>
      <c r="O1786" s="9" t="str">
        <f t="shared" si="135"/>
        <v>2024-10</v>
      </c>
    </row>
    <row r="1787" spans="1:15" x14ac:dyDescent="0.25">
      <c r="A1787" s="9" t="s">
        <v>316</v>
      </c>
      <c r="B1787" s="9" t="s">
        <v>317</v>
      </c>
      <c r="C1787" s="25" t="s">
        <v>259</v>
      </c>
      <c r="D1787" s="19">
        <v>133.91</v>
      </c>
      <c r="E1787" s="19">
        <v>134.4</v>
      </c>
      <c r="F1787" s="19">
        <v>129.99</v>
      </c>
      <c r="G1787" s="19">
        <v>130.69</v>
      </c>
      <c r="H1787" s="19">
        <v>130.69</v>
      </c>
      <c r="I1787" s="15">
        <v>5419078</v>
      </c>
      <c r="J1787" s="19">
        <f t="shared" si="137"/>
        <v>-2.4046001045478298</v>
      </c>
      <c r="K1787" s="19">
        <f t="shared" si="138"/>
        <v>129.07999999999998</v>
      </c>
      <c r="L1787" s="19">
        <f t="shared" si="136"/>
        <v>145.64580000000001</v>
      </c>
      <c r="M1787" s="19">
        <f>MAX(G1574:G1787)</f>
        <v>251.87</v>
      </c>
      <c r="N1787" s="19">
        <f t="shared" si="134"/>
        <v>-48.112121332433397</v>
      </c>
      <c r="O1787" s="9" t="str">
        <f t="shared" si="135"/>
        <v>2024-10</v>
      </c>
    </row>
    <row r="1788" spans="1:15" x14ac:dyDescent="0.25">
      <c r="A1788" s="9" t="s">
        <v>316</v>
      </c>
      <c r="B1788" s="9" t="s">
        <v>317</v>
      </c>
      <c r="C1788" s="25" t="s">
        <v>260</v>
      </c>
      <c r="D1788" s="19">
        <v>130.69</v>
      </c>
      <c r="E1788" s="19">
        <v>131.21</v>
      </c>
      <c r="F1788" s="19">
        <v>129.58000000000001</v>
      </c>
      <c r="G1788" s="19">
        <v>130.24</v>
      </c>
      <c r="H1788" s="19">
        <v>130.24</v>
      </c>
      <c r="I1788" s="15">
        <v>5375729</v>
      </c>
      <c r="J1788" s="19">
        <f t="shared" si="137"/>
        <v>-0.34432626826841273</v>
      </c>
      <c r="K1788" s="19">
        <f t="shared" si="138"/>
        <v>129.18799999999996</v>
      </c>
      <c r="L1788" s="19">
        <f t="shared" si="136"/>
        <v>145.00099999999998</v>
      </c>
      <c r="M1788" s="19">
        <f>MAX(G1574:G1788)</f>
        <v>251.87</v>
      </c>
      <c r="N1788" s="19">
        <f t="shared" si="134"/>
        <v>-48.290784928733075</v>
      </c>
      <c r="O1788" s="9" t="str">
        <f t="shared" si="135"/>
        <v>2024-10</v>
      </c>
    </row>
    <row r="1789" spans="1:15" x14ac:dyDescent="0.25">
      <c r="A1789" s="9" t="s">
        <v>316</v>
      </c>
      <c r="B1789" s="9" t="s">
        <v>317</v>
      </c>
      <c r="C1789" s="25" t="s">
        <v>261</v>
      </c>
      <c r="D1789" s="19">
        <v>130.24</v>
      </c>
      <c r="E1789" s="19">
        <v>130.76</v>
      </c>
      <c r="F1789" s="19">
        <v>125.7</v>
      </c>
      <c r="G1789" s="19">
        <v>125.84</v>
      </c>
      <c r="H1789" s="19">
        <v>125.84</v>
      </c>
      <c r="I1789" s="15">
        <v>4541069</v>
      </c>
      <c r="J1789" s="19">
        <f t="shared" si="137"/>
        <v>-3.3783783783783825</v>
      </c>
      <c r="K1789" s="19">
        <f t="shared" si="138"/>
        <v>129.27549999999997</v>
      </c>
      <c r="L1789" s="19">
        <f t="shared" si="136"/>
        <v>144.37699999999998</v>
      </c>
      <c r="M1789" s="19">
        <f>MAX(G1574:G1789)</f>
        <v>251.87</v>
      </c>
      <c r="N1789" s="19">
        <f t="shared" si="134"/>
        <v>-50.037717870329935</v>
      </c>
      <c r="O1789" s="9" t="str">
        <f t="shared" si="135"/>
        <v>2024-10</v>
      </c>
    </row>
    <row r="1790" spans="1:15" x14ac:dyDescent="0.25">
      <c r="A1790" s="9" t="s">
        <v>316</v>
      </c>
      <c r="B1790" s="9" t="s">
        <v>317</v>
      </c>
      <c r="C1790" s="25" t="s">
        <v>262</v>
      </c>
      <c r="D1790" s="19">
        <v>125.84</v>
      </c>
      <c r="E1790" s="19">
        <v>126.02</v>
      </c>
      <c r="F1790" s="19">
        <v>122.77</v>
      </c>
      <c r="G1790" s="19">
        <v>123.79</v>
      </c>
      <c r="H1790" s="19">
        <v>123.79</v>
      </c>
      <c r="I1790" s="15">
        <v>4000819</v>
      </c>
      <c r="J1790" s="19">
        <f t="shared" si="137"/>
        <v>-1.6290527654163995</v>
      </c>
      <c r="K1790" s="19">
        <f t="shared" si="138"/>
        <v>129.36749999999998</v>
      </c>
      <c r="L1790" s="19">
        <f t="shared" si="136"/>
        <v>143.68700000000001</v>
      </c>
      <c r="M1790" s="19">
        <f>MAX(G1574:G1790)</f>
        <v>251.87</v>
      </c>
      <c r="N1790" s="19">
        <f t="shared" si="134"/>
        <v>-50.851629809028466</v>
      </c>
      <c r="O1790" s="9" t="str">
        <f t="shared" si="135"/>
        <v>2024-10</v>
      </c>
    </row>
    <row r="1791" spans="1:15" x14ac:dyDescent="0.25">
      <c r="A1791" s="9" t="s">
        <v>316</v>
      </c>
      <c r="B1791" s="9" t="s">
        <v>317</v>
      </c>
      <c r="C1791" s="25" t="s">
        <v>263</v>
      </c>
      <c r="D1791" s="19">
        <v>123.79</v>
      </c>
      <c r="E1791" s="19">
        <v>127.62</v>
      </c>
      <c r="F1791" s="19">
        <v>123.39</v>
      </c>
      <c r="G1791" s="19">
        <v>127.21</v>
      </c>
      <c r="H1791" s="19">
        <v>127.21</v>
      </c>
      <c r="I1791" s="15">
        <v>1968782</v>
      </c>
      <c r="J1791" s="19">
        <f t="shared" si="137"/>
        <v>2.7627433556830012</v>
      </c>
      <c r="K1791" s="19">
        <f t="shared" si="138"/>
        <v>129.74699999999999</v>
      </c>
      <c r="L1791" s="19">
        <f t="shared" si="136"/>
        <v>143.0558</v>
      </c>
      <c r="M1791" s="19">
        <f>MAX(G1574:G1791)</f>
        <v>251.87</v>
      </c>
      <c r="N1791" s="19">
        <f t="shared" si="134"/>
        <v>-49.493786477150913</v>
      </c>
      <c r="O1791" s="9" t="str">
        <f t="shared" si="135"/>
        <v>2024-10</v>
      </c>
    </row>
    <row r="1792" spans="1:15" x14ac:dyDescent="0.25">
      <c r="A1792" s="9" t="s">
        <v>316</v>
      </c>
      <c r="B1792" s="9" t="s">
        <v>317</v>
      </c>
      <c r="C1792" s="25" t="s">
        <v>264</v>
      </c>
      <c r="D1792" s="19">
        <v>127.21</v>
      </c>
      <c r="E1792" s="19">
        <v>129.84</v>
      </c>
      <c r="F1792" s="19">
        <v>126.86</v>
      </c>
      <c r="G1792" s="19">
        <v>129.75</v>
      </c>
      <c r="H1792" s="19">
        <v>129.75</v>
      </c>
      <c r="I1792" s="15">
        <v>4881565</v>
      </c>
      <c r="J1792" s="19">
        <f t="shared" si="137"/>
        <v>1.9966983727694412</v>
      </c>
      <c r="K1792" s="19">
        <f t="shared" si="138"/>
        <v>130.41800000000001</v>
      </c>
      <c r="L1792" s="19">
        <f t="shared" si="136"/>
        <v>142.57759999999999</v>
      </c>
      <c r="M1792" s="19">
        <f>MAX(G1574:G1792)</f>
        <v>251.87</v>
      </c>
      <c r="N1792" s="19">
        <f t="shared" si="134"/>
        <v>-48.485329733592728</v>
      </c>
      <c r="O1792" s="9" t="str">
        <f t="shared" si="135"/>
        <v>2024-10</v>
      </c>
    </row>
    <row r="1793" spans="1:15" x14ac:dyDescent="0.25">
      <c r="A1793" s="9" t="s">
        <v>316</v>
      </c>
      <c r="B1793" s="9" t="s">
        <v>317</v>
      </c>
      <c r="C1793" s="25" t="s">
        <v>265</v>
      </c>
      <c r="D1793" s="19">
        <v>129.75</v>
      </c>
      <c r="E1793" s="19">
        <v>129.88999999999999</v>
      </c>
      <c r="F1793" s="19">
        <v>125.04</v>
      </c>
      <c r="G1793" s="19">
        <v>125.31</v>
      </c>
      <c r="H1793" s="19">
        <v>125.31</v>
      </c>
      <c r="I1793" s="15">
        <v>5946998</v>
      </c>
      <c r="J1793" s="19">
        <f t="shared" si="137"/>
        <v>-3.4219653179190734</v>
      </c>
      <c r="K1793" s="19">
        <f t="shared" si="138"/>
        <v>130.83350000000002</v>
      </c>
      <c r="L1793" s="19">
        <f t="shared" si="136"/>
        <v>142.08600000000001</v>
      </c>
      <c r="M1793" s="19">
        <f>MAX(G1574:G1793)</f>
        <v>251.87</v>
      </c>
      <c r="N1793" s="19">
        <f t="shared" si="134"/>
        <v>-50.248143883749549</v>
      </c>
      <c r="O1793" s="9" t="str">
        <f t="shared" si="135"/>
        <v>2024-11</v>
      </c>
    </row>
    <row r="1794" spans="1:15" x14ac:dyDescent="0.25">
      <c r="A1794" s="9" t="s">
        <v>316</v>
      </c>
      <c r="B1794" s="9" t="s">
        <v>317</v>
      </c>
      <c r="C1794" s="25" t="s">
        <v>266</v>
      </c>
      <c r="D1794" s="19">
        <v>125.31</v>
      </c>
      <c r="E1794" s="19">
        <v>126.18</v>
      </c>
      <c r="F1794" s="19">
        <v>124.36</v>
      </c>
      <c r="G1794" s="19">
        <v>125.44</v>
      </c>
      <c r="H1794" s="19">
        <v>125.44</v>
      </c>
      <c r="I1794" s="15">
        <v>2862528</v>
      </c>
      <c r="J1794" s="19">
        <f t="shared" si="137"/>
        <v>0.10374271805920951</v>
      </c>
      <c r="K1794" s="19">
        <f t="shared" si="138"/>
        <v>131.3725</v>
      </c>
      <c r="L1794" s="19">
        <f t="shared" si="136"/>
        <v>141.33960000000002</v>
      </c>
      <c r="M1794" s="19">
        <f>MAX(G1574:G1794)</f>
        <v>251.87</v>
      </c>
      <c r="N1794" s="19">
        <f t="shared" ref="N1794:N1857" si="139">(G1794-M1794)/M1794*100</f>
        <v>-50.196529955929648</v>
      </c>
      <c r="O1794" s="9" t="str">
        <f t="shared" ref="O1794:O1857" si="140">TEXT(C1794,"yyyy-mm")</f>
        <v>2024-11</v>
      </c>
    </row>
    <row r="1795" spans="1:15" x14ac:dyDescent="0.25">
      <c r="A1795" s="9" t="s">
        <v>316</v>
      </c>
      <c r="B1795" s="9" t="s">
        <v>317</v>
      </c>
      <c r="C1795" s="25" t="s">
        <v>267</v>
      </c>
      <c r="D1795" s="19">
        <v>125.44</v>
      </c>
      <c r="E1795" s="19">
        <v>125.83</v>
      </c>
      <c r="F1795" s="19">
        <v>121.41</v>
      </c>
      <c r="G1795" s="19">
        <v>121.82</v>
      </c>
      <c r="H1795" s="19">
        <v>121.82</v>
      </c>
      <c r="I1795" s="15">
        <v>3234067</v>
      </c>
      <c r="J1795" s="19">
        <f t="shared" si="137"/>
        <v>-2.8858418367346976</v>
      </c>
      <c r="K1795" s="19">
        <f t="shared" si="138"/>
        <v>131.49949999999998</v>
      </c>
      <c r="L1795" s="19">
        <f t="shared" si="136"/>
        <v>140.64700000000002</v>
      </c>
      <c r="M1795" s="19">
        <f>MAX(G1574:G1795)</f>
        <v>251.87</v>
      </c>
      <c r="N1795" s="19">
        <f t="shared" si="139"/>
        <v>-51.633779330607069</v>
      </c>
      <c r="O1795" s="9" t="str">
        <f t="shared" si="140"/>
        <v>2024-11</v>
      </c>
    </row>
    <row r="1796" spans="1:15" x14ac:dyDescent="0.25">
      <c r="A1796" s="9" t="s">
        <v>316</v>
      </c>
      <c r="B1796" s="9" t="s">
        <v>317</v>
      </c>
      <c r="C1796" s="25" t="s">
        <v>268</v>
      </c>
      <c r="D1796" s="19">
        <v>121.82</v>
      </c>
      <c r="E1796" s="19">
        <v>122.36</v>
      </c>
      <c r="F1796" s="19">
        <v>121.61</v>
      </c>
      <c r="G1796" s="19">
        <v>122.32</v>
      </c>
      <c r="H1796" s="19">
        <v>122.32</v>
      </c>
      <c r="I1796" s="15">
        <v>4320182</v>
      </c>
      <c r="J1796" s="19">
        <f t="shared" si="137"/>
        <v>0.41044163519947463</v>
      </c>
      <c r="K1796" s="19">
        <f t="shared" si="138"/>
        <v>131.21250000000001</v>
      </c>
      <c r="L1796" s="19">
        <f t="shared" si="136"/>
        <v>139.9402</v>
      </c>
      <c r="M1796" s="19">
        <f>MAX(G1574:G1796)</f>
        <v>251.87</v>
      </c>
      <c r="N1796" s="19">
        <f t="shared" si="139"/>
        <v>-51.435264223607426</v>
      </c>
      <c r="O1796" s="9" t="str">
        <f t="shared" si="140"/>
        <v>2024-11</v>
      </c>
    </row>
    <row r="1797" spans="1:15" x14ac:dyDescent="0.25">
      <c r="A1797" s="9" t="s">
        <v>316</v>
      </c>
      <c r="B1797" s="9" t="s">
        <v>317</v>
      </c>
      <c r="C1797" s="25" t="s">
        <v>269</v>
      </c>
      <c r="D1797" s="19">
        <v>122.32</v>
      </c>
      <c r="E1797" s="19">
        <v>122.5</v>
      </c>
      <c r="F1797" s="19">
        <v>120.18</v>
      </c>
      <c r="G1797" s="19">
        <v>120.9</v>
      </c>
      <c r="H1797" s="19">
        <v>120.9</v>
      </c>
      <c r="I1797" s="15">
        <v>2611625</v>
      </c>
      <c r="J1797" s="19">
        <f t="shared" si="137"/>
        <v>-1.1608894702419781</v>
      </c>
      <c r="K1797" s="19">
        <f t="shared" si="138"/>
        <v>130.65550000000002</v>
      </c>
      <c r="L1797" s="19">
        <f t="shared" si="136"/>
        <v>139.19039999999998</v>
      </c>
      <c r="M1797" s="19">
        <f>MAX(G1574:G1797)</f>
        <v>251.87</v>
      </c>
      <c r="N1797" s="19">
        <f t="shared" si="139"/>
        <v>-51.999047127486399</v>
      </c>
      <c r="O1797" s="9" t="str">
        <f t="shared" si="140"/>
        <v>2024-11</v>
      </c>
    </row>
    <row r="1798" spans="1:15" x14ac:dyDescent="0.25">
      <c r="A1798" s="9" t="s">
        <v>316</v>
      </c>
      <c r="B1798" s="9" t="s">
        <v>317</v>
      </c>
      <c r="C1798" s="25" t="s">
        <v>270</v>
      </c>
      <c r="D1798" s="19">
        <v>120.9</v>
      </c>
      <c r="E1798" s="19">
        <v>121.26</v>
      </c>
      <c r="F1798" s="19">
        <v>120.45</v>
      </c>
      <c r="G1798" s="19">
        <v>120.84</v>
      </c>
      <c r="H1798" s="19">
        <v>120.84</v>
      </c>
      <c r="I1798" s="15">
        <v>2663144</v>
      </c>
      <c r="J1798" s="19">
        <f t="shared" si="137"/>
        <v>-4.9627791563277311E-2</v>
      </c>
      <c r="K1798" s="19">
        <f t="shared" si="138"/>
        <v>130.15400000000002</v>
      </c>
      <c r="L1798" s="19">
        <f t="shared" si="136"/>
        <v>138.44659999999999</v>
      </c>
      <c r="M1798" s="19">
        <f>MAX(G1574:G1798)</f>
        <v>251.87</v>
      </c>
      <c r="N1798" s="19">
        <f t="shared" si="139"/>
        <v>-52.022868940326362</v>
      </c>
      <c r="O1798" s="9" t="str">
        <f t="shared" si="140"/>
        <v>2024-11</v>
      </c>
    </row>
    <row r="1799" spans="1:15" x14ac:dyDescent="0.25">
      <c r="A1799" s="9" t="s">
        <v>316</v>
      </c>
      <c r="B1799" s="9" t="s">
        <v>317</v>
      </c>
      <c r="C1799" s="25" t="s">
        <v>271</v>
      </c>
      <c r="D1799" s="19">
        <v>120.84</v>
      </c>
      <c r="E1799" s="19">
        <v>122.08</v>
      </c>
      <c r="F1799" s="19">
        <v>120.57</v>
      </c>
      <c r="G1799" s="19">
        <v>121.97</v>
      </c>
      <c r="H1799" s="19">
        <v>121.97</v>
      </c>
      <c r="I1799" s="15">
        <v>4507854</v>
      </c>
      <c r="J1799" s="19">
        <f t="shared" si="137"/>
        <v>0.93512082092022131</v>
      </c>
      <c r="K1799" s="19">
        <f t="shared" si="138"/>
        <v>129.6275</v>
      </c>
      <c r="L1799" s="19">
        <f t="shared" si="136"/>
        <v>137.5916</v>
      </c>
      <c r="M1799" s="19">
        <f>MAX(G1574:G1799)</f>
        <v>251.87</v>
      </c>
      <c r="N1799" s="19">
        <f t="shared" si="139"/>
        <v>-51.57422479850716</v>
      </c>
      <c r="O1799" s="9" t="str">
        <f t="shared" si="140"/>
        <v>2024-11</v>
      </c>
    </row>
    <row r="1800" spans="1:15" x14ac:dyDescent="0.25">
      <c r="A1800" s="9" t="s">
        <v>316</v>
      </c>
      <c r="B1800" s="9" t="s">
        <v>317</v>
      </c>
      <c r="C1800" s="25" t="s">
        <v>272</v>
      </c>
      <c r="D1800" s="19">
        <v>121.97</v>
      </c>
      <c r="E1800" s="19">
        <v>123.5</v>
      </c>
      <c r="F1800" s="19">
        <v>121.97</v>
      </c>
      <c r="G1800" s="19">
        <v>123.43</v>
      </c>
      <c r="H1800" s="19">
        <v>123.43</v>
      </c>
      <c r="I1800" s="15">
        <v>1496226</v>
      </c>
      <c r="J1800" s="19">
        <f t="shared" si="137"/>
        <v>1.19701565958843</v>
      </c>
      <c r="K1800" s="19">
        <f t="shared" si="138"/>
        <v>128.94199999999998</v>
      </c>
      <c r="L1800" s="19">
        <f t="shared" si="136"/>
        <v>136.708</v>
      </c>
      <c r="M1800" s="19">
        <f>MAX(G1574:G1800)</f>
        <v>251.87</v>
      </c>
      <c r="N1800" s="19">
        <f t="shared" si="139"/>
        <v>-50.994560686068212</v>
      </c>
      <c r="O1800" s="9" t="str">
        <f t="shared" si="140"/>
        <v>2024-11</v>
      </c>
    </row>
    <row r="1801" spans="1:15" x14ac:dyDescent="0.25">
      <c r="A1801" s="9" t="s">
        <v>316</v>
      </c>
      <c r="B1801" s="9" t="s">
        <v>317</v>
      </c>
      <c r="C1801" s="25" t="s">
        <v>273</v>
      </c>
      <c r="D1801" s="19">
        <v>123.43</v>
      </c>
      <c r="E1801" s="19">
        <v>125.25</v>
      </c>
      <c r="F1801" s="19">
        <v>122.94</v>
      </c>
      <c r="G1801" s="19">
        <v>124.16</v>
      </c>
      <c r="H1801" s="19">
        <v>124.16</v>
      </c>
      <c r="I1801" s="15">
        <v>3261774</v>
      </c>
      <c r="J1801" s="19">
        <f t="shared" si="137"/>
        <v>0.59142833994976085</v>
      </c>
      <c r="K1801" s="19">
        <f t="shared" si="138"/>
        <v>128.31799999999996</v>
      </c>
      <c r="L1801" s="19">
        <f t="shared" si="136"/>
        <v>135.85</v>
      </c>
      <c r="M1801" s="19">
        <f>MAX(G1574:G1801)</f>
        <v>251.87</v>
      </c>
      <c r="N1801" s="19">
        <f t="shared" si="139"/>
        <v>-50.704728629848738</v>
      </c>
      <c r="O1801" s="9" t="str">
        <f t="shared" si="140"/>
        <v>2024-11</v>
      </c>
    </row>
    <row r="1802" spans="1:15" x14ac:dyDescent="0.25">
      <c r="A1802" s="9" t="s">
        <v>316</v>
      </c>
      <c r="B1802" s="9" t="s">
        <v>317</v>
      </c>
      <c r="C1802" s="25" t="s">
        <v>274</v>
      </c>
      <c r="D1802" s="19">
        <v>124.16</v>
      </c>
      <c r="E1802" s="19">
        <v>124.33</v>
      </c>
      <c r="F1802" s="19">
        <v>123.27</v>
      </c>
      <c r="G1802" s="19">
        <v>123.63</v>
      </c>
      <c r="H1802" s="19">
        <v>123.63</v>
      </c>
      <c r="I1802" s="15">
        <v>4708506</v>
      </c>
      <c r="J1802" s="19">
        <f t="shared" si="137"/>
        <v>-0.42686855670103185</v>
      </c>
      <c r="K1802" s="19">
        <f t="shared" si="138"/>
        <v>127.52649999999998</v>
      </c>
      <c r="L1802" s="19">
        <f t="shared" si="136"/>
        <v>135.00639999999999</v>
      </c>
      <c r="M1802" s="19">
        <f>MAX(G1574:G1802)</f>
        <v>251.87</v>
      </c>
      <c r="N1802" s="19">
        <f t="shared" si="139"/>
        <v>-50.915154643268359</v>
      </c>
      <c r="O1802" s="9" t="str">
        <f t="shared" si="140"/>
        <v>2024-11</v>
      </c>
    </row>
    <row r="1803" spans="1:15" x14ac:dyDescent="0.25">
      <c r="A1803" s="9" t="s">
        <v>316</v>
      </c>
      <c r="B1803" s="9" t="s">
        <v>317</v>
      </c>
      <c r="C1803" s="25" t="s">
        <v>275</v>
      </c>
      <c r="D1803" s="19">
        <v>123.63</v>
      </c>
      <c r="E1803" s="19">
        <v>123.8</v>
      </c>
      <c r="F1803" s="19">
        <v>122.86</v>
      </c>
      <c r="G1803" s="19">
        <v>123.06</v>
      </c>
      <c r="H1803" s="19">
        <v>123.06</v>
      </c>
      <c r="I1803" s="15">
        <v>3133644</v>
      </c>
      <c r="J1803" s="19">
        <f t="shared" si="137"/>
        <v>-0.46105314244114959</v>
      </c>
      <c r="K1803" s="19">
        <f t="shared" si="138"/>
        <v>126.64999999999998</v>
      </c>
      <c r="L1803" s="19">
        <f t="shared" si="136"/>
        <v>134.17059999999998</v>
      </c>
      <c r="M1803" s="19">
        <f>MAX(G1574:G1803)</f>
        <v>251.87</v>
      </c>
      <c r="N1803" s="19">
        <f t="shared" si="139"/>
        <v>-51.141461865247948</v>
      </c>
      <c r="O1803" s="9" t="str">
        <f t="shared" si="140"/>
        <v>2024-11</v>
      </c>
    </row>
    <row r="1804" spans="1:15" x14ac:dyDescent="0.25">
      <c r="A1804" s="9" t="s">
        <v>316</v>
      </c>
      <c r="B1804" s="9" t="s">
        <v>317</v>
      </c>
      <c r="C1804" s="25" t="s">
        <v>276</v>
      </c>
      <c r="D1804" s="19">
        <v>123.06</v>
      </c>
      <c r="E1804" s="19">
        <v>127.32</v>
      </c>
      <c r="F1804" s="19">
        <v>123.02</v>
      </c>
      <c r="G1804" s="19">
        <v>126.73</v>
      </c>
      <c r="H1804" s="19">
        <v>126.73</v>
      </c>
      <c r="I1804" s="15">
        <v>4087448</v>
      </c>
      <c r="J1804" s="19">
        <f t="shared" si="137"/>
        <v>2.9822850641963283</v>
      </c>
      <c r="K1804" s="19">
        <f t="shared" si="138"/>
        <v>125.91950000000001</v>
      </c>
      <c r="L1804" s="19">
        <f t="shared" si="136"/>
        <v>133.31019999999998</v>
      </c>
      <c r="M1804" s="19">
        <f>MAX(G1574:G1804)</f>
        <v>251.87</v>
      </c>
      <c r="N1804" s="19">
        <f t="shared" si="139"/>
        <v>-49.684360979870569</v>
      </c>
      <c r="O1804" s="9" t="str">
        <f t="shared" si="140"/>
        <v>2024-11</v>
      </c>
    </row>
    <row r="1805" spans="1:15" x14ac:dyDescent="0.25">
      <c r="A1805" s="9" t="s">
        <v>316</v>
      </c>
      <c r="B1805" s="9" t="s">
        <v>317</v>
      </c>
      <c r="C1805" s="25" t="s">
        <v>277</v>
      </c>
      <c r="D1805" s="19">
        <v>126.73</v>
      </c>
      <c r="E1805" s="19">
        <v>127.17</v>
      </c>
      <c r="F1805" s="19">
        <v>126.56</v>
      </c>
      <c r="G1805" s="19">
        <v>127.1</v>
      </c>
      <c r="H1805" s="19">
        <v>127.1</v>
      </c>
      <c r="I1805" s="15">
        <v>5259993</v>
      </c>
      <c r="J1805" s="19">
        <f t="shared" si="137"/>
        <v>0.29195928351612904</v>
      </c>
      <c r="K1805" s="19">
        <f t="shared" si="138"/>
        <v>125.407</v>
      </c>
      <c r="L1805" s="19">
        <f t="shared" si="136"/>
        <v>132.41759999999999</v>
      </c>
      <c r="M1805" s="19">
        <f>MAX(G1574:G1805)</f>
        <v>251.87</v>
      </c>
      <c r="N1805" s="19">
        <f t="shared" si="139"/>
        <v>-49.537459800690833</v>
      </c>
      <c r="O1805" s="9" t="str">
        <f t="shared" si="140"/>
        <v>2024-11</v>
      </c>
    </row>
    <row r="1806" spans="1:15" x14ac:dyDescent="0.25">
      <c r="A1806" s="9" t="s">
        <v>316</v>
      </c>
      <c r="B1806" s="9" t="s">
        <v>317</v>
      </c>
      <c r="C1806" s="25" t="s">
        <v>278</v>
      </c>
      <c r="D1806" s="19">
        <v>127.1</v>
      </c>
      <c r="E1806" s="19">
        <v>128.81</v>
      </c>
      <c r="F1806" s="19">
        <v>126.79</v>
      </c>
      <c r="G1806" s="19">
        <v>128.63999999999999</v>
      </c>
      <c r="H1806" s="19">
        <v>128.63999999999999</v>
      </c>
      <c r="I1806" s="15">
        <v>2979357</v>
      </c>
      <c r="J1806" s="19">
        <f t="shared" si="137"/>
        <v>1.211644374508255</v>
      </c>
      <c r="K1806" s="19">
        <f t="shared" si="138"/>
        <v>125.14349999999999</v>
      </c>
      <c r="L1806" s="19">
        <f t="shared" si="136"/>
        <v>131.50139999999999</v>
      </c>
      <c r="M1806" s="19">
        <f>MAX(G1574:G1806)</f>
        <v>251.87</v>
      </c>
      <c r="N1806" s="19">
        <f t="shared" si="139"/>
        <v>-48.926033271131942</v>
      </c>
      <c r="O1806" s="9" t="str">
        <f t="shared" si="140"/>
        <v>2024-11</v>
      </c>
    </row>
    <row r="1807" spans="1:15" x14ac:dyDescent="0.25">
      <c r="A1807" s="9" t="s">
        <v>316</v>
      </c>
      <c r="B1807" s="9" t="s">
        <v>317</v>
      </c>
      <c r="C1807" s="25" t="s">
        <v>279</v>
      </c>
      <c r="D1807" s="19">
        <v>128.63999999999999</v>
      </c>
      <c r="E1807" s="19">
        <v>140.02000000000001</v>
      </c>
      <c r="F1807" s="19">
        <v>128.44999999999999</v>
      </c>
      <c r="G1807" s="19">
        <v>139.87</v>
      </c>
      <c r="H1807" s="19">
        <v>139.87</v>
      </c>
      <c r="I1807" s="15">
        <v>15225167</v>
      </c>
      <c r="J1807" s="19">
        <f t="shared" si="137"/>
        <v>8.7297885572139453</v>
      </c>
      <c r="K1807" s="19">
        <f t="shared" si="138"/>
        <v>125.60249999999999</v>
      </c>
      <c r="L1807" s="19">
        <f t="shared" si="136"/>
        <v>130.80240000000001</v>
      </c>
      <c r="M1807" s="19">
        <f>MAX(G1574:G1807)</f>
        <v>251.87</v>
      </c>
      <c r="N1807" s="19">
        <f t="shared" si="139"/>
        <v>-44.467383967919957</v>
      </c>
      <c r="O1807" s="9" t="str">
        <f t="shared" si="140"/>
        <v>2024-11</v>
      </c>
    </row>
    <row r="1808" spans="1:15" x14ac:dyDescent="0.25">
      <c r="A1808" s="9" t="s">
        <v>316</v>
      </c>
      <c r="B1808" s="9" t="s">
        <v>317</v>
      </c>
      <c r="C1808" s="25" t="s">
        <v>280</v>
      </c>
      <c r="D1808" s="19">
        <v>139.87</v>
      </c>
      <c r="E1808" s="19">
        <v>146.49</v>
      </c>
      <c r="F1808" s="19">
        <v>139.66999999999999</v>
      </c>
      <c r="G1808" s="19">
        <v>145.88</v>
      </c>
      <c r="H1808" s="19">
        <v>145.88</v>
      </c>
      <c r="I1808" s="15">
        <v>4729874</v>
      </c>
      <c r="J1808" s="19">
        <f t="shared" si="137"/>
        <v>4.2968470722813974</v>
      </c>
      <c r="K1808" s="19">
        <f t="shared" si="138"/>
        <v>126.38449999999997</v>
      </c>
      <c r="L1808" s="19">
        <f t="shared" si="136"/>
        <v>130.3802</v>
      </c>
      <c r="M1808" s="19">
        <f>MAX(G1574:G1808)</f>
        <v>251.87</v>
      </c>
      <c r="N1808" s="19">
        <f t="shared" si="139"/>
        <v>-42.081232381784254</v>
      </c>
      <c r="O1808" s="9" t="str">
        <f t="shared" si="140"/>
        <v>2024-11</v>
      </c>
    </row>
    <row r="1809" spans="1:15" x14ac:dyDescent="0.25">
      <c r="A1809" s="9" t="s">
        <v>316</v>
      </c>
      <c r="B1809" s="9" t="s">
        <v>317</v>
      </c>
      <c r="C1809" s="25" t="s">
        <v>281</v>
      </c>
      <c r="D1809" s="19">
        <v>145.88</v>
      </c>
      <c r="E1809" s="19">
        <v>146.41999999999999</v>
      </c>
      <c r="F1809" s="19">
        <v>144.16999999999999</v>
      </c>
      <c r="G1809" s="19">
        <v>144.79</v>
      </c>
      <c r="H1809" s="19">
        <v>144.79</v>
      </c>
      <c r="I1809" s="15">
        <v>5743140</v>
      </c>
      <c r="J1809" s="19">
        <f t="shared" si="137"/>
        <v>-0.74718947079791842</v>
      </c>
      <c r="K1809" s="19">
        <f t="shared" si="138"/>
        <v>127.33199999999999</v>
      </c>
      <c r="L1809" s="19">
        <f t="shared" si="136"/>
        <v>130.1156</v>
      </c>
      <c r="M1809" s="19">
        <f>MAX(G1574:G1809)</f>
        <v>251.87</v>
      </c>
      <c r="N1809" s="19">
        <f t="shared" si="139"/>
        <v>-42.513995315043481</v>
      </c>
      <c r="O1809" s="9" t="str">
        <f t="shared" si="140"/>
        <v>2024-11</v>
      </c>
    </row>
    <row r="1810" spans="1:15" x14ac:dyDescent="0.25">
      <c r="A1810" s="9" t="s">
        <v>316</v>
      </c>
      <c r="B1810" s="9" t="s">
        <v>317</v>
      </c>
      <c r="C1810" s="25" t="s">
        <v>282</v>
      </c>
      <c r="D1810" s="19">
        <v>144.79</v>
      </c>
      <c r="E1810" s="19">
        <v>145.28</v>
      </c>
      <c r="F1810" s="19">
        <v>139.63</v>
      </c>
      <c r="G1810" s="19">
        <v>140.19</v>
      </c>
      <c r="H1810" s="19">
        <v>140.19</v>
      </c>
      <c r="I1810" s="15">
        <v>3124402</v>
      </c>
      <c r="J1810" s="19">
        <f t="shared" si="137"/>
        <v>-3.1770149872228712</v>
      </c>
      <c r="K1810" s="19">
        <f t="shared" si="138"/>
        <v>128.15199999999999</v>
      </c>
      <c r="L1810" s="19">
        <f t="shared" si="136"/>
        <v>129.81539999999998</v>
      </c>
      <c r="M1810" s="19">
        <f>MAX(G1574:G1810)</f>
        <v>251.87</v>
      </c>
      <c r="N1810" s="19">
        <f t="shared" si="139"/>
        <v>-44.340334299440187</v>
      </c>
      <c r="O1810" s="9" t="str">
        <f t="shared" si="140"/>
        <v>2024-11</v>
      </c>
    </row>
    <row r="1811" spans="1:15" x14ac:dyDescent="0.25">
      <c r="A1811" s="9" t="s">
        <v>316</v>
      </c>
      <c r="B1811" s="9" t="s">
        <v>317</v>
      </c>
      <c r="C1811" s="25" t="s">
        <v>283</v>
      </c>
      <c r="D1811" s="19">
        <v>140.19</v>
      </c>
      <c r="E1811" s="19">
        <v>140.36000000000001</v>
      </c>
      <c r="F1811" s="19">
        <v>126.31</v>
      </c>
      <c r="G1811" s="19">
        <v>126.96</v>
      </c>
      <c r="H1811" s="19">
        <v>126.96</v>
      </c>
      <c r="I1811" s="15">
        <v>9642283</v>
      </c>
      <c r="J1811" s="19">
        <f t="shared" si="137"/>
        <v>-9.4371923817676038</v>
      </c>
      <c r="K1811" s="19">
        <f t="shared" si="138"/>
        <v>128.1395</v>
      </c>
      <c r="L1811" s="19">
        <f t="shared" si="136"/>
        <v>129.56780000000001</v>
      </c>
      <c r="M1811" s="19">
        <f>MAX(G1574:G1811)</f>
        <v>251.87</v>
      </c>
      <c r="N1811" s="19">
        <f t="shared" si="139"/>
        <v>-49.593044030650738</v>
      </c>
      <c r="O1811" s="9" t="str">
        <f t="shared" si="140"/>
        <v>2024-11</v>
      </c>
    </row>
    <row r="1812" spans="1:15" x14ac:dyDescent="0.25">
      <c r="A1812" s="9" t="s">
        <v>316</v>
      </c>
      <c r="B1812" s="9" t="s">
        <v>317</v>
      </c>
      <c r="C1812" s="25" t="s">
        <v>284</v>
      </c>
      <c r="D1812" s="19">
        <v>126.96</v>
      </c>
      <c r="E1812" s="19">
        <v>126.98</v>
      </c>
      <c r="F1812" s="19">
        <v>124.4</v>
      </c>
      <c r="G1812" s="19">
        <v>124.73</v>
      </c>
      <c r="H1812" s="19">
        <v>124.73</v>
      </c>
      <c r="I1812" s="15">
        <v>3844905</v>
      </c>
      <c r="J1812" s="19">
        <f t="shared" si="137"/>
        <v>-1.756458727158152</v>
      </c>
      <c r="K1812" s="19">
        <f t="shared" si="138"/>
        <v>127.88849999999999</v>
      </c>
      <c r="L1812" s="19">
        <f t="shared" si="136"/>
        <v>129.10939999999999</v>
      </c>
      <c r="M1812" s="19">
        <f>MAX(G1574:G1812)</f>
        <v>251.87</v>
      </c>
      <c r="N1812" s="19">
        <f t="shared" si="139"/>
        <v>-50.478421407869135</v>
      </c>
      <c r="O1812" s="9" t="str">
        <f t="shared" si="140"/>
        <v>2024-11</v>
      </c>
    </row>
    <row r="1813" spans="1:15" x14ac:dyDescent="0.25">
      <c r="A1813" s="9" t="s">
        <v>316</v>
      </c>
      <c r="B1813" s="9" t="s">
        <v>317</v>
      </c>
      <c r="C1813" s="25" t="s">
        <v>285</v>
      </c>
      <c r="D1813" s="19">
        <v>124.73</v>
      </c>
      <c r="E1813" s="19">
        <v>125.94</v>
      </c>
      <c r="F1813" s="19">
        <v>122.07</v>
      </c>
      <c r="G1813" s="19">
        <v>122.12</v>
      </c>
      <c r="H1813" s="19">
        <v>122.12</v>
      </c>
      <c r="I1813" s="15">
        <v>5310269</v>
      </c>
      <c r="J1813" s="19">
        <f t="shared" si="137"/>
        <v>-2.092519842860578</v>
      </c>
      <c r="K1813" s="19">
        <f t="shared" si="138"/>
        <v>127.729</v>
      </c>
      <c r="L1813" s="19">
        <f t="shared" si="136"/>
        <v>128.57980000000001</v>
      </c>
      <c r="M1813" s="19">
        <f>MAX(G1574:G1813)</f>
        <v>251.87</v>
      </c>
      <c r="N1813" s="19">
        <f t="shared" si="139"/>
        <v>-51.514670266407272</v>
      </c>
      <c r="O1813" s="9" t="str">
        <f t="shared" si="140"/>
        <v>2024-11</v>
      </c>
    </row>
    <row r="1814" spans="1:15" x14ac:dyDescent="0.25">
      <c r="A1814" s="9" t="s">
        <v>316</v>
      </c>
      <c r="B1814" s="9" t="s">
        <v>317</v>
      </c>
      <c r="C1814" s="25" t="s">
        <v>286</v>
      </c>
      <c r="D1814" s="19">
        <v>122.12</v>
      </c>
      <c r="E1814" s="19">
        <v>122.54</v>
      </c>
      <c r="F1814" s="19">
        <v>111.4</v>
      </c>
      <c r="G1814" s="19">
        <v>111.78</v>
      </c>
      <c r="H1814" s="19">
        <v>111.78</v>
      </c>
      <c r="I1814" s="15">
        <v>11450533</v>
      </c>
      <c r="J1814" s="19">
        <f t="shared" si="137"/>
        <v>-8.4670815591221782</v>
      </c>
      <c r="K1814" s="19">
        <f t="shared" si="138"/>
        <v>127.04600000000001</v>
      </c>
      <c r="L1814" s="19">
        <f t="shared" si="136"/>
        <v>128.0128</v>
      </c>
      <c r="M1814" s="19">
        <f>MAX(G1574:G1814)</f>
        <v>251.87</v>
      </c>
      <c r="N1814" s="19">
        <f t="shared" si="139"/>
        <v>-55.619962679159883</v>
      </c>
      <c r="O1814" s="9" t="str">
        <f t="shared" si="140"/>
        <v>2024-12</v>
      </c>
    </row>
    <row r="1815" spans="1:15" x14ac:dyDescent="0.25">
      <c r="A1815" s="9" t="s">
        <v>316</v>
      </c>
      <c r="B1815" s="9" t="s">
        <v>317</v>
      </c>
      <c r="C1815" s="25" t="s">
        <v>287</v>
      </c>
      <c r="D1815" s="19">
        <v>111.78</v>
      </c>
      <c r="E1815" s="19">
        <v>116.96</v>
      </c>
      <c r="F1815" s="19">
        <v>111.57</v>
      </c>
      <c r="G1815" s="19">
        <v>116.59</v>
      </c>
      <c r="H1815" s="19">
        <v>116.59</v>
      </c>
      <c r="I1815" s="15">
        <v>4816918</v>
      </c>
      <c r="J1815" s="19">
        <f t="shared" si="137"/>
        <v>4.3030953658973008</v>
      </c>
      <c r="K1815" s="19">
        <f t="shared" si="138"/>
        <v>126.78450000000001</v>
      </c>
      <c r="L1815" s="19">
        <f t="shared" ref="L1815:L1878" si="141">AVERAGE(G1766:G1815)</f>
        <v>127.6504</v>
      </c>
      <c r="M1815" s="19">
        <f>MAX(G1574:G1815)</f>
        <v>251.87</v>
      </c>
      <c r="N1815" s="19">
        <f t="shared" si="139"/>
        <v>-53.710247349823327</v>
      </c>
      <c r="O1815" s="9" t="str">
        <f t="shared" si="140"/>
        <v>2024-12</v>
      </c>
    </row>
    <row r="1816" spans="1:15" x14ac:dyDescent="0.25">
      <c r="A1816" s="9" t="s">
        <v>316</v>
      </c>
      <c r="B1816" s="9" t="s">
        <v>317</v>
      </c>
      <c r="C1816" s="25" t="s">
        <v>288</v>
      </c>
      <c r="D1816" s="19">
        <v>116.59</v>
      </c>
      <c r="E1816" s="19">
        <v>117.82</v>
      </c>
      <c r="F1816" s="19">
        <v>113.31</v>
      </c>
      <c r="G1816" s="19">
        <v>113.37</v>
      </c>
      <c r="H1816" s="19">
        <v>113.37</v>
      </c>
      <c r="I1816" s="15">
        <v>2865696</v>
      </c>
      <c r="J1816" s="19">
        <f t="shared" si="137"/>
        <v>-2.7618149069388442</v>
      </c>
      <c r="K1816" s="19">
        <f t="shared" si="138"/>
        <v>126.33700000000002</v>
      </c>
      <c r="L1816" s="19">
        <f t="shared" si="141"/>
        <v>127.31819999999999</v>
      </c>
      <c r="M1816" s="19">
        <f>MAX(G1574:G1816)</f>
        <v>251.87</v>
      </c>
      <c r="N1816" s="19">
        <f t="shared" si="139"/>
        <v>-54.98868463890102</v>
      </c>
      <c r="O1816" s="9" t="str">
        <f t="shared" si="140"/>
        <v>2024-12</v>
      </c>
    </row>
    <row r="1817" spans="1:15" x14ac:dyDescent="0.25">
      <c r="A1817" s="9" t="s">
        <v>316</v>
      </c>
      <c r="B1817" s="9" t="s">
        <v>317</v>
      </c>
      <c r="C1817" s="25" t="s">
        <v>289</v>
      </c>
      <c r="D1817" s="19">
        <v>113.37</v>
      </c>
      <c r="E1817" s="19">
        <v>113.42</v>
      </c>
      <c r="F1817" s="19">
        <v>105.85</v>
      </c>
      <c r="G1817" s="19">
        <v>106.21</v>
      </c>
      <c r="H1817" s="19">
        <v>106.21</v>
      </c>
      <c r="I1817" s="15">
        <v>19064715</v>
      </c>
      <c r="J1817" s="19">
        <f t="shared" si="137"/>
        <v>-6.3156037752491931</v>
      </c>
      <c r="K1817" s="19">
        <f t="shared" si="138"/>
        <v>125.60250000000001</v>
      </c>
      <c r="L1817" s="19">
        <f t="shared" si="141"/>
        <v>126.9254</v>
      </c>
      <c r="M1817" s="19">
        <f>MAX(G1574:G1817)</f>
        <v>251.87</v>
      </c>
      <c r="N1817" s="19">
        <f t="shared" si="139"/>
        <v>-57.831420971135913</v>
      </c>
      <c r="O1817" s="9" t="str">
        <f t="shared" si="140"/>
        <v>2024-12</v>
      </c>
    </row>
    <row r="1818" spans="1:15" x14ac:dyDescent="0.25">
      <c r="A1818" s="9" t="s">
        <v>316</v>
      </c>
      <c r="B1818" s="9" t="s">
        <v>317</v>
      </c>
      <c r="C1818" s="25" t="s">
        <v>290</v>
      </c>
      <c r="D1818" s="19">
        <v>106.21</v>
      </c>
      <c r="E1818" s="19">
        <v>106.53</v>
      </c>
      <c r="F1818" s="19">
        <v>102.37</v>
      </c>
      <c r="G1818" s="19">
        <v>102.8</v>
      </c>
      <c r="H1818" s="19">
        <v>102.8</v>
      </c>
      <c r="I1818" s="15">
        <v>3046939</v>
      </c>
      <c r="J1818" s="19">
        <f t="shared" si="137"/>
        <v>-3.2106204688823996</v>
      </c>
      <c r="K1818" s="19">
        <f t="shared" si="138"/>
        <v>124.70050000000003</v>
      </c>
      <c r="L1818" s="19">
        <f t="shared" si="141"/>
        <v>126.4198</v>
      </c>
      <c r="M1818" s="19">
        <f>MAX(G1574:G1818)</f>
        <v>251.87</v>
      </c>
      <c r="N1818" s="19">
        <f t="shared" si="139"/>
        <v>-59.185294000873469</v>
      </c>
      <c r="O1818" s="9" t="str">
        <f t="shared" si="140"/>
        <v>2024-12</v>
      </c>
    </row>
    <row r="1819" spans="1:15" x14ac:dyDescent="0.25">
      <c r="A1819" s="9" t="s">
        <v>316</v>
      </c>
      <c r="B1819" s="9" t="s">
        <v>317</v>
      </c>
      <c r="C1819" s="25" t="s">
        <v>291</v>
      </c>
      <c r="D1819" s="19">
        <v>102.8</v>
      </c>
      <c r="E1819" s="19">
        <v>103.39</v>
      </c>
      <c r="F1819" s="19">
        <v>102.49</v>
      </c>
      <c r="G1819" s="19">
        <v>103.29</v>
      </c>
      <c r="H1819" s="19">
        <v>103.29</v>
      </c>
      <c r="I1819" s="15">
        <v>3015450</v>
      </c>
      <c r="J1819" s="19">
        <f t="shared" si="137"/>
        <v>0.47665369649806338</v>
      </c>
      <c r="K1819" s="19">
        <f t="shared" si="138"/>
        <v>123.76649999999999</v>
      </c>
      <c r="L1819" s="19">
        <f t="shared" si="141"/>
        <v>126.00379999999997</v>
      </c>
      <c r="M1819" s="19">
        <f>MAX(G1574:G1819)</f>
        <v>251.87</v>
      </c>
      <c r="N1819" s="19">
        <f t="shared" si="139"/>
        <v>-58.990749196013816</v>
      </c>
      <c r="O1819" s="9" t="str">
        <f t="shared" si="140"/>
        <v>2024-12</v>
      </c>
    </row>
    <row r="1820" spans="1:15" x14ac:dyDescent="0.25">
      <c r="A1820" s="9" t="s">
        <v>316</v>
      </c>
      <c r="B1820" s="9" t="s">
        <v>317</v>
      </c>
      <c r="C1820" s="25" t="s">
        <v>292</v>
      </c>
      <c r="D1820" s="19">
        <v>103.29</v>
      </c>
      <c r="E1820" s="19">
        <v>106.43</v>
      </c>
      <c r="F1820" s="19">
        <v>103</v>
      </c>
      <c r="G1820" s="19">
        <v>106.08</v>
      </c>
      <c r="H1820" s="19">
        <v>106.08</v>
      </c>
      <c r="I1820" s="15">
        <v>4251268</v>
      </c>
      <c r="J1820" s="19">
        <f t="shared" si="137"/>
        <v>2.7011327330816073</v>
      </c>
      <c r="K1820" s="19">
        <f t="shared" si="138"/>
        <v>122.899</v>
      </c>
      <c r="L1820" s="19">
        <f t="shared" si="141"/>
        <v>125.68639999999998</v>
      </c>
      <c r="M1820" s="19">
        <f>MAX(G1574:G1820)</f>
        <v>251.87</v>
      </c>
      <c r="N1820" s="19">
        <f t="shared" si="139"/>
        <v>-57.88303489895582</v>
      </c>
      <c r="O1820" s="9" t="str">
        <f t="shared" si="140"/>
        <v>2024-12</v>
      </c>
    </row>
    <row r="1821" spans="1:15" x14ac:dyDescent="0.25">
      <c r="A1821" s="9" t="s">
        <v>316</v>
      </c>
      <c r="B1821" s="9" t="s">
        <v>317</v>
      </c>
      <c r="C1821" s="25" t="s">
        <v>293</v>
      </c>
      <c r="D1821" s="19">
        <v>106.08</v>
      </c>
      <c r="E1821" s="19">
        <v>112.43</v>
      </c>
      <c r="F1821" s="19">
        <v>106</v>
      </c>
      <c r="G1821" s="19">
        <v>112.28</v>
      </c>
      <c r="H1821" s="19">
        <v>112.28</v>
      </c>
      <c r="I1821" s="15">
        <v>14892365</v>
      </c>
      <c r="J1821" s="19">
        <f t="shared" si="137"/>
        <v>5.8446455505279067</v>
      </c>
      <c r="K1821" s="19">
        <f t="shared" si="138"/>
        <v>122.30500000000002</v>
      </c>
      <c r="L1821" s="19">
        <f t="shared" si="141"/>
        <v>125.53959999999998</v>
      </c>
      <c r="M1821" s="19">
        <f>MAX(G1574:G1821)</f>
        <v>251.87</v>
      </c>
      <c r="N1821" s="19">
        <f t="shared" si="139"/>
        <v>-55.42144757216024</v>
      </c>
      <c r="O1821" s="9" t="str">
        <f t="shared" si="140"/>
        <v>2024-12</v>
      </c>
    </row>
    <row r="1822" spans="1:15" x14ac:dyDescent="0.25">
      <c r="A1822" s="9" t="s">
        <v>316</v>
      </c>
      <c r="B1822" s="9" t="s">
        <v>317</v>
      </c>
      <c r="C1822" s="25" t="s">
        <v>294</v>
      </c>
      <c r="D1822" s="19">
        <v>112.28</v>
      </c>
      <c r="E1822" s="19">
        <v>112.3</v>
      </c>
      <c r="F1822" s="19">
        <v>111.65</v>
      </c>
      <c r="G1822" s="19">
        <v>111.94</v>
      </c>
      <c r="H1822" s="19">
        <v>111.94</v>
      </c>
      <c r="I1822" s="15">
        <v>1769527</v>
      </c>
      <c r="J1822" s="19">
        <f t="shared" si="137"/>
        <v>-0.30281439258995674</v>
      </c>
      <c r="K1822" s="19">
        <f t="shared" si="138"/>
        <v>121.72050000000002</v>
      </c>
      <c r="L1822" s="19">
        <f t="shared" si="141"/>
        <v>125.45179999999999</v>
      </c>
      <c r="M1822" s="19">
        <f>MAX(G1574:G1822)</f>
        <v>251.87</v>
      </c>
      <c r="N1822" s="19">
        <f t="shared" si="139"/>
        <v>-55.556437844920005</v>
      </c>
      <c r="O1822" s="9" t="str">
        <f t="shared" si="140"/>
        <v>2024-12</v>
      </c>
    </row>
    <row r="1823" spans="1:15" x14ac:dyDescent="0.25">
      <c r="A1823" s="9" t="s">
        <v>316</v>
      </c>
      <c r="B1823" s="9" t="s">
        <v>317</v>
      </c>
      <c r="C1823" s="25" t="s">
        <v>295</v>
      </c>
      <c r="D1823" s="19">
        <v>111.94</v>
      </c>
      <c r="E1823" s="19">
        <v>115.87</v>
      </c>
      <c r="F1823" s="19">
        <v>111.49</v>
      </c>
      <c r="G1823" s="19">
        <v>115.54</v>
      </c>
      <c r="H1823" s="19">
        <v>115.54</v>
      </c>
      <c r="I1823" s="15">
        <v>3656651</v>
      </c>
      <c r="J1823" s="19">
        <f t="shared" si="137"/>
        <v>3.2160085760228774</v>
      </c>
      <c r="K1823" s="19">
        <f t="shared" si="138"/>
        <v>121.3445</v>
      </c>
      <c r="L1823" s="19">
        <f t="shared" si="141"/>
        <v>125.42259999999999</v>
      </c>
      <c r="M1823" s="19">
        <f>MAX(G1574:G1823)</f>
        <v>251.87</v>
      </c>
      <c r="N1823" s="19">
        <f t="shared" si="139"/>
        <v>-54.127129074522564</v>
      </c>
      <c r="O1823" s="9" t="str">
        <f t="shared" si="140"/>
        <v>2024-12</v>
      </c>
    </row>
    <row r="1824" spans="1:15" x14ac:dyDescent="0.25">
      <c r="A1824" s="9" t="s">
        <v>316</v>
      </c>
      <c r="B1824" s="9" t="s">
        <v>317</v>
      </c>
      <c r="C1824" s="25" t="s">
        <v>296</v>
      </c>
      <c r="D1824" s="19">
        <v>115.54</v>
      </c>
      <c r="E1824" s="19">
        <v>117.41</v>
      </c>
      <c r="F1824" s="19">
        <v>115.4</v>
      </c>
      <c r="G1824" s="19">
        <v>116.61</v>
      </c>
      <c r="H1824" s="19">
        <v>116.61</v>
      </c>
      <c r="I1824" s="15">
        <v>3856676</v>
      </c>
      <c r="J1824" s="19">
        <f t="shared" si="137"/>
        <v>0.9260862039120592</v>
      </c>
      <c r="K1824" s="19">
        <f t="shared" si="138"/>
        <v>120.8385</v>
      </c>
      <c r="L1824" s="19">
        <f t="shared" si="141"/>
        <v>125.46159999999996</v>
      </c>
      <c r="M1824" s="19">
        <f>MAX(G1574:G1824)</f>
        <v>251.87</v>
      </c>
      <c r="N1824" s="19">
        <f t="shared" si="139"/>
        <v>-53.702306745543325</v>
      </c>
      <c r="O1824" s="9" t="str">
        <f t="shared" si="140"/>
        <v>2024-12</v>
      </c>
    </row>
    <row r="1825" spans="1:15" x14ac:dyDescent="0.25">
      <c r="A1825" s="9" t="s">
        <v>316</v>
      </c>
      <c r="B1825" s="9" t="s">
        <v>317</v>
      </c>
      <c r="C1825" s="25" t="s">
        <v>297</v>
      </c>
      <c r="D1825" s="19">
        <v>116.61</v>
      </c>
      <c r="E1825" s="19">
        <v>117.64</v>
      </c>
      <c r="F1825" s="19">
        <v>116.29</v>
      </c>
      <c r="G1825" s="19">
        <v>117.12</v>
      </c>
      <c r="H1825" s="19">
        <v>117.12</v>
      </c>
      <c r="I1825" s="15">
        <v>3866815</v>
      </c>
      <c r="J1825" s="19">
        <f t="shared" si="137"/>
        <v>0.43735528685361902</v>
      </c>
      <c r="K1825" s="19">
        <f t="shared" si="138"/>
        <v>120.33949999999997</v>
      </c>
      <c r="L1825" s="19">
        <f t="shared" si="141"/>
        <v>125.41839999999995</v>
      </c>
      <c r="M1825" s="19">
        <f>MAX(G1574:G1825)</f>
        <v>251.87</v>
      </c>
      <c r="N1825" s="19">
        <f t="shared" si="139"/>
        <v>-53.499821336403699</v>
      </c>
      <c r="O1825" s="9" t="str">
        <f t="shared" si="140"/>
        <v>2024-12</v>
      </c>
    </row>
    <row r="1826" spans="1:15" x14ac:dyDescent="0.25">
      <c r="A1826" s="9" t="s">
        <v>316</v>
      </c>
      <c r="B1826" s="9" t="s">
        <v>317</v>
      </c>
      <c r="C1826" s="25" t="s">
        <v>298</v>
      </c>
      <c r="D1826" s="19">
        <v>117.12</v>
      </c>
      <c r="E1826" s="19">
        <v>117.7</v>
      </c>
      <c r="F1826" s="19">
        <v>114.5</v>
      </c>
      <c r="G1826" s="19">
        <v>114.62</v>
      </c>
      <c r="H1826" s="19">
        <v>114.62</v>
      </c>
      <c r="I1826" s="15">
        <v>6029922</v>
      </c>
      <c r="J1826" s="19">
        <f t="shared" si="137"/>
        <v>-2.1345628415300544</v>
      </c>
      <c r="K1826" s="19">
        <f t="shared" si="138"/>
        <v>119.63849999999999</v>
      </c>
      <c r="L1826" s="19">
        <f t="shared" si="141"/>
        <v>125.14959999999994</v>
      </c>
      <c r="M1826" s="19">
        <f>MAX(G1574:G1826)</f>
        <v>251.87</v>
      </c>
      <c r="N1826" s="19">
        <f t="shared" si="139"/>
        <v>-54.492396871401915</v>
      </c>
      <c r="O1826" s="9" t="str">
        <f t="shared" si="140"/>
        <v>2024-12</v>
      </c>
    </row>
    <row r="1827" spans="1:15" x14ac:dyDescent="0.25">
      <c r="A1827" s="9" t="s">
        <v>316</v>
      </c>
      <c r="B1827" s="9" t="s">
        <v>317</v>
      </c>
      <c r="C1827" s="25" t="s">
        <v>299</v>
      </c>
      <c r="D1827" s="19">
        <v>114.62</v>
      </c>
      <c r="E1827" s="19">
        <v>115.06</v>
      </c>
      <c r="F1827" s="19">
        <v>112.41</v>
      </c>
      <c r="G1827" s="19">
        <v>112.82</v>
      </c>
      <c r="H1827" s="19">
        <v>112.82</v>
      </c>
      <c r="I1827" s="15">
        <v>4551268</v>
      </c>
      <c r="J1827" s="19">
        <f t="shared" si="137"/>
        <v>-1.5704065608096416</v>
      </c>
      <c r="K1827" s="19">
        <f t="shared" si="138"/>
        <v>118.28599999999999</v>
      </c>
      <c r="L1827" s="19">
        <f t="shared" si="141"/>
        <v>124.76519999999995</v>
      </c>
      <c r="M1827" s="19">
        <f>MAX(G1574:G1827)</f>
        <v>251.87</v>
      </c>
      <c r="N1827" s="19">
        <f t="shared" si="139"/>
        <v>-55.207051256600629</v>
      </c>
      <c r="O1827" s="9" t="str">
        <f t="shared" si="140"/>
        <v>2024-12</v>
      </c>
    </row>
    <row r="1828" spans="1:15" x14ac:dyDescent="0.25">
      <c r="A1828" s="9" t="s">
        <v>316</v>
      </c>
      <c r="B1828" s="9" t="s">
        <v>317</v>
      </c>
      <c r="C1828" s="25" t="s">
        <v>300</v>
      </c>
      <c r="D1828" s="19">
        <v>112.82</v>
      </c>
      <c r="E1828" s="19">
        <v>113.98</v>
      </c>
      <c r="F1828" s="19">
        <v>112.78</v>
      </c>
      <c r="G1828" s="19">
        <v>113.78</v>
      </c>
      <c r="H1828" s="19">
        <v>113.78</v>
      </c>
      <c r="I1828" s="15">
        <v>2451053</v>
      </c>
      <c r="J1828" s="19">
        <f t="shared" si="137"/>
        <v>0.85091295869527384</v>
      </c>
      <c r="K1828" s="19">
        <f t="shared" si="138"/>
        <v>116.681</v>
      </c>
      <c r="L1828" s="19">
        <f t="shared" si="141"/>
        <v>124.42339999999994</v>
      </c>
      <c r="M1828" s="19">
        <f>MAX(G1574:G1828)</f>
        <v>251.87</v>
      </c>
      <c r="N1828" s="19">
        <f t="shared" si="139"/>
        <v>-54.825902251161317</v>
      </c>
      <c r="O1828" s="9" t="str">
        <f t="shared" si="140"/>
        <v>2024-12</v>
      </c>
    </row>
    <row r="1829" spans="1:15" x14ac:dyDescent="0.25">
      <c r="A1829" s="9" t="s">
        <v>316</v>
      </c>
      <c r="B1829" s="9" t="s">
        <v>317</v>
      </c>
      <c r="C1829" s="25" t="s">
        <v>301</v>
      </c>
      <c r="D1829" s="19">
        <v>113.78</v>
      </c>
      <c r="E1829" s="19">
        <v>113.97</v>
      </c>
      <c r="F1829" s="19">
        <v>110.62</v>
      </c>
      <c r="G1829" s="19">
        <v>111.28</v>
      </c>
      <c r="H1829" s="19">
        <v>111.28</v>
      </c>
      <c r="I1829" s="15">
        <v>3894017</v>
      </c>
      <c r="J1829" s="19">
        <f t="shared" si="137"/>
        <v>-2.1972227104939357</v>
      </c>
      <c r="K1829" s="19">
        <f t="shared" si="138"/>
        <v>115.00550000000001</v>
      </c>
      <c r="L1829" s="19">
        <f t="shared" si="141"/>
        <v>123.99899999999994</v>
      </c>
      <c r="M1829" s="19">
        <f>MAX(G1574:G1829)</f>
        <v>251.87</v>
      </c>
      <c r="N1829" s="19">
        <f t="shared" si="139"/>
        <v>-55.818477786159526</v>
      </c>
      <c r="O1829" s="9" t="str">
        <f t="shared" si="140"/>
        <v>2024-12</v>
      </c>
    </row>
    <row r="1830" spans="1:15" x14ac:dyDescent="0.25">
      <c r="A1830" s="9" t="s">
        <v>316</v>
      </c>
      <c r="B1830" s="9" t="s">
        <v>317</v>
      </c>
      <c r="C1830" s="25" t="s">
        <v>302</v>
      </c>
      <c r="D1830" s="19">
        <v>111.28</v>
      </c>
      <c r="E1830" s="19">
        <v>111.28</v>
      </c>
      <c r="F1830" s="19">
        <v>109.96</v>
      </c>
      <c r="G1830" s="19">
        <v>109.98</v>
      </c>
      <c r="H1830" s="19">
        <v>109.98</v>
      </c>
      <c r="I1830" s="15">
        <v>4291524</v>
      </c>
      <c r="J1830" s="19">
        <f t="shared" si="137"/>
        <v>-1.1682242990654179</v>
      </c>
      <c r="K1830" s="19">
        <f t="shared" si="138"/>
        <v>113.495</v>
      </c>
      <c r="L1830" s="19">
        <f t="shared" si="141"/>
        <v>123.45579999999993</v>
      </c>
      <c r="M1830" s="19">
        <f>MAX(G1574:G1830)</f>
        <v>251.87</v>
      </c>
      <c r="N1830" s="19">
        <f t="shared" si="139"/>
        <v>-56.334617064358596</v>
      </c>
      <c r="O1830" s="9" t="str">
        <f t="shared" si="140"/>
        <v>2024-12</v>
      </c>
    </row>
    <row r="1831" spans="1:15" x14ac:dyDescent="0.25">
      <c r="A1831" s="9" t="s">
        <v>316</v>
      </c>
      <c r="B1831" s="9" t="s">
        <v>317</v>
      </c>
      <c r="C1831" s="25" t="s">
        <v>303</v>
      </c>
      <c r="D1831" s="19">
        <v>109.98</v>
      </c>
      <c r="E1831" s="19">
        <v>114.08</v>
      </c>
      <c r="F1831" s="19">
        <v>109.83</v>
      </c>
      <c r="G1831" s="19">
        <v>114.08</v>
      </c>
      <c r="H1831" s="19">
        <v>114.08</v>
      </c>
      <c r="I1831" s="15">
        <v>5895928</v>
      </c>
      <c r="J1831" s="19">
        <f t="shared" si="137"/>
        <v>3.7279505364611691</v>
      </c>
      <c r="K1831" s="19">
        <f t="shared" si="138"/>
        <v>112.85099999999997</v>
      </c>
      <c r="L1831" s="19">
        <f t="shared" si="141"/>
        <v>123.00459999999994</v>
      </c>
      <c r="M1831" s="19">
        <f>MAX(G1574:G1831)</f>
        <v>251.87</v>
      </c>
      <c r="N1831" s="19">
        <f t="shared" si="139"/>
        <v>-54.706793186961534</v>
      </c>
      <c r="O1831" s="9" t="str">
        <f t="shared" si="140"/>
        <v>2024-12</v>
      </c>
    </row>
    <row r="1832" spans="1:15" x14ac:dyDescent="0.25">
      <c r="A1832" s="9" t="s">
        <v>316</v>
      </c>
      <c r="B1832" s="9" t="s">
        <v>317</v>
      </c>
      <c r="C1832" s="25" t="s">
        <v>304</v>
      </c>
      <c r="D1832" s="19">
        <v>114.08</v>
      </c>
      <c r="E1832" s="19">
        <v>121.03</v>
      </c>
      <c r="F1832" s="19">
        <v>113.5</v>
      </c>
      <c r="G1832" s="19">
        <v>120.67</v>
      </c>
      <c r="H1832" s="19">
        <v>120.67</v>
      </c>
      <c r="I1832" s="15">
        <v>12440377</v>
      </c>
      <c r="J1832" s="19">
        <f t="shared" si="137"/>
        <v>5.7766479663394144</v>
      </c>
      <c r="K1832" s="19">
        <f t="shared" si="138"/>
        <v>112.648</v>
      </c>
      <c r="L1832" s="19">
        <f t="shared" si="141"/>
        <v>122.62879999999994</v>
      </c>
      <c r="M1832" s="19">
        <f>MAX(G1574:G1832)</f>
        <v>251.87</v>
      </c>
      <c r="N1832" s="19">
        <f t="shared" si="139"/>
        <v>-52.09036407670623</v>
      </c>
      <c r="O1832" s="9" t="str">
        <f t="shared" si="140"/>
        <v>2024-12</v>
      </c>
    </row>
    <row r="1833" spans="1:15" x14ac:dyDescent="0.25">
      <c r="A1833" s="9" t="s">
        <v>316</v>
      </c>
      <c r="B1833" s="9" t="s">
        <v>317</v>
      </c>
      <c r="C1833" s="25" t="s">
        <v>305</v>
      </c>
      <c r="D1833" s="19">
        <v>120.67</v>
      </c>
      <c r="E1833" s="19">
        <v>128.57</v>
      </c>
      <c r="F1833" s="19">
        <v>120.03</v>
      </c>
      <c r="G1833" s="19">
        <v>128.08000000000001</v>
      </c>
      <c r="H1833" s="19">
        <v>128.08000000000001</v>
      </c>
      <c r="I1833" s="15">
        <v>8470509</v>
      </c>
      <c r="J1833" s="19">
        <f t="shared" si="137"/>
        <v>6.1407143449076083</v>
      </c>
      <c r="K1833" s="19">
        <f t="shared" si="138"/>
        <v>112.94599999999996</v>
      </c>
      <c r="L1833" s="19">
        <f t="shared" si="141"/>
        <v>122.37859999999995</v>
      </c>
      <c r="M1833" s="19">
        <f>MAX(G1574:G1833)</f>
        <v>251.87</v>
      </c>
      <c r="N1833" s="19">
        <f t="shared" si="139"/>
        <v>-49.148370190971526</v>
      </c>
      <c r="O1833" s="9" t="str">
        <f t="shared" si="140"/>
        <v>2024-12</v>
      </c>
    </row>
    <row r="1834" spans="1:15" x14ac:dyDescent="0.25">
      <c r="A1834" s="9" t="s">
        <v>316</v>
      </c>
      <c r="B1834" s="9" t="s">
        <v>317</v>
      </c>
      <c r="C1834" s="25" t="s">
        <v>306</v>
      </c>
      <c r="D1834" s="19">
        <v>128.08000000000001</v>
      </c>
      <c r="E1834" s="19">
        <v>128.51</v>
      </c>
      <c r="F1834" s="19">
        <v>124.63</v>
      </c>
      <c r="G1834" s="19">
        <v>125.08</v>
      </c>
      <c r="H1834" s="19">
        <v>125.08</v>
      </c>
      <c r="I1834" s="15">
        <v>5272177</v>
      </c>
      <c r="J1834" s="19">
        <f t="shared" si="137"/>
        <v>-2.3422860712055074</v>
      </c>
      <c r="K1834" s="19">
        <f t="shared" si="138"/>
        <v>113.61099999999999</v>
      </c>
      <c r="L1834" s="19">
        <f t="shared" si="141"/>
        <v>122.05339999999995</v>
      </c>
      <c r="M1834" s="19">
        <f>MAX(G1574:G1834)</f>
        <v>251.87</v>
      </c>
      <c r="N1834" s="19">
        <f t="shared" si="139"/>
        <v>-50.339460832969394</v>
      </c>
      <c r="O1834" s="9" t="str">
        <f t="shared" si="140"/>
        <v>2024-12</v>
      </c>
    </row>
    <row r="1835" spans="1:15" x14ac:dyDescent="0.25">
      <c r="A1835" s="9" t="s">
        <v>316</v>
      </c>
      <c r="B1835" s="9" t="s">
        <v>317</v>
      </c>
      <c r="C1835" s="25" t="s">
        <v>307</v>
      </c>
      <c r="D1835" s="19">
        <v>125.08</v>
      </c>
      <c r="E1835" s="19">
        <v>126.21</v>
      </c>
      <c r="F1835" s="19">
        <v>123.89</v>
      </c>
      <c r="G1835" s="19">
        <v>125.26</v>
      </c>
      <c r="H1835" s="19">
        <v>125.26</v>
      </c>
      <c r="I1835" s="15">
        <v>4193399</v>
      </c>
      <c r="J1835" s="19">
        <f t="shared" si="137"/>
        <v>0.14390789894468087</v>
      </c>
      <c r="K1835" s="19">
        <f t="shared" si="138"/>
        <v>114.04450000000001</v>
      </c>
      <c r="L1835" s="19">
        <f t="shared" si="141"/>
        <v>121.81159999999994</v>
      </c>
      <c r="M1835" s="19">
        <f>MAX(G1574:G1835)</f>
        <v>251.87</v>
      </c>
      <c r="N1835" s="19">
        <f t="shared" si="139"/>
        <v>-50.267995394449514</v>
      </c>
      <c r="O1835" s="9" t="str">
        <f t="shared" si="140"/>
        <v>2024-12</v>
      </c>
    </row>
    <row r="1836" spans="1:15" x14ac:dyDescent="0.25">
      <c r="A1836" s="9" t="s">
        <v>318</v>
      </c>
      <c r="B1836" s="9" t="s">
        <v>319</v>
      </c>
      <c r="C1836" s="25" t="s">
        <v>46</v>
      </c>
      <c r="D1836" s="19">
        <v>105</v>
      </c>
      <c r="E1836" s="19">
        <v>106</v>
      </c>
      <c r="F1836" s="19">
        <v>100.28</v>
      </c>
      <c r="G1836" s="19">
        <v>100.86</v>
      </c>
      <c r="H1836" s="19">
        <v>100.86</v>
      </c>
      <c r="I1836" s="15">
        <v>5660776</v>
      </c>
      <c r="J1836" s="19"/>
      <c r="K1836" s="19"/>
      <c r="L1836" s="19"/>
      <c r="M1836" s="19">
        <f>MAX(G1836:G1836)</f>
        <v>100.86</v>
      </c>
      <c r="N1836" s="19">
        <f t="shared" si="139"/>
        <v>0</v>
      </c>
      <c r="O1836" s="9" t="str">
        <f t="shared" si="140"/>
        <v>2024-01</v>
      </c>
    </row>
    <row r="1837" spans="1:15" x14ac:dyDescent="0.25">
      <c r="A1837" s="9" t="s">
        <v>318</v>
      </c>
      <c r="B1837" s="9" t="s">
        <v>319</v>
      </c>
      <c r="C1837" s="25" t="s">
        <v>47</v>
      </c>
      <c r="D1837" s="19">
        <v>100.86</v>
      </c>
      <c r="E1837" s="19">
        <v>104.57</v>
      </c>
      <c r="F1837" s="19">
        <v>100.64</v>
      </c>
      <c r="G1837" s="19">
        <v>103.54</v>
      </c>
      <c r="H1837" s="19">
        <v>103.54</v>
      </c>
      <c r="I1837" s="15">
        <v>5073436</v>
      </c>
      <c r="J1837" s="19">
        <f t="shared" ref="J1837:J1900" si="142">IFERROR((G1837-G1836)/G1836*100,"")</f>
        <v>2.657148522704746</v>
      </c>
      <c r="K1837" s="19"/>
      <c r="L1837" s="19"/>
      <c r="M1837" s="19">
        <f>MAX(G1836:G1837)</f>
        <v>103.54</v>
      </c>
      <c r="N1837" s="19">
        <f t="shared" si="139"/>
        <v>0</v>
      </c>
      <c r="O1837" s="9" t="str">
        <f t="shared" si="140"/>
        <v>2024-01</v>
      </c>
    </row>
    <row r="1838" spans="1:15" x14ac:dyDescent="0.25">
      <c r="A1838" s="9" t="s">
        <v>318</v>
      </c>
      <c r="B1838" s="9" t="s">
        <v>319</v>
      </c>
      <c r="C1838" s="25" t="s">
        <v>48</v>
      </c>
      <c r="D1838" s="19">
        <v>103.54</v>
      </c>
      <c r="E1838" s="19">
        <v>107.18</v>
      </c>
      <c r="F1838" s="19">
        <v>103.07</v>
      </c>
      <c r="G1838" s="19">
        <v>106.89</v>
      </c>
      <c r="H1838" s="19">
        <v>106.89</v>
      </c>
      <c r="I1838" s="15">
        <v>4501631</v>
      </c>
      <c r="J1838" s="19">
        <f t="shared" si="142"/>
        <v>3.2354645547614393</v>
      </c>
      <c r="K1838" s="19"/>
      <c r="L1838" s="19"/>
      <c r="M1838" s="19">
        <f>MAX(G1836:G1838)</f>
        <v>106.89</v>
      </c>
      <c r="N1838" s="19">
        <f t="shared" si="139"/>
        <v>0</v>
      </c>
      <c r="O1838" s="9" t="str">
        <f t="shared" si="140"/>
        <v>2024-01</v>
      </c>
    </row>
    <row r="1839" spans="1:15" x14ac:dyDescent="0.25">
      <c r="A1839" s="9" t="s">
        <v>318</v>
      </c>
      <c r="B1839" s="9" t="s">
        <v>319</v>
      </c>
      <c r="C1839" s="25" t="s">
        <v>49</v>
      </c>
      <c r="D1839" s="19">
        <v>106.89</v>
      </c>
      <c r="E1839" s="19">
        <v>108.65</v>
      </c>
      <c r="F1839" s="19">
        <v>106.69</v>
      </c>
      <c r="G1839" s="19">
        <v>107.84</v>
      </c>
      <c r="H1839" s="19">
        <v>107.84</v>
      </c>
      <c r="I1839" s="15">
        <v>3912583</v>
      </c>
      <c r="J1839" s="19">
        <f t="shared" si="142"/>
        <v>0.88876415006081277</v>
      </c>
      <c r="K1839" s="19"/>
      <c r="L1839" s="19"/>
      <c r="M1839" s="19">
        <f>MAX(G1836:G1839)</f>
        <v>107.84</v>
      </c>
      <c r="N1839" s="19">
        <f t="shared" si="139"/>
        <v>0</v>
      </c>
      <c r="O1839" s="9" t="str">
        <f t="shared" si="140"/>
        <v>2024-01</v>
      </c>
    </row>
    <row r="1840" spans="1:15" x14ac:dyDescent="0.25">
      <c r="A1840" s="9" t="s">
        <v>318</v>
      </c>
      <c r="B1840" s="9" t="s">
        <v>319</v>
      </c>
      <c r="C1840" s="25" t="s">
        <v>50</v>
      </c>
      <c r="D1840" s="19">
        <v>107.84</v>
      </c>
      <c r="E1840" s="19">
        <v>110.14</v>
      </c>
      <c r="F1840" s="19">
        <v>107.52</v>
      </c>
      <c r="G1840" s="19">
        <v>109.3</v>
      </c>
      <c r="H1840" s="19">
        <v>109.3</v>
      </c>
      <c r="I1840" s="15">
        <v>7005540</v>
      </c>
      <c r="J1840" s="19">
        <f t="shared" si="142"/>
        <v>1.3538575667655728</v>
      </c>
      <c r="K1840" s="19"/>
      <c r="L1840" s="19"/>
      <c r="M1840" s="19">
        <f>MAX(G1836:G1840)</f>
        <v>109.3</v>
      </c>
      <c r="N1840" s="19">
        <f t="shared" si="139"/>
        <v>0</v>
      </c>
      <c r="O1840" s="9" t="str">
        <f t="shared" si="140"/>
        <v>2024-01</v>
      </c>
    </row>
    <row r="1841" spans="1:15" x14ac:dyDescent="0.25">
      <c r="A1841" s="9" t="s">
        <v>318</v>
      </c>
      <c r="B1841" s="9" t="s">
        <v>319</v>
      </c>
      <c r="C1841" s="25" t="s">
        <v>51</v>
      </c>
      <c r="D1841" s="19">
        <v>109.3</v>
      </c>
      <c r="E1841" s="19">
        <v>111.24</v>
      </c>
      <c r="F1841" s="19">
        <v>108.34</v>
      </c>
      <c r="G1841" s="19">
        <v>110.81</v>
      </c>
      <c r="H1841" s="19">
        <v>110.81</v>
      </c>
      <c r="I1841" s="15">
        <v>1241959</v>
      </c>
      <c r="J1841" s="19">
        <f t="shared" si="142"/>
        <v>1.3815187557182114</v>
      </c>
      <c r="K1841" s="19"/>
      <c r="L1841" s="19"/>
      <c r="M1841" s="19">
        <f>MAX(G1836:G1841)</f>
        <v>110.81</v>
      </c>
      <c r="N1841" s="19">
        <f t="shared" si="139"/>
        <v>0</v>
      </c>
      <c r="O1841" s="9" t="str">
        <f t="shared" si="140"/>
        <v>2024-01</v>
      </c>
    </row>
    <row r="1842" spans="1:15" x14ac:dyDescent="0.25">
      <c r="A1842" s="9" t="s">
        <v>318</v>
      </c>
      <c r="B1842" s="9" t="s">
        <v>319</v>
      </c>
      <c r="C1842" s="25" t="s">
        <v>52</v>
      </c>
      <c r="D1842" s="19">
        <v>110.81</v>
      </c>
      <c r="E1842" s="19">
        <v>112.51</v>
      </c>
      <c r="F1842" s="19">
        <v>110.64</v>
      </c>
      <c r="G1842" s="19">
        <v>111.46</v>
      </c>
      <c r="H1842" s="19">
        <v>111.46</v>
      </c>
      <c r="I1842" s="15">
        <v>2423950</v>
      </c>
      <c r="J1842" s="19">
        <f t="shared" si="142"/>
        <v>0.58658965797309937</v>
      </c>
      <c r="K1842" s="19"/>
      <c r="L1842" s="19"/>
      <c r="M1842" s="19">
        <f>MAX(G1836:G1842)</f>
        <v>111.46</v>
      </c>
      <c r="N1842" s="19">
        <f t="shared" si="139"/>
        <v>0</v>
      </c>
      <c r="O1842" s="9" t="str">
        <f t="shared" si="140"/>
        <v>2024-01</v>
      </c>
    </row>
    <row r="1843" spans="1:15" x14ac:dyDescent="0.25">
      <c r="A1843" s="9" t="s">
        <v>318</v>
      </c>
      <c r="B1843" s="9" t="s">
        <v>319</v>
      </c>
      <c r="C1843" s="25" t="s">
        <v>53</v>
      </c>
      <c r="D1843" s="19">
        <v>111.46</v>
      </c>
      <c r="E1843" s="19">
        <v>112.06</v>
      </c>
      <c r="F1843" s="19">
        <v>111.09</v>
      </c>
      <c r="G1843" s="19">
        <v>111.73</v>
      </c>
      <c r="H1843" s="19">
        <v>111.73</v>
      </c>
      <c r="I1843" s="15">
        <v>5625329</v>
      </c>
      <c r="J1843" s="19">
        <f t="shared" si="142"/>
        <v>0.24223936838328572</v>
      </c>
      <c r="K1843" s="19"/>
      <c r="L1843" s="19"/>
      <c r="M1843" s="19">
        <f>MAX(G1836:G1843)</f>
        <v>111.73</v>
      </c>
      <c r="N1843" s="19">
        <f t="shared" si="139"/>
        <v>0</v>
      </c>
      <c r="O1843" s="9" t="str">
        <f t="shared" si="140"/>
        <v>2024-01</v>
      </c>
    </row>
    <row r="1844" spans="1:15" x14ac:dyDescent="0.25">
      <c r="A1844" s="9" t="s">
        <v>318</v>
      </c>
      <c r="B1844" s="9" t="s">
        <v>319</v>
      </c>
      <c r="C1844" s="25" t="s">
        <v>54</v>
      </c>
      <c r="D1844" s="19">
        <v>111.73</v>
      </c>
      <c r="E1844" s="19">
        <v>111.83</v>
      </c>
      <c r="F1844" s="19">
        <v>108.79</v>
      </c>
      <c r="G1844" s="19">
        <v>109.04</v>
      </c>
      <c r="H1844" s="19">
        <v>109.04</v>
      </c>
      <c r="I1844" s="15">
        <v>3477803</v>
      </c>
      <c r="J1844" s="19">
        <f t="shared" si="142"/>
        <v>-2.4075897252304643</v>
      </c>
      <c r="K1844" s="19"/>
      <c r="L1844" s="19"/>
      <c r="M1844" s="19">
        <f>MAX(G1836:G1844)</f>
        <v>111.73</v>
      </c>
      <c r="N1844" s="19">
        <f t="shared" si="139"/>
        <v>-2.4075897252304643</v>
      </c>
      <c r="O1844" s="9" t="str">
        <f t="shared" si="140"/>
        <v>2024-01</v>
      </c>
    </row>
    <row r="1845" spans="1:15" x14ac:dyDescent="0.25">
      <c r="A1845" s="9" t="s">
        <v>318</v>
      </c>
      <c r="B1845" s="9" t="s">
        <v>319</v>
      </c>
      <c r="C1845" s="25" t="s">
        <v>55</v>
      </c>
      <c r="D1845" s="19">
        <v>109.04</v>
      </c>
      <c r="E1845" s="19">
        <v>109.29</v>
      </c>
      <c r="F1845" s="19">
        <v>106.07</v>
      </c>
      <c r="G1845" s="19">
        <v>106.4</v>
      </c>
      <c r="H1845" s="19">
        <v>106.4</v>
      </c>
      <c r="I1845" s="15">
        <v>3621883</v>
      </c>
      <c r="J1845" s="19">
        <f t="shared" si="142"/>
        <v>-2.4211298606016145</v>
      </c>
      <c r="K1845" s="19"/>
      <c r="L1845" s="19"/>
      <c r="M1845" s="19">
        <f>MAX(G1836:G1845)</f>
        <v>111.73</v>
      </c>
      <c r="N1845" s="19">
        <f t="shared" si="139"/>
        <v>-4.7704287120737474</v>
      </c>
      <c r="O1845" s="9" t="str">
        <f t="shared" si="140"/>
        <v>2024-01</v>
      </c>
    </row>
    <row r="1846" spans="1:15" x14ac:dyDescent="0.25">
      <c r="A1846" s="9" t="s">
        <v>318</v>
      </c>
      <c r="B1846" s="9" t="s">
        <v>319</v>
      </c>
      <c r="C1846" s="25" t="s">
        <v>56</v>
      </c>
      <c r="D1846" s="19">
        <v>106.4</v>
      </c>
      <c r="E1846" s="19">
        <v>110.52</v>
      </c>
      <c r="F1846" s="19">
        <v>106.26</v>
      </c>
      <c r="G1846" s="19">
        <v>109.81</v>
      </c>
      <c r="H1846" s="19">
        <v>109.81</v>
      </c>
      <c r="I1846" s="15">
        <v>2135398</v>
      </c>
      <c r="J1846" s="19">
        <f t="shared" si="142"/>
        <v>3.2048872180451089</v>
      </c>
      <c r="K1846" s="19"/>
      <c r="L1846" s="19"/>
      <c r="M1846" s="19">
        <f>MAX(G1836:G1846)</f>
        <v>111.73</v>
      </c>
      <c r="N1846" s="19">
        <f t="shared" si="139"/>
        <v>-1.7184283540678433</v>
      </c>
      <c r="O1846" s="9" t="str">
        <f t="shared" si="140"/>
        <v>2024-01</v>
      </c>
    </row>
    <row r="1847" spans="1:15" x14ac:dyDescent="0.25">
      <c r="A1847" s="9" t="s">
        <v>318</v>
      </c>
      <c r="B1847" s="9" t="s">
        <v>319</v>
      </c>
      <c r="C1847" s="25" t="s">
        <v>57</v>
      </c>
      <c r="D1847" s="19">
        <v>109.81</v>
      </c>
      <c r="E1847" s="19">
        <v>109.91</v>
      </c>
      <c r="F1847" s="19">
        <v>108.64</v>
      </c>
      <c r="G1847" s="19">
        <v>109.04</v>
      </c>
      <c r="H1847" s="19">
        <v>109.04</v>
      </c>
      <c r="I1847" s="15">
        <v>5283135</v>
      </c>
      <c r="J1847" s="19">
        <f t="shared" si="142"/>
        <v>-0.70121118295236862</v>
      </c>
      <c r="K1847" s="19"/>
      <c r="L1847" s="19"/>
      <c r="M1847" s="19">
        <f>MAX(G1836:G1847)</f>
        <v>111.73</v>
      </c>
      <c r="N1847" s="19">
        <f t="shared" si="139"/>
        <v>-2.4075897252304643</v>
      </c>
      <c r="O1847" s="9" t="str">
        <f t="shared" si="140"/>
        <v>2024-01</v>
      </c>
    </row>
    <row r="1848" spans="1:15" x14ac:dyDescent="0.25">
      <c r="A1848" s="9" t="s">
        <v>318</v>
      </c>
      <c r="B1848" s="9" t="s">
        <v>319</v>
      </c>
      <c r="C1848" s="25" t="s">
        <v>58</v>
      </c>
      <c r="D1848" s="19">
        <v>109.04</v>
      </c>
      <c r="E1848" s="19">
        <v>109.23</v>
      </c>
      <c r="F1848" s="19">
        <v>105.53</v>
      </c>
      <c r="G1848" s="19">
        <v>106.67</v>
      </c>
      <c r="H1848" s="19">
        <v>106.67</v>
      </c>
      <c r="I1848" s="15">
        <v>4077633</v>
      </c>
      <c r="J1848" s="19">
        <f t="shared" si="142"/>
        <v>-2.1735143066764531</v>
      </c>
      <c r="K1848" s="19"/>
      <c r="L1848" s="19"/>
      <c r="M1848" s="19">
        <f>MAX(G1836:G1848)</f>
        <v>111.73</v>
      </c>
      <c r="N1848" s="19">
        <f t="shared" si="139"/>
        <v>-4.5287747247829611</v>
      </c>
      <c r="O1848" s="9" t="str">
        <f t="shared" si="140"/>
        <v>2024-01</v>
      </c>
    </row>
    <row r="1849" spans="1:15" x14ac:dyDescent="0.25">
      <c r="A1849" s="9" t="s">
        <v>318</v>
      </c>
      <c r="B1849" s="9" t="s">
        <v>319</v>
      </c>
      <c r="C1849" s="25" t="s">
        <v>59</v>
      </c>
      <c r="D1849" s="19">
        <v>106.67</v>
      </c>
      <c r="E1849" s="19">
        <v>106.72</v>
      </c>
      <c r="F1849" s="19">
        <v>104.93</v>
      </c>
      <c r="G1849" s="19">
        <v>105.56</v>
      </c>
      <c r="H1849" s="19">
        <v>105.56</v>
      </c>
      <c r="I1849" s="15">
        <v>3994889</v>
      </c>
      <c r="J1849" s="19">
        <f t="shared" si="142"/>
        <v>-1.040592481484953</v>
      </c>
      <c r="K1849" s="19"/>
      <c r="L1849" s="19"/>
      <c r="M1849" s="19">
        <f>MAX(G1836:G1849)</f>
        <v>111.73</v>
      </c>
      <c r="N1849" s="19">
        <f t="shared" si="139"/>
        <v>-5.5222411169784316</v>
      </c>
      <c r="O1849" s="9" t="str">
        <f t="shared" si="140"/>
        <v>2024-01</v>
      </c>
    </row>
    <row r="1850" spans="1:15" x14ac:dyDescent="0.25">
      <c r="A1850" s="9" t="s">
        <v>318</v>
      </c>
      <c r="B1850" s="9" t="s">
        <v>319</v>
      </c>
      <c r="C1850" s="25" t="s">
        <v>60</v>
      </c>
      <c r="D1850" s="19">
        <v>105.56</v>
      </c>
      <c r="E1850" s="19">
        <v>109.15</v>
      </c>
      <c r="F1850" s="19">
        <v>105.09</v>
      </c>
      <c r="G1850" s="19">
        <v>109.09</v>
      </c>
      <c r="H1850" s="19">
        <v>109.09</v>
      </c>
      <c r="I1850" s="15">
        <v>4501718</v>
      </c>
      <c r="J1850" s="19">
        <f t="shared" si="142"/>
        <v>3.3440697233800694</v>
      </c>
      <c r="K1850" s="19"/>
      <c r="L1850" s="19"/>
      <c r="M1850" s="19">
        <f>MAX(G1836:G1850)</f>
        <v>111.73</v>
      </c>
      <c r="N1850" s="19">
        <f t="shared" si="139"/>
        <v>-2.3628389868432831</v>
      </c>
      <c r="O1850" s="9" t="str">
        <f t="shared" si="140"/>
        <v>2024-01</v>
      </c>
    </row>
    <row r="1851" spans="1:15" x14ac:dyDescent="0.25">
      <c r="A1851" s="9" t="s">
        <v>318</v>
      </c>
      <c r="B1851" s="9" t="s">
        <v>319</v>
      </c>
      <c r="C1851" s="25" t="s">
        <v>61</v>
      </c>
      <c r="D1851" s="19">
        <v>109.09</v>
      </c>
      <c r="E1851" s="19">
        <v>109.3</v>
      </c>
      <c r="F1851" s="19">
        <v>105.28</v>
      </c>
      <c r="G1851" s="19">
        <v>105.75</v>
      </c>
      <c r="H1851" s="19">
        <v>105.75</v>
      </c>
      <c r="I1851" s="15">
        <v>2876620</v>
      </c>
      <c r="J1851" s="19">
        <f t="shared" si="142"/>
        <v>-3.0616921807681758</v>
      </c>
      <c r="K1851" s="19"/>
      <c r="L1851" s="19"/>
      <c r="M1851" s="19">
        <f>MAX(G1836:G1851)</f>
        <v>111.73</v>
      </c>
      <c r="N1851" s="19">
        <f t="shared" si="139"/>
        <v>-5.3521883111071364</v>
      </c>
      <c r="O1851" s="9" t="str">
        <f t="shared" si="140"/>
        <v>2024-01</v>
      </c>
    </row>
    <row r="1852" spans="1:15" x14ac:dyDescent="0.25">
      <c r="A1852" s="9" t="s">
        <v>318</v>
      </c>
      <c r="B1852" s="9" t="s">
        <v>319</v>
      </c>
      <c r="C1852" s="25" t="s">
        <v>62</v>
      </c>
      <c r="D1852" s="19">
        <v>105.75</v>
      </c>
      <c r="E1852" s="19">
        <v>106.88</v>
      </c>
      <c r="F1852" s="19">
        <v>105.56</v>
      </c>
      <c r="G1852" s="19">
        <v>106.68</v>
      </c>
      <c r="H1852" s="19">
        <v>106.68</v>
      </c>
      <c r="I1852" s="15">
        <v>5575483</v>
      </c>
      <c r="J1852" s="19">
        <f t="shared" si="142"/>
        <v>0.87943262411348166</v>
      </c>
      <c r="K1852" s="19"/>
      <c r="L1852" s="19"/>
      <c r="M1852" s="19">
        <f>MAX(G1836:G1852)</f>
        <v>111.73</v>
      </c>
      <c r="N1852" s="19">
        <f t="shared" si="139"/>
        <v>-4.5198245771055197</v>
      </c>
      <c r="O1852" s="9" t="str">
        <f t="shared" si="140"/>
        <v>2024-01</v>
      </c>
    </row>
    <row r="1853" spans="1:15" x14ac:dyDescent="0.25">
      <c r="A1853" s="9" t="s">
        <v>318</v>
      </c>
      <c r="B1853" s="9" t="s">
        <v>319</v>
      </c>
      <c r="C1853" s="25" t="s">
        <v>63</v>
      </c>
      <c r="D1853" s="19">
        <v>106.68</v>
      </c>
      <c r="E1853" s="19">
        <v>108.59</v>
      </c>
      <c r="F1853" s="19">
        <v>106.53</v>
      </c>
      <c r="G1853" s="19">
        <v>107.72</v>
      </c>
      <c r="H1853" s="19">
        <v>107.72</v>
      </c>
      <c r="I1853" s="15">
        <v>5947109</v>
      </c>
      <c r="J1853" s="19">
        <f t="shared" si="142"/>
        <v>0.97487814023246333</v>
      </c>
      <c r="K1853" s="19"/>
      <c r="L1853" s="19"/>
      <c r="M1853" s="19">
        <f>MAX(G1836:G1853)</f>
        <v>111.73</v>
      </c>
      <c r="N1853" s="19">
        <f t="shared" si="139"/>
        <v>-3.5890092186521123</v>
      </c>
      <c r="O1853" s="9" t="str">
        <f t="shared" si="140"/>
        <v>2024-01</v>
      </c>
    </row>
    <row r="1854" spans="1:15" x14ac:dyDescent="0.25">
      <c r="A1854" s="9" t="s">
        <v>318</v>
      </c>
      <c r="B1854" s="9" t="s">
        <v>319</v>
      </c>
      <c r="C1854" s="25" t="s">
        <v>64</v>
      </c>
      <c r="D1854" s="19">
        <v>107.72</v>
      </c>
      <c r="E1854" s="19">
        <v>111</v>
      </c>
      <c r="F1854" s="19">
        <v>107.55</v>
      </c>
      <c r="G1854" s="19">
        <v>110.2</v>
      </c>
      <c r="H1854" s="19">
        <v>110.2</v>
      </c>
      <c r="I1854" s="15">
        <v>6821922</v>
      </c>
      <c r="J1854" s="19">
        <f t="shared" si="142"/>
        <v>2.302265131823249</v>
      </c>
      <c r="K1854" s="19"/>
      <c r="L1854" s="19"/>
      <c r="M1854" s="19">
        <f>MAX(G1836:G1854)</f>
        <v>111.73</v>
      </c>
      <c r="N1854" s="19">
        <f t="shared" si="139"/>
        <v>-1.3693725946478128</v>
      </c>
      <c r="O1854" s="9" t="str">
        <f t="shared" si="140"/>
        <v>2024-01</v>
      </c>
    </row>
    <row r="1855" spans="1:15" x14ac:dyDescent="0.25">
      <c r="A1855" s="9" t="s">
        <v>318</v>
      </c>
      <c r="B1855" s="9" t="s">
        <v>319</v>
      </c>
      <c r="C1855" s="25" t="s">
        <v>65</v>
      </c>
      <c r="D1855" s="19">
        <v>110.2</v>
      </c>
      <c r="E1855" s="19">
        <v>110.49</v>
      </c>
      <c r="F1855" s="19">
        <v>107.91</v>
      </c>
      <c r="G1855" s="19">
        <v>108.09</v>
      </c>
      <c r="H1855" s="19">
        <v>108.09</v>
      </c>
      <c r="I1855" s="15">
        <v>7029275</v>
      </c>
      <c r="J1855" s="19">
        <f t="shared" si="142"/>
        <v>-1.9147005444646092</v>
      </c>
      <c r="K1855" s="19">
        <f t="shared" ref="K1855:K1918" si="143">AVERAGE(G1836:G1855)</f>
        <v>107.824</v>
      </c>
      <c r="L1855" s="19"/>
      <c r="M1855" s="19">
        <f>MAX(G1836:G1855)</f>
        <v>111.73</v>
      </c>
      <c r="N1855" s="19">
        <f t="shared" si="139"/>
        <v>-3.2578537545869515</v>
      </c>
      <c r="O1855" s="9" t="str">
        <f t="shared" si="140"/>
        <v>2024-01</v>
      </c>
    </row>
    <row r="1856" spans="1:15" x14ac:dyDescent="0.25">
      <c r="A1856" s="9" t="s">
        <v>318</v>
      </c>
      <c r="B1856" s="9" t="s">
        <v>319</v>
      </c>
      <c r="C1856" s="25" t="s">
        <v>66</v>
      </c>
      <c r="D1856" s="19">
        <v>108.09</v>
      </c>
      <c r="E1856" s="19">
        <v>108.22</v>
      </c>
      <c r="F1856" s="19">
        <v>106.95</v>
      </c>
      <c r="G1856" s="19">
        <v>107.97</v>
      </c>
      <c r="H1856" s="19">
        <v>107.97</v>
      </c>
      <c r="I1856" s="15">
        <v>4853819</v>
      </c>
      <c r="J1856" s="19">
        <f t="shared" si="142"/>
        <v>-0.11101859561476966</v>
      </c>
      <c r="K1856" s="19">
        <f t="shared" si="143"/>
        <v>108.17949999999999</v>
      </c>
      <c r="L1856" s="19"/>
      <c r="M1856" s="19">
        <f>MAX(G1836:G1856)</f>
        <v>111.73</v>
      </c>
      <c r="N1856" s="19">
        <f t="shared" si="139"/>
        <v>-3.3652555267161954</v>
      </c>
      <c r="O1856" s="9" t="str">
        <f t="shared" si="140"/>
        <v>2024-01</v>
      </c>
    </row>
    <row r="1857" spans="1:15" x14ac:dyDescent="0.25">
      <c r="A1857" s="9" t="s">
        <v>318</v>
      </c>
      <c r="B1857" s="9" t="s">
        <v>319</v>
      </c>
      <c r="C1857" s="25" t="s">
        <v>67</v>
      </c>
      <c r="D1857" s="19">
        <v>107.97</v>
      </c>
      <c r="E1857" s="19">
        <v>110.44</v>
      </c>
      <c r="F1857" s="19">
        <v>107.95</v>
      </c>
      <c r="G1857" s="19">
        <v>110.24</v>
      </c>
      <c r="H1857" s="19">
        <v>110.24</v>
      </c>
      <c r="I1857" s="15">
        <v>4659058</v>
      </c>
      <c r="J1857" s="19">
        <f t="shared" si="142"/>
        <v>2.1024358618134631</v>
      </c>
      <c r="K1857" s="19">
        <f t="shared" si="143"/>
        <v>108.51449999999997</v>
      </c>
      <c r="L1857" s="19"/>
      <c r="M1857" s="19">
        <f>MAX(G1836:G1857)</f>
        <v>111.73</v>
      </c>
      <c r="N1857" s="19">
        <f t="shared" si="139"/>
        <v>-1.333572003938073</v>
      </c>
      <c r="O1857" s="9" t="str">
        <f t="shared" si="140"/>
        <v>2024-01</v>
      </c>
    </row>
    <row r="1858" spans="1:15" x14ac:dyDescent="0.25">
      <c r="A1858" s="9" t="s">
        <v>318</v>
      </c>
      <c r="B1858" s="9" t="s">
        <v>319</v>
      </c>
      <c r="C1858" s="25" t="s">
        <v>68</v>
      </c>
      <c r="D1858" s="19">
        <v>110.24</v>
      </c>
      <c r="E1858" s="19">
        <v>113.59</v>
      </c>
      <c r="F1858" s="19">
        <v>109.03</v>
      </c>
      <c r="G1858" s="19">
        <v>113.14</v>
      </c>
      <c r="H1858" s="19">
        <v>113.14</v>
      </c>
      <c r="I1858" s="15">
        <v>4508407</v>
      </c>
      <c r="J1858" s="19">
        <f t="shared" si="142"/>
        <v>2.6306240928882492</v>
      </c>
      <c r="K1858" s="19">
        <f t="shared" si="143"/>
        <v>108.82699999999997</v>
      </c>
      <c r="L1858" s="19"/>
      <c r="M1858" s="19">
        <f>MAX(G1836:G1858)</f>
        <v>113.14</v>
      </c>
      <c r="N1858" s="19">
        <f t="shared" ref="N1858:N1921" si="144">(G1858-M1858)/M1858*100</f>
        <v>0</v>
      </c>
      <c r="O1858" s="9" t="str">
        <f t="shared" ref="O1858:O1921" si="145">TEXT(C1858,"yyyy-mm")</f>
        <v>2024-01</v>
      </c>
    </row>
    <row r="1859" spans="1:15" x14ac:dyDescent="0.25">
      <c r="A1859" s="9" t="s">
        <v>318</v>
      </c>
      <c r="B1859" s="9" t="s">
        <v>319</v>
      </c>
      <c r="C1859" s="25" t="s">
        <v>69</v>
      </c>
      <c r="D1859" s="19">
        <v>113.14</v>
      </c>
      <c r="E1859" s="19">
        <v>113.67</v>
      </c>
      <c r="F1859" s="19">
        <v>110.32</v>
      </c>
      <c r="G1859" s="19">
        <v>110.5</v>
      </c>
      <c r="H1859" s="19">
        <v>110.5</v>
      </c>
      <c r="I1859" s="15">
        <v>3239831</v>
      </c>
      <c r="J1859" s="19">
        <f t="shared" si="142"/>
        <v>-2.3333922573802375</v>
      </c>
      <c r="K1859" s="19">
        <f t="shared" si="143"/>
        <v>108.96</v>
      </c>
      <c r="L1859" s="19"/>
      <c r="M1859" s="19">
        <f>MAX(G1836:G1859)</f>
        <v>113.14</v>
      </c>
      <c r="N1859" s="19">
        <f t="shared" si="144"/>
        <v>-2.3333922573802375</v>
      </c>
      <c r="O1859" s="9" t="str">
        <f t="shared" si="145"/>
        <v>2024-02</v>
      </c>
    </row>
    <row r="1860" spans="1:15" x14ac:dyDescent="0.25">
      <c r="A1860" s="9" t="s">
        <v>318</v>
      </c>
      <c r="B1860" s="9" t="s">
        <v>319</v>
      </c>
      <c r="C1860" s="25" t="s">
        <v>70</v>
      </c>
      <c r="D1860" s="19">
        <v>110.5</v>
      </c>
      <c r="E1860" s="19">
        <v>114.14</v>
      </c>
      <c r="F1860" s="19">
        <v>109.74</v>
      </c>
      <c r="G1860" s="19">
        <v>114.11</v>
      </c>
      <c r="H1860" s="19">
        <v>114.11</v>
      </c>
      <c r="I1860" s="15">
        <v>3112800</v>
      </c>
      <c r="J1860" s="19">
        <f t="shared" si="142"/>
        <v>3.2669683257918547</v>
      </c>
      <c r="K1860" s="19">
        <f t="shared" si="143"/>
        <v>109.20050000000001</v>
      </c>
      <c r="L1860" s="19"/>
      <c r="M1860" s="19">
        <f>MAX(G1836:G1860)</f>
        <v>114.11</v>
      </c>
      <c r="N1860" s="19">
        <f t="shared" si="144"/>
        <v>0</v>
      </c>
      <c r="O1860" s="9" t="str">
        <f t="shared" si="145"/>
        <v>2024-02</v>
      </c>
    </row>
    <row r="1861" spans="1:15" x14ac:dyDescent="0.25">
      <c r="A1861" s="9" t="s">
        <v>318</v>
      </c>
      <c r="B1861" s="9" t="s">
        <v>319</v>
      </c>
      <c r="C1861" s="25" t="s">
        <v>71</v>
      </c>
      <c r="D1861" s="19">
        <v>114.11</v>
      </c>
      <c r="E1861" s="19">
        <v>114.52</v>
      </c>
      <c r="F1861" s="19">
        <v>113.94</v>
      </c>
      <c r="G1861" s="19">
        <v>114.18</v>
      </c>
      <c r="H1861" s="19">
        <v>114.18</v>
      </c>
      <c r="I1861" s="15">
        <v>5301315</v>
      </c>
      <c r="J1861" s="19">
        <f t="shared" si="142"/>
        <v>6.1344316887220571E-2</v>
      </c>
      <c r="K1861" s="19">
        <f t="shared" si="143"/>
        <v>109.369</v>
      </c>
      <c r="L1861" s="19"/>
      <c r="M1861" s="19">
        <f>MAX(G1836:G1861)</f>
        <v>114.18</v>
      </c>
      <c r="N1861" s="19">
        <f t="shared" si="144"/>
        <v>0</v>
      </c>
      <c r="O1861" s="9" t="str">
        <f t="shared" si="145"/>
        <v>2024-02</v>
      </c>
    </row>
    <row r="1862" spans="1:15" x14ac:dyDescent="0.25">
      <c r="A1862" s="9" t="s">
        <v>318</v>
      </c>
      <c r="B1862" s="9" t="s">
        <v>319</v>
      </c>
      <c r="C1862" s="25" t="s">
        <v>72</v>
      </c>
      <c r="D1862" s="19">
        <v>114.18</v>
      </c>
      <c r="E1862" s="19">
        <v>114.44</v>
      </c>
      <c r="F1862" s="19">
        <v>111.61</v>
      </c>
      <c r="G1862" s="19">
        <v>112.22</v>
      </c>
      <c r="H1862" s="19">
        <v>112.22</v>
      </c>
      <c r="I1862" s="15">
        <v>4464918</v>
      </c>
      <c r="J1862" s="19">
        <f t="shared" si="142"/>
        <v>-1.7165878437554807</v>
      </c>
      <c r="K1862" s="19">
        <f t="shared" si="143"/>
        <v>109.407</v>
      </c>
      <c r="L1862" s="19"/>
      <c r="M1862" s="19">
        <f>MAX(G1836:G1862)</f>
        <v>114.18</v>
      </c>
      <c r="N1862" s="19">
        <f t="shared" si="144"/>
        <v>-1.7165878437554807</v>
      </c>
      <c r="O1862" s="9" t="str">
        <f t="shared" si="145"/>
        <v>2024-02</v>
      </c>
    </row>
    <row r="1863" spans="1:15" x14ac:dyDescent="0.25">
      <c r="A1863" s="9" t="s">
        <v>318</v>
      </c>
      <c r="B1863" s="9" t="s">
        <v>319</v>
      </c>
      <c r="C1863" s="25" t="s">
        <v>73</v>
      </c>
      <c r="D1863" s="19">
        <v>112.22</v>
      </c>
      <c r="E1863" s="19">
        <v>115.37</v>
      </c>
      <c r="F1863" s="19">
        <v>111.98</v>
      </c>
      <c r="G1863" s="19">
        <v>114.86</v>
      </c>
      <c r="H1863" s="19">
        <v>114.86</v>
      </c>
      <c r="I1863" s="15">
        <v>4883294</v>
      </c>
      <c r="J1863" s="19">
        <f t="shared" si="142"/>
        <v>2.3525218321154879</v>
      </c>
      <c r="K1863" s="19">
        <f t="shared" si="143"/>
        <v>109.5635</v>
      </c>
      <c r="L1863" s="19"/>
      <c r="M1863" s="19">
        <f>MAX(G1836:G1863)</f>
        <v>114.86</v>
      </c>
      <c r="N1863" s="19">
        <f t="shared" si="144"/>
        <v>0</v>
      </c>
      <c r="O1863" s="9" t="str">
        <f t="shared" si="145"/>
        <v>2024-02</v>
      </c>
    </row>
    <row r="1864" spans="1:15" x14ac:dyDescent="0.25">
      <c r="A1864" s="9" t="s">
        <v>318</v>
      </c>
      <c r="B1864" s="9" t="s">
        <v>319</v>
      </c>
      <c r="C1864" s="25" t="s">
        <v>74</v>
      </c>
      <c r="D1864" s="19">
        <v>114.86</v>
      </c>
      <c r="E1864" s="19">
        <v>114.98</v>
      </c>
      <c r="F1864" s="19">
        <v>114.16</v>
      </c>
      <c r="G1864" s="19">
        <v>114.23</v>
      </c>
      <c r="H1864" s="19">
        <v>114.23</v>
      </c>
      <c r="I1864" s="15">
        <v>1798730</v>
      </c>
      <c r="J1864" s="19">
        <f t="shared" si="142"/>
        <v>-0.5484938185617233</v>
      </c>
      <c r="K1864" s="19">
        <f t="shared" si="143"/>
        <v>109.82300000000001</v>
      </c>
      <c r="L1864" s="19"/>
      <c r="M1864" s="19">
        <f>MAX(G1836:G1864)</f>
        <v>114.86</v>
      </c>
      <c r="N1864" s="19">
        <f t="shared" si="144"/>
        <v>-0.5484938185617233</v>
      </c>
      <c r="O1864" s="9" t="str">
        <f t="shared" si="145"/>
        <v>2024-02</v>
      </c>
    </row>
    <row r="1865" spans="1:15" x14ac:dyDescent="0.25">
      <c r="A1865" s="9" t="s">
        <v>318</v>
      </c>
      <c r="B1865" s="9" t="s">
        <v>319</v>
      </c>
      <c r="C1865" s="25" t="s">
        <v>75</v>
      </c>
      <c r="D1865" s="19">
        <v>114.23</v>
      </c>
      <c r="E1865" s="19">
        <v>115.81</v>
      </c>
      <c r="F1865" s="19">
        <v>114.17</v>
      </c>
      <c r="G1865" s="19">
        <v>115.57</v>
      </c>
      <c r="H1865" s="19">
        <v>115.57</v>
      </c>
      <c r="I1865" s="15">
        <v>4288759</v>
      </c>
      <c r="J1865" s="19">
        <f t="shared" si="142"/>
        <v>1.1730718725378528</v>
      </c>
      <c r="K1865" s="19">
        <f t="shared" si="143"/>
        <v>110.28150000000001</v>
      </c>
      <c r="L1865" s="19"/>
      <c r="M1865" s="19">
        <f>MAX(G1836:G1865)</f>
        <v>115.57</v>
      </c>
      <c r="N1865" s="19">
        <f t="shared" si="144"/>
        <v>0</v>
      </c>
      <c r="O1865" s="9" t="str">
        <f t="shared" si="145"/>
        <v>2024-02</v>
      </c>
    </row>
    <row r="1866" spans="1:15" x14ac:dyDescent="0.25">
      <c r="A1866" s="9" t="s">
        <v>318</v>
      </c>
      <c r="B1866" s="9" t="s">
        <v>319</v>
      </c>
      <c r="C1866" s="25" t="s">
        <v>76</v>
      </c>
      <c r="D1866" s="19">
        <v>115.57</v>
      </c>
      <c r="E1866" s="19">
        <v>115.99</v>
      </c>
      <c r="F1866" s="19">
        <v>112.87</v>
      </c>
      <c r="G1866" s="19">
        <v>113.46</v>
      </c>
      <c r="H1866" s="19">
        <v>113.46</v>
      </c>
      <c r="I1866" s="15">
        <v>4158003</v>
      </c>
      <c r="J1866" s="19">
        <f t="shared" si="142"/>
        <v>-1.8257333217963134</v>
      </c>
      <c r="K1866" s="19">
        <f t="shared" si="143"/>
        <v>110.46400000000001</v>
      </c>
      <c r="L1866" s="19"/>
      <c r="M1866" s="19">
        <f>MAX(G1836:G1866)</f>
        <v>115.57</v>
      </c>
      <c r="N1866" s="19">
        <f t="shared" si="144"/>
        <v>-1.8257333217963134</v>
      </c>
      <c r="O1866" s="9" t="str">
        <f t="shared" si="145"/>
        <v>2024-02</v>
      </c>
    </row>
    <row r="1867" spans="1:15" x14ac:dyDescent="0.25">
      <c r="A1867" s="9" t="s">
        <v>318</v>
      </c>
      <c r="B1867" s="9" t="s">
        <v>319</v>
      </c>
      <c r="C1867" s="25" t="s">
        <v>77</v>
      </c>
      <c r="D1867" s="19">
        <v>113.46</v>
      </c>
      <c r="E1867" s="19">
        <v>113.81</v>
      </c>
      <c r="F1867" s="19">
        <v>113.15</v>
      </c>
      <c r="G1867" s="19">
        <v>113.73</v>
      </c>
      <c r="H1867" s="19">
        <v>113.73</v>
      </c>
      <c r="I1867" s="15">
        <v>3966606</v>
      </c>
      <c r="J1867" s="19">
        <f t="shared" si="142"/>
        <v>0.2379693283976822</v>
      </c>
      <c r="K1867" s="19">
        <f t="shared" si="143"/>
        <v>110.6985</v>
      </c>
      <c r="L1867" s="19"/>
      <c r="M1867" s="19">
        <f>MAX(G1836:G1867)</f>
        <v>115.57</v>
      </c>
      <c r="N1867" s="19">
        <f t="shared" si="144"/>
        <v>-1.5921086787228427</v>
      </c>
      <c r="O1867" s="9" t="str">
        <f t="shared" si="145"/>
        <v>2024-02</v>
      </c>
    </row>
    <row r="1868" spans="1:15" x14ac:dyDescent="0.25">
      <c r="A1868" s="9" t="s">
        <v>318</v>
      </c>
      <c r="B1868" s="9" t="s">
        <v>319</v>
      </c>
      <c r="C1868" s="25" t="s">
        <v>78</v>
      </c>
      <c r="D1868" s="19">
        <v>113.73</v>
      </c>
      <c r="E1868" s="19">
        <v>115.21</v>
      </c>
      <c r="F1868" s="19">
        <v>113.65</v>
      </c>
      <c r="G1868" s="19">
        <v>114.81</v>
      </c>
      <c r="H1868" s="19">
        <v>114.81</v>
      </c>
      <c r="I1868" s="15">
        <v>5067006</v>
      </c>
      <c r="J1868" s="19">
        <f t="shared" si="142"/>
        <v>0.94961751516750048</v>
      </c>
      <c r="K1868" s="19">
        <f t="shared" si="143"/>
        <v>111.10549999999998</v>
      </c>
      <c r="L1868" s="19"/>
      <c r="M1868" s="19">
        <f>MAX(G1836:G1868)</f>
        <v>115.57</v>
      </c>
      <c r="N1868" s="19">
        <f t="shared" si="144"/>
        <v>-0.6576101064289962</v>
      </c>
      <c r="O1868" s="9" t="str">
        <f t="shared" si="145"/>
        <v>2024-02</v>
      </c>
    </row>
    <row r="1869" spans="1:15" x14ac:dyDescent="0.25">
      <c r="A1869" s="9" t="s">
        <v>318</v>
      </c>
      <c r="B1869" s="9" t="s">
        <v>319</v>
      </c>
      <c r="C1869" s="25" t="s">
        <v>79</v>
      </c>
      <c r="D1869" s="19">
        <v>114.81</v>
      </c>
      <c r="E1869" s="19">
        <v>115.08</v>
      </c>
      <c r="F1869" s="19">
        <v>113.01</v>
      </c>
      <c r="G1869" s="19">
        <v>113.21</v>
      </c>
      <c r="H1869" s="19">
        <v>113.21</v>
      </c>
      <c r="I1869" s="15">
        <v>3985501</v>
      </c>
      <c r="J1869" s="19">
        <f t="shared" si="142"/>
        <v>-1.393606828673468</v>
      </c>
      <c r="K1869" s="19">
        <f t="shared" si="143"/>
        <v>111.48800000000001</v>
      </c>
      <c r="L1869" s="19"/>
      <c r="M1869" s="19">
        <f>MAX(G1836:G1869)</f>
        <v>115.57</v>
      </c>
      <c r="N1869" s="19">
        <f t="shared" si="144"/>
        <v>-2.0420524357532228</v>
      </c>
      <c r="O1869" s="9" t="str">
        <f t="shared" si="145"/>
        <v>2024-02</v>
      </c>
    </row>
    <row r="1870" spans="1:15" x14ac:dyDescent="0.25">
      <c r="A1870" s="9" t="s">
        <v>318</v>
      </c>
      <c r="B1870" s="9" t="s">
        <v>319</v>
      </c>
      <c r="C1870" s="25" t="s">
        <v>80</v>
      </c>
      <c r="D1870" s="19">
        <v>113.21</v>
      </c>
      <c r="E1870" s="19">
        <v>113.88</v>
      </c>
      <c r="F1870" s="19">
        <v>112</v>
      </c>
      <c r="G1870" s="19">
        <v>112.18</v>
      </c>
      <c r="H1870" s="19">
        <v>112.18</v>
      </c>
      <c r="I1870" s="15">
        <v>3205504</v>
      </c>
      <c r="J1870" s="19">
        <f t="shared" si="142"/>
        <v>-0.90981362070487326</v>
      </c>
      <c r="K1870" s="19">
        <f t="shared" si="143"/>
        <v>111.64249999999997</v>
      </c>
      <c r="L1870" s="19"/>
      <c r="M1870" s="19">
        <f>MAX(G1836:G1870)</f>
        <v>115.57</v>
      </c>
      <c r="N1870" s="19">
        <f t="shared" si="144"/>
        <v>-2.9332871852556774</v>
      </c>
      <c r="O1870" s="9" t="str">
        <f t="shared" si="145"/>
        <v>2024-02</v>
      </c>
    </row>
    <row r="1871" spans="1:15" x14ac:dyDescent="0.25">
      <c r="A1871" s="9" t="s">
        <v>318</v>
      </c>
      <c r="B1871" s="9" t="s">
        <v>319</v>
      </c>
      <c r="C1871" s="25" t="s">
        <v>81</v>
      </c>
      <c r="D1871" s="19">
        <v>112.18</v>
      </c>
      <c r="E1871" s="19">
        <v>112.53</v>
      </c>
      <c r="F1871" s="19">
        <v>111.02</v>
      </c>
      <c r="G1871" s="19">
        <v>111.08</v>
      </c>
      <c r="H1871" s="19">
        <v>111.08</v>
      </c>
      <c r="I1871" s="15">
        <v>1092344</v>
      </c>
      <c r="J1871" s="19">
        <f t="shared" si="142"/>
        <v>-0.98056694597968308</v>
      </c>
      <c r="K1871" s="19">
        <f t="shared" si="143"/>
        <v>111.90899999999999</v>
      </c>
      <c r="L1871" s="19"/>
      <c r="M1871" s="19">
        <f>MAX(G1836:G1871)</f>
        <v>115.57</v>
      </c>
      <c r="N1871" s="19">
        <f t="shared" si="144"/>
        <v>-3.8850912866660856</v>
      </c>
      <c r="O1871" s="9" t="str">
        <f t="shared" si="145"/>
        <v>2024-02</v>
      </c>
    </row>
    <row r="1872" spans="1:15" x14ac:dyDescent="0.25">
      <c r="A1872" s="9" t="s">
        <v>318</v>
      </c>
      <c r="B1872" s="9" t="s">
        <v>319</v>
      </c>
      <c r="C1872" s="25" t="s">
        <v>82</v>
      </c>
      <c r="D1872" s="19">
        <v>111.08</v>
      </c>
      <c r="E1872" s="19">
        <v>112.18</v>
      </c>
      <c r="F1872" s="19">
        <v>110.97</v>
      </c>
      <c r="G1872" s="19">
        <v>111.91</v>
      </c>
      <c r="H1872" s="19">
        <v>111.91</v>
      </c>
      <c r="I1872" s="15">
        <v>5033961</v>
      </c>
      <c r="J1872" s="19">
        <f t="shared" si="142"/>
        <v>0.74720921858120126</v>
      </c>
      <c r="K1872" s="19">
        <f t="shared" si="143"/>
        <v>112.17049999999999</v>
      </c>
      <c r="L1872" s="19"/>
      <c r="M1872" s="19">
        <f>MAX(G1836:G1872)</f>
        <v>115.57</v>
      </c>
      <c r="N1872" s="19">
        <f t="shared" si="144"/>
        <v>-3.1669118283291482</v>
      </c>
      <c r="O1872" s="9" t="str">
        <f t="shared" si="145"/>
        <v>2024-02</v>
      </c>
    </row>
    <row r="1873" spans="1:15" x14ac:dyDescent="0.25">
      <c r="A1873" s="9" t="s">
        <v>318</v>
      </c>
      <c r="B1873" s="9" t="s">
        <v>319</v>
      </c>
      <c r="C1873" s="25" t="s">
        <v>83</v>
      </c>
      <c r="D1873" s="19">
        <v>111.91</v>
      </c>
      <c r="E1873" s="19">
        <v>114.29</v>
      </c>
      <c r="F1873" s="19">
        <v>111.73</v>
      </c>
      <c r="G1873" s="19">
        <v>113.85</v>
      </c>
      <c r="H1873" s="19">
        <v>113.85</v>
      </c>
      <c r="I1873" s="15">
        <v>4973634</v>
      </c>
      <c r="J1873" s="19">
        <f t="shared" si="142"/>
        <v>1.7335358770440512</v>
      </c>
      <c r="K1873" s="19">
        <f t="shared" si="143"/>
        <v>112.477</v>
      </c>
      <c r="L1873" s="19"/>
      <c r="M1873" s="19">
        <f>MAX(G1836:G1873)</f>
        <v>115.57</v>
      </c>
      <c r="N1873" s="19">
        <f t="shared" si="144"/>
        <v>-1.4882755040235345</v>
      </c>
      <c r="O1873" s="9" t="str">
        <f t="shared" si="145"/>
        <v>2024-02</v>
      </c>
    </row>
    <row r="1874" spans="1:15" x14ac:dyDescent="0.25">
      <c r="A1874" s="9" t="s">
        <v>318</v>
      </c>
      <c r="B1874" s="9" t="s">
        <v>319</v>
      </c>
      <c r="C1874" s="25" t="s">
        <v>84</v>
      </c>
      <c r="D1874" s="19">
        <v>113.85</v>
      </c>
      <c r="E1874" s="19">
        <v>114.37</v>
      </c>
      <c r="F1874" s="19">
        <v>113.31</v>
      </c>
      <c r="G1874" s="19">
        <v>114.14</v>
      </c>
      <c r="H1874" s="19">
        <v>114.14</v>
      </c>
      <c r="I1874" s="15">
        <v>2560747</v>
      </c>
      <c r="J1874" s="19">
        <f t="shared" si="142"/>
        <v>0.25472112428634719</v>
      </c>
      <c r="K1874" s="19">
        <f t="shared" si="143"/>
        <v>112.67400000000001</v>
      </c>
      <c r="L1874" s="19"/>
      <c r="M1874" s="19">
        <f>MAX(G1836:G1874)</f>
        <v>115.57</v>
      </c>
      <c r="N1874" s="19">
        <f t="shared" si="144"/>
        <v>-1.2373453318335144</v>
      </c>
      <c r="O1874" s="9" t="str">
        <f t="shared" si="145"/>
        <v>2024-02</v>
      </c>
    </row>
    <row r="1875" spans="1:15" x14ac:dyDescent="0.25">
      <c r="A1875" s="9" t="s">
        <v>318</v>
      </c>
      <c r="B1875" s="9" t="s">
        <v>319</v>
      </c>
      <c r="C1875" s="25" t="s">
        <v>85</v>
      </c>
      <c r="D1875" s="19">
        <v>114.14</v>
      </c>
      <c r="E1875" s="19">
        <v>114.38</v>
      </c>
      <c r="F1875" s="19">
        <v>111.49</v>
      </c>
      <c r="G1875" s="19">
        <v>112.18</v>
      </c>
      <c r="H1875" s="19">
        <v>112.18</v>
      </c>
      <c r="I1875" s="15">
        <v>836838</v>
      </c>
      <c r="J1875" s="19">
        <f t="shared" si="142"/>
        <v>-1.7171894165060395</v>
      </c>
      <c r="K1875" s="19">
        <f t="shared" si="143"/>
        <v>112.87849999999999</v>
      </c>
      <c r="L1875" s="19"/>
      <c r="M1875" s="19">
        <f>MAX(G1836:G1875)</f>
        <v>115.57</v>
      </c>
      <c r="N1875" s="19">
        <f t="shared" si="144"/>
        <v>-2.9332871852556774</v>
      </c>
      <c r="O1875" s="9" t="str">
        <f t="shared" si="145"/>
        <v>2024-02</v>
      </c>
    </row>
    <row r="1876" spans="1:15" x14ac:dyDescent="0.25">
      <c r="A1876" s="9" t="s">
        <v>318</v>
      </c>
      <c r="B1876" s="9" t="s">
        <v>319</v>
      </c>
      <c r="C1876" s="25" t="s">
        <v>86</v>
      </c>
      <c r="D1876" s="19">
        <v>112.18</v>
      </c>
      <c r="E1876" s="19">
        <v>113.9</v>
      </c>
      <c r="F1876" s="19">
        <v>111.86</v>
      </c>
      <c r="G1876" s="19">
        <v>113.54</v>
      </c>
      <c r="H1876" s="19">
        <v>113.54</v>
      </c>
      <c r="I1876" s="15">
        <v>3357493</v>
      </c>
      <c r="J1876" s="19">
        <f t="shared" si="142"/>
        <v>1.2123373150294163</v>
      </c>
      <c r="K1876" s="19">
        <f t="shared" si="143"/>
        <v>113.15700000000001</v>
      </c>
      <c r="L1876" s="19"/>
      <c r="M1876" s="19">
        <f>MAX(G1836:G1876)</f>
        <v>115.57</v>
      </c>
      <c r="N1876" s="19">
        <f t="shared" si="144"/>
        <v>-1.7565112053300918</v>
      </c>
      <c r="O1876" s="9" t="str">
        <f t="shared" si="145"/>
        <v>2024-02</v>
      </c>
    </row>
    <row r="1877" spans="1:15" x14ac:dyDescent="0.25">
      <c r="A1877" s="9" t="s">
        <v>318</v>
      </c>
      <c r="B1877" s="9" t="s">
        <v>319</v>
      </c>
      <c r="C1877" s="25" t="s">
        <v>87</v>
      </c>
      <c r="D1877" s="19">
        <v>113.54</v>
      </c>
      <c r="E1877" s="19">
        <v>113.9</v>
      </c>
      <c r="F1877" s="19">
        <v>113.34</v>
      </c>
      <c r="G1877" s="19">
        <v>113.88</v>
      </c>
      <c r="H1877" s="19">
        <v>113.88</v>
      </c>
      <c r="I1877" s="15">
        <v>5585017</v>
      </c>
      <c r="J1877" s="19">
        <f t="shared" si="142"/>
        <v>0.2994539369385143</v>
      </c>
      <c r="K1877" s="19">
        <f t="shared" si="143"/>
        <v>113.33900000000001</v>
      </c>
      <c r="L1877" s="19"/>
      <c r="M1877" s="19">
        <f>MAX(G1836:G1877)</f>
        <v>115.57</v>
      </c>
      <c r="N1877" s="19">
        <f t="shared" si="144"/>
        <v>-1.4623172103487045</v>
      </c>
      <c r="O1877" s="9" t="str">
        <f t="shared" si="145"/>
        <v>2024-02</v>
      </c>
    </row>
    <row r="1878" spans="1:15" x14ac:dyDescent="0.25">
      <c r="A1878" s="9" t="s">
        <v>318</v>
      </c>
      <c r="B1878" s="9" t="s">
        <v>319</v>
      </c>
      <c r="C1878" s="25" t="s">
        <v>88</v>
      </c>
      <c r="D1878" s="19">
        <v>113.88</v>
      </c>
      <c r="E1878" s="19">
        <v>114.43</v>
      </c>
      <c r="F1878" s="19">
        <v>109.92</v>
      </c>
      <c r="G1878" s="19">
        <v>110.21</v>
      </c>
      <c r="H1878" s="19">
        <v>110.21</v>
      </c>
      <c r="I1878" s="15">
        <v>4086116</v>
      </c>
      <c r="J1878" s="19">
        <f t="shared" si="142"/>
        <v>-3.2226905514576765</v>
      </c>
      <c r="K1878" s="19">
        <f t="shared" si="143"/>
        <v>113.19250000000002</v>
      </c>
      <c r="L1878" s="19"/>
      <c r="M1878" s="19">
        <f>MAX(G1836:G1878)</f>
        <v>115.57</v>
      </c>
      <c r="N1878" s="19">
        <f t="shared" si="144"/>
        <v>-4.6378818032361337</v>
      </c>
      <c r="O1878" s="9" t="str">
        <f t="shared" si="145"/>
        <v>2024-02</v>
      </c>
    </row>
    <row r="1879" spans="1:15" x14ac:dyDescent="0.25">
      <c r="A1879" s="9" t="s">
        <v>318</v>
      </c>
      <c r="B1879" s="9" t="s">
        <v>319</v>
      </c>
      <c r="C1879" s="25" t="s">
        <v>89</v>
      </c>
      <c r="D1879" s="19">
        <v>110.21</v>
      </c>
      <c r="E1879" s="19">
        <v>110.33</v>
      </c>
      <c r="F1879" s="19">
        <v>109.02</v>
      </c>
      <c r="G1879" s="19">
        <v>109.45</v>
      </c>
      <c r="H1879" s="19">
        <v>109.45</v>
      </c>
      <c r="I1879" s="15">
        <v>4388438</v>
      </c>
      <c r="J1879" s="19">
        <f t="shared" si="142"/>
        <v>-0.68959259595317202</v>
      </c>
      <c r="K1879" s="19">
        <f t="shared" si="143"/>
        <v>113.14000000000001</v>
      </c>
      <c r="L1879" s="19"/>
      <c r="M1879" s="19">
        <f>MAX(G1836:G1879)</f>
        <v>115.57</v>
      </c>
      <c r="N1879" s="19">
        <f t="shared" si="144"/>
        <v>-5.2954919096651301</v>
      </c>
      <c r="O1879" s="9" t="str">
        <f t="shared" si="145"/>
        <v>2024-02</v>
      </c>
    </row>
    <row r="1880" spans="1:15" x14ac:dyDescent="0.25">
      <c r="A1880" s="9" t="s">
        <v>318</v>
      </c>
      <c r="B1880" s="9" t="s">
        <v>319</v>
      </c>
      <c r="C1880" s="25" t="s">
        <v>90</v>
      </c>
      <c r="D1880" s="19">
        <v>109.45</v>
      </c>
      <c r="E1880" s="19">
        <v>112.45</v>
      </c>
      <c r="F1880" s="19">
        <v>109.06</v>
      </c>
      <c r="G1880" s="19">
        <v>111.88</v>
      </c>
      <c r="H1880" s="19">
        <v>111.88</v>
      </c>
      <c r="I1880" s="15">
        <v>4326154</v>
      </c>
      <c r="J1880" s="19">
        <f t="shared" si="142"/>
        <v>2.2201918684330675</v>
      </c>
      <c r="K1880" s="19">
        <f t="shared" si="143"/>
        <v>113.02850000000001</v>
      </c>
      <c r="L1880" s="19"/>
      <c r="M1880" s="19">
        <f>MAX(G1836:G1880)</f>
        <v>115.57</v>
      </c>
      <c r="N1880" s="19">
        <f t="shared" si="144"/>
        <v>-3.1928701220039781</v>
      </c>
      <c r="O1880" s="9" t="str">
        <f t="shared" si="145"/>
        <v>2024-03</v>
      </c>
    </row>
    <row r="1881" spans="1:15" x14ac:dyDescent="0.25">
      <c r="A1881" s="9" t="s">
        <v>318</v>
      </c>
      <c r="B1881" s="9" t="s">
        <v>319</v>
      </c>
      <c r="C1881" s="25" t="s">
        <v>91</v>
      </c>
      <c r="D1881" s="19">
        <v>111.88</v>
      </c>
      <c r="E1881" s="19">
        <v>112.51</v>
      </c>
      <c r="F1881" s="19">
        <v>110.86</v>
      </c>
      <c r="G1881" s="19">
        <v>110.94</v>
      </c>
      <c r="H1881" s="19">
        <v>110.94</v>
      </c>
      <c r="I1881" s="15">
        <v>5272710</v>
      </c>
      <c r="J1881" s="19">
        <f t="shared" si="142"/>
        <v>-0.84018591347872518</v>
      </c>
      <c r="K1881" s="19">
        <f t="shared" si="143"/>
        <v>112.86650000000002</v>
      </c>
      <c r="L1881" s="19"/>
      <c r="M1881" s="19">
        <f>MAX(G1836:G1881)</f>
        <v>115.57</v>
      </c>
      <c r="N1881" s="19">
        <f t="shared" si="144"/>
        <v>-4.0062299904819554</v>
      </c>
      <c r="O1881" s="9" t="str">
        <f t="shared" si="145"/>
        <v>2024-03</v>
      </c>
    </row>
    <row r="1882" spans="1:15" x14ac:dyDescent="0.25">
      <c r="A1882" s="9" t="s">
        <v>318</v>
      </c>
      <c r="B1882" s="9" t="s">
        <v>319</v>
      </c>
      <c r="C1882" s="25" t="s">
        <v>92</v>
      </c>
      <c r="D1882" s="19">
        <v>110.94</v>
      </c>
      <c r="E1882" s="19">
        <v>111.01</v>
      </c>
      <c r="F1882" s="19">
        <v>107.32</v>
      </c>
      <c r="G1882" s="19">
        <v>107.52</v>
      </c>
      <c r="H1882" s="19">
        <v>107.52</v>
      </c>
      <c r="I1882" s="15">
        <v>5032315</v>
      </c>
      <c r="J1882" s="19">
        <f t="shared" si="142"/>
        <v>-3.082747431043809</v>
      </c>
      <c r="K1882" s="19">
        <f t="shared" si="143"/>
        <v>112.6315</v>
      </c>
      <c r="L1882" s="19"/>
      <c r="M1882" s="19">
        <f>MAX(G1836:G1882)</f>
        <v>115.57</v>
      </c>
      <c r="N1882" s="19">
        <f t="shared" si="144"/>
        <v>-6.9654754694124756</v>
      </c>
      <c r="O1882" s="9" t="str">
        <f t="shared" si="145"/>
        <v>2024-03</v>
      </c>
    </row>
    <row r="1883" spans="1:15" x14ac:dyDescent="0.25">
      <c r="A1883" s="9" t="s">
        <v>318</v>
      </c>
      <c r="B1883" s="9" t="s">
        <v>319</v>
      </c>
      <c r="C1883" s="25" t="s">
        <v>93</v>
      </c>
      <c r="D1883" s="19">
        <v>107.52</v>
      </c>
      <c r="E1883" s="19">
        <v>107.8</v>
      </c>
      <c r="F1883" s="19">
        <v>105.46</v>
      </c>
      <c r="G1883" s="19">
        <v>105.86</v>
      </c>
      <c r="H1883" s="19">
        <v>105.86</v>
      </c>
      <c r="I1883" s="15">
        <v>3761577</v>
      </c>
      <c r="J1883" s="19">
        <f t="shared" si="142"/>
        <v>-1.5438988095238064</v>
      </c>
      <c r="K1883" s="19">
        <f t="shared" si="143"/>
        <v>112.1815</v>
      </c>
      <c r="L1883" s="19"/>
      <c r="M1883" s="19">
        <f>MAX(G1836:G1883)</f>
        <v>115.57</v>
      </c>
      <c r="N1883" s="19">
        <f t="shared" si="144"/>
        <v>-8.4018343860863496</v>
      </c>
      <c r="O1883" s="9" t="str">
        <f t="shared" si="145"/>
        <v>2024-03</v>
      </c>
    </row>
    <row r="1884" spans="1:15" x14ac:dyDescent="0.25">
      <c r="A1884" s="9" t="s">
        <v>318</v>
      </c>
      <c r="B1884" s="9" t="s">
        <v>319</v>
      </c>
      <c r="C1884" s="25" t="s">
        <v>94</v>
      </c>
      <c r="D1884" s="19">
        <v>105.86</v>
      </c>
      <c r="E1884" s="19">
        <v>106.75</v>
      </c>
      <c r="F1884" s="19">
        <v>105.79</v>
      </c>
      <c r="G1884" s="19">
        <v>106.21</v>
      </c>
      <c r="H1884" s="19">
        <v>106.21</v>
      </c>
      <c r="I1884" s="15">
        <v>3476509</v>
      </c>
      <c r="J1884" s="19">
        <f t="shared" si="142"/>
        <v>0.33062535424144562</v>
      </c>
      <c r="K1884" s="19">
        <f t="shared" si="143"/>
        <v>111.7805</v>
      </c>
      <c r="L1884" s="19"/>
      <c r="M1884" s="19">
        <f>MAX(G1836:G1884)</f>
        <v>115.57</v>
      </c>
      <c r="N1884" s="19">
        <f t="shared" si="144"/>
        <v>-8.0989876265466823</v>
      </c>
      <c r="O1884" s="9" t="str">
        <f t="shared" si="145"/>
        <v>2024-03</v>
      </c>
    </row>
    <row r="1885" spans="1:15" x14ac:dyDescent="0.25">
      <c r="A1885" s="9" t="s">
        <v>318</v>
      </c>
      <c r="B1885" s="9" t="s">
        <v>319</v>
      </c>
      <c r="C1885" s="25" t="s">
        <v>95</v>
      </c>
      <c r="D1885" s="19">
        <v>106.21</v>
      </c>
      <c r="E1885" s="19">
        <v>107.03</v>
      </c>
      <c r="F1885" s="19">
        <v>106.06</v>
      </c>
      <c r="G1885" s="19">
        <v>106.39</v>
      </c>
      <c r="H1885" s="19">
        <v>106.39</v>
      </c>
      <c r="I1885" s="15">
        <v>4268648</v>
      </c>
      <c r="J1885" s="19">
        <f t="shared" si="142"/>
        <v>0.16947556727239133</v>
      </c>
      <c r="K1885" s="19">
        <f t="shared" si="143"/>
        <v>111.32149999999997</v>
      </c>
      <c r="L1885" s="19">
        <f t="shared" ref="L1885:L1948" si="146">AVERAGE(G1836:G1885)</f>
        <v>110.1986</v>
      </c>
      <c r="M1885" s="19">
        <f>MAX(G1836:G1885)</f>
        <v>115.57</v>
      </c>
      <c r="N1885" s="19">
        <f t="shared" si="144"/>
        <v>-7.9432378644977018</v>
      </c>
      <c r="O1885" s="9" t="str">
        <f t="shared" si="145"/>
        <v>2024-03</v>
      </c>
    </row>
    <row r="1886" spans="1:15" x14ac:dyDescent="0.25">
      <c r="A1886" s="9" t="s">
        <v>318</v>
      </c>
      <c r="B1886" s="9" t="s">
        <v>319</v>
      </c>
      <c r="C1886" s="25" t="s">
        <v>96</v>
      </c>
      <c r="D1886" s="19">
        <v>106.39</v>
      </c>
      <c r="E1886" s="19">
        <v>107.53</v>
      </c>
      <c r="F1886" s="19">
        <v>105.93</v>
      </c>
      <c r="G1886" s="19">
        <v>106.81</v>
      </c>
      <c r="H1886" s="19">
        <v>106.81</v>
      </c>
      <c r="I1886" s="15">
        <v>3613704</v>
      </c>
      <c r="J1886" s="19">
        <f t="shared" si="142"/>
        <v>0.39477394491963691</v>
      </c>
      <c r="K1886" s="19">
        <f t="shared" si="143"/>
        <v>110.98899999999999</v>
      </c>
      <c r="L1886" s="19">
        <f t="shared" si="146"/>
        <v>110.3176</v>
      </c>
      <c r="M1886" s="19">
        <f>MAX(G1836:G1886)</f>
        <v>115.57</v>
      </c>
      <c r="N1886" s="19">
        <f t="shared" si="144"/>
        <v>-7.5798217530500924</v>
      </c>
      <c r="O1886" s="9" t="str">
        <f t="shared" si="145"/>
        <v>2024-03</v>
      </c>
    </row>
    <row r="1887" spans="1:15" x14ac:dyDescent="0.25">
      <c r="A1887" s="9" t="s">
        <v>318</v>
      </c>
      <c r="B1887" s="9" t="s">
        <v>319</v>
      </c>
      <c r="C1887" s="25" t="s">
        <v>97</v>
      </c>
      <c r="D1887" s="19">
        <v>106.81</v>
      </c>
      <c r="E1887" s="19">
        <v>106.85</v>
      </c>
      <c r="F1887" s="19">
        <v>106.14</v>
      </c>
      <c r="G1887" s="19">
        <v>106.34</v>
      </c>
      <c r="H1887" s="19">
        <v>106.34</v>
      </c>
      <c r="I1887" s="15">
        <v>4493737</v>
      </c>
      <c r="J1887" s="19">
        <f t="shared" si="142"/>
        <v>-0.44003370470929576</v>
      </c>
      <c r="K1887" s="19">
        <f t="shared" si="143"/>
        <v>110.61949999999999</v>
      </c>
      <c r="L1887" s="19">
        <f t="shared" si="146"/>
        <v>110.37360000000001</v>
      </c>
      <c r="M1887" s="19">
        <f>MAX(G1836:G1887)</f>
        <v>115.57</v>
      </c>
      <c r="N1887" s="19">
        <f t="shared" si="144"/>
        <v>-7.9865016872890795</v>
      </c>
      <c r="O1887" s="9" t="str">
        <f t="shared" si="145"/>
        <v>2024-03</v>
      </c>
    </row>
    <row r="1888" spans="1:15" x14ac:dyDescent="0.25">
      <c r="A1888" s="9" t="s">
        <v>318</v>
      </c>
      <c r="B1888" s="9" t="s">
        <v>319</v>
      </c>
      <c r="C1888" s="25" t="s">
        <v>98</v>
      </c>
      <c r="D1888" s="19">
        <v>106.34</v>
      </c>
      <c r="E1888" s="19">
        <v>106.41</v>
      </c>
      <c r="F1888" s="19">
        <v>103.5</v>
      </c>
      <c r="G1888" s="19">
        <v>103.88</v>
      </c>
      <c r="H1888" s="19">
        <v>103.88</v>
      </c>
      <c r="I1888" s="15">
        <v>2633817</v>
      </c>
      <c r="J1888" s="19">
        <f t="shared" si="142"/>
        <v>-2.3133345871732254</v>
      </c>
      <c r="K1888" s="19">
        <f t="shared" si="143"/>
        <v>110.07300000000001</v>
      </c>
      <c r="L1888" s="19">
        <f t="shared" si="146"/>
        <v>110.3134</v>
      </c>
      <c r="M1888" s="19">
        <f>MAX(G1836:G1888)</f>
        <v>115.57</v>
      </c>
      <c r="N1888" s="19">
        <f t="shared" si="144"/>
        <v>-10.115081768625075</v>
      </c>
      <c r="O1888" s="9" t="str">
        <f t="shared" si="145"/>
        <v>2024-03</v>
      </c>
    </row>
    <row r="1889" spans="1:15" x14ac:dyDescent="0.25">
      <c r="A1889" s="9" t="s">
        <v>318</v>
      </c>
      <c r="B1889" s="9" t="s">
        <v>319</v>
      </c>
      <c r="C1889" s="25" t="s">
        <v>99</v>
      </c>
      <c r="D1889" s="19">
        <v>103.88</v>
      </c>
      <c r="E1889" s="19">
        <v>104.38</v>
      </c>
      <c r="F1889" s="19">
        <v>103.09</v>
      </c>
      <c r="G1889" s="19">
        <v>103.75</v>
      </c>
      <c r="H1889" s="19">
        <v>103.75</v>
      </c>
      <c r="I1889" s="15">
        <v>3065058</v>
      </c>
      <c r="J1889" s="19">
        <f t="shared" si="142"/>
        <v>-0.12514439738158978</v>
      </c>
      <c r="K1889" s="19">
        <f t="shared" si="143"/>
        <v>109.59999999999998</v>
      </c>
      <c r="L1889" s="19">
        <f t="shared" si="146"/>
        <v>110.2316</v>
      </c>
      <c r="M1889" s="19">
        <f>MAX(G1836:G1889)</f>
        <v>115.57</v>
      </c>
      <c r="N1889" s="19">
        <f t="shared" si="144"/>
        <v>-10.227567707882663</v>
      </c>
      <c r="O1889" s="9" t="str">
        <f t="shared" si="145"/>
        <v>2024-03</v>
      </c>
    </row>
    <row r="1890" spans="1:15" x14ac:dyDescent="0.25">
      <c r="A1890" s="9" t="s">
        <v>318</v>
      </c>
      <c r="B1890" s="9" t="s">
        <v>319</v>
      </c>
      <c r="C1890" s="25" t="s">
        <v>100</v>
      </c>
      <c r="D1890" s="19">
        <v>103.75</v>
      </c>
      <c r="E1890" s="19">
        <v>103.91</v>
      </c>
      <c r="F1890" s="19">
        <v>101.66</v>
      </c>
      <c r="G1890" s="19">
        <v>101.93</v>
      </c>
      <c r="H1890" s="19">
        <v>101.93</v>
      </c>
      <c r="I1890" s="15">
        <v>2814203</v>
      </c>
      <c r="J1890" s="19">
        <f t="shared" si="142"/>
        <v>-1.7542168674698728</v>
      </c>
      <c r="K1890" s="19">
        <f t="shared" si="143"/>
        <v>109.08750000000001</v>
      </c>
      <c r="L1890" s="19">
        <f t="shared" si="146"/>
        <v>110.0842</v>
      </c>
      <c r="M1890" s="19">
        <f>MAX(G1836:G1890)</f>
        <v>115.57</v>
      </c>
      <c r="N1890" s="19">
        <f t="shared" si="144"/>
        <v>-11.802370857488958</v>
      </c>
      <c r="O1890" s="9" t="str">
        <f t="shared" si="145"/>
        <v>2024-03</v>
      </c>
    </row>
    <row r="1891" spans="1:15" x14ac:dyDescent="0.25">
      <c r="A1891" s="9" t="s">
        <v>318</v>
      </c>
      <c r="B1891" s="9" t="s">
        <v>319</v>
      </c>
      <c r="C1891" s="25" t="s">
        <v>101</v>
      </c>
      <c r="D1891" s="19">
        <v>101.93</v>
      </c>
      <c r="E1891" s="19">
        <v>102.07</v>
      </c>
      <c r="F1891" s="19">
        <v>98.99</v>
      </c>
      <c r="G1891" s="19">
        <v>99.14</v>
      </c>
      <c r="H1891" s="19">
        <v>99.14</v>
      </c>
      <c r="I1891" s="15">
        <v>4562499</v>
      </c>
      <c r="J1891" s="19">
        <f t="shared" si="142"/>
        <v>-2.7371725694103857</v>
      </c>
      <c r="K1891" s="19">
        <f t="shared" si="143"/>
        <v>108.49049999999997</v>
      </c>
      <c r="L1891" s="19">
        <f t="shared" si="146"/>
        <v>109.85080000000002</v>
      </c>
      <c r="M1891" s="19">
        <f>MAX(G1836:G1891)</f>
        <v>115.57</v>
      </c>
      <c r="N1891" s="19">
        <f t="shared" si="144"/>
        <v>-14.216492169248069</v>
      </c>
      <c r="O1891" s="9" t="str">
        <f t="shared" si="145"/>
        <v>2024-03</v>
      </c>
    </row>
    <row r="1892" spans="1:15" x14ac:dyDescent="0.25">
      <c r="A1892" s="9" t="s">
        <v>318</v>
      </c>
      <c r="B1892" s="9" t="s">
        <v>319</v>
      </c>
      <c r="C1892" s="25" t="s">
        <v>102</v>
      </c>
      <c r="D1892" s="19">
        <v>99.14</v>
      </c>
      <c r="E1892" s="19">
        <v>99.3</v>
      </c>
      <c r="F1892" s="19">
        <v>98.78</v>
      </c>
      <c r="G1892" s="19">
        <v>98.93</v>
      </c>
      <c r="H1892" s="19">
        <v>98.93</v>
      </c>
      <c r="I1892" s="15">
        <v>4524677</v>
      </c>
      <c r="J1892" s="19">
        <f t="shared" si="142"/>
        <v>-0.2118216663304355</v>
      </c>
      <c r="K1892" s="19">
        <f t="shared" si="143"/>
        <v>107.8415</v>
      </c>
      <c r="L1892" s="19">
        <f t="shared" si="146"/>
        <v>109.60020000000003</v>
      </c>
      <c r="M1892" s="19">
        <f>MAX(G1836:G1892)</f>
        <v>115.57</v>
      </c>
      <c r="N1892" s="19">
        <f t="shared" si="144"/>
        <v>-14.39820022497187</v>
      </c>
      <c r="O1892" s="9" t="str">
        <f t="shared" si="145"/>
        <v>2024-03</v>
      </c>
    </row>
    <row r="1893" spans="1:15" x14ac:dyDescent="0.25">
      <c r="A1893" s="9" t="s">
        <v>318</v>
      </c>
      <c r="B1893" s="9" t="s">
        <v>319</v>
      </c>
      <c r="C1893" s="25" t="s">
        <v>103</v>
      </c>
      <c r="D1893" s="19">
        <v>98.93</v>
      </c>
      <c r="E1893" s="19">
        <v>99.29</v>
      </c>
      <c r="F1893" s="19">
        <v>95.42</v>
      </c>
      <c r="G1893" s="19">
        <v>96.41</v>
      </c>
      <c r="H1893" s="19">
        <v>96.41</v>
      </c>
      <c r="I1893" s="15">
        <v>4169728</v>
      </c>
      <c r="J1893" s="19">
        <f t="shared" si="142"/>
        <v>-2.5472556352976952</v>
      </c>
      <c r="K1893" s="19">
        <f t="shared" si="143"/>
        <v>106.96950000000001</v>
      </c>
      <c r="L1893" s="19">
        <f t="shared" si="146"/>
        <v>109.2938</v>
      </c>
      <c r="M1893" s="19">
        <f>MAX(G1836:G1893)</f>
        <v>115.57</v>
      </c>
      <c r="N1893" s="19">
        <f t="shared" si="144"/>
        <v>-16.578696893657522</v>
      </c>
      <c r="O1893" s="9" t="str">
        <f t="shared" si="145"/>
        <v>2024-03</v>
      </c>
    </row>
    <row r="1894" spans="1:15" x14ac:dyDescent="0.25">
      <c r="A1894" s="9" t="s">
        <v>318</v>
      </c>
      <c r="B1894" s="9" t="s">
        <v>319</v>
      </c>
      <c r="C1894" s="25" t="s">
        <v>104</v>
      </c>
      <c r="D1894" s="19">
        <v>96.41</v>
      </c>
      <c r="E1894" s="19">
        <v>99.23</v>
      </c>
      <c r="F1894" s="19">
        <v>96.17</v>
      </c>
      <c r="G1894" s="19">
        <v>98.64</v>
      </c>
      <c r="H1894" s="19">
        <v>98.64</v>
      </c>
      <c r="I1894" s="15">
        <v>529800</v>
      </c>
      <c r="J1894" s="19">
        <f t="shared" si="142"/>
        <v>2.313038066590607</v>
      </c>
      <c r="K1894" s="19">
        <f t="shared" si="143"/>
        <v>106.19449999999999</v>
      </c>
      <c r="L1894" s="19">
        <f t="shared" si="146"/>
        <v>109.08580000000003</v>
      </c>
      <c r="M1894" s="19">
        <f>MAX(G1836:G1894)</f>
        <v>115.57</v>
      </c>
      <c r="N1894" s="19">
        <f t="shared" si="144"/>
        <v>-14.649130397161889</v>
      </c>
      <c r="O1894" s="9" t="str">
        <f t="shared" si="145"/>
        <v>2024-03</v>
      </c>
    </row>
    <row r="1895" spans="1:15" x14ac:dyDescent="0.25">
      <c r="A1895" s="9" t="s">
        <v>318</v>
      </c>
      <c r="B1895" s="9" t="s">
        <v>319</v>
      </c>
      <c r="C1895" s="25" t="s">
        <v>105</v>
      </c>
      <c r="D1895" s="19">
        <v>98.64</v>
      </c>
      <c r="E1895" s="19">
        <v>102.34</v>
      </c>
      <c r="F1895" s="19">
        <v>98.38</v>
      </c>
      <c r="G1895" s="19">
        <v>101.9</v>
      </c>
      <c r="H1895" s="19">
        <v>101.9</v>
      </c>
      <c r="I1895" s="15">
        <v>4241852</v>
      </c>
      <c r="J1895" s="19">
        <f t="shared" si="142"/>
        <v>3.3049472830494779</v>
      </c>
      <c r="K1895" s="19">
        <f t="shared" si="143"/>
        <v>105.68050000000001</v>
      </c>
      <c r="L1895" s="19">
        <f t="shared" si="146"/>
        <v>108.99580000000002</v>
      </c>
      <c r="M1895" s="19">
        <f>MAX(G1836:G1895)</f>
        <v>115.57</v>
      </c>
      <c r="N1895" s="19">
        <f t="shared" si="144"/>
        <v>-11.828329151163787</v>
      </c>
      <c r="O1895" s="9" t="str">
        <f t="shared" si="145"/>
        <v>2024-03</v>
      </c>
    </row>
    <row r="1896" spans="1:15" x14ac:dyDescent="0.25">
      <c r="A1896" s="9" t="s">
        <v>318</v>
      </c>
      <c r="B1896" s="9" t="s">
        <v>319</v>
      </c>
      <c r="C1896" s="25" t="s">
        <v>106</v>
      </c>
      <c r="D1896" s="19">
        <v>101.9</v>
      </c>
      <c r="E1896" s="19">
        <v>102.34</v>
      </c>
      <c r="F1896" s="19">
        <v>100.3</v>
      </c>
      <c r="G1896" s="19">
        <v>100.6</v>
      </c>
      <c r="H1896" s="19">
        <v>100.6</v>
      </c>
      <c r="I1896" s="15">
        <v>3226861</v>
      </c>
      <c r="J1896" s="19">
        <f t="shared" si="142"/>
        <v>-1.2757605495584017</v>
      </c>
      <c r="K1896" s="19">
        <f t="shared" si="143"/>
        <v>105.03350000000003</v>
      </c>
      <c r="L1896" s="19">
        <f t="shared" si="146"/>
        <v>108.81160000000004</v>
      </c>
      <c r="M1896" s="19">
        <f>MAX(G1836:G1896)</f>
        <v>115.57</v>
      </c>
      <c r="N1896" s="19">
        <f t="shared" si="144"/>
        <v>-12.953188543739724</v>
      </c>
      <c r="O1896" s="9" t="str">
        <f t="shared" si="145"/>
        <v>2024-03</v>
      </c>
    </row>
    <row r="1897" spans="1:15" x14ac:dyDescent="0.25">
      <c r="A1897" s="9" t="s">
        <v>318</v>
      </c>
      <c r="B1897" s="9" t="s">
        <v>319</v>
      </c>
      <c r="C1897" s="25" t="s">
        <v>107</v>
      </c>
      <c r="D1897" s="19">
        <v>100.6</v>
      </c>
      <c r="E1897" s="19">
        <v>100.75</v>
      </c>
      <c r="F1897" s="19">
        <v>100.13</v>
      </c>
      <c r="G1897" s="19">
        <v>100.39</v>
      </c>
      <c r="H1897" s="19">
        <v>100.39</v>
      </c>
      <c r="I1897" s="15">
        <v>2417123</v>
      </c>
      <c r="J1897" s="19">
        <f t="shared" si="142"/>
        <v>-0.20874751491053059</v>
      </c>
      <c r="K1897" s="19">
        <f t="shared" si="143"/>
        <v>104.35900000000001</v>
      </c>
      <c r="L1897" s="19">
        <f t="shared" si="146"/>
        <v>108.63860000000003</v>
      </c>
      <c r="M1897" s="19">
        <f>MAX(G1836:G1897)</f>
        <v>115.57</v>
      </c>
      <c r="N1897" s="19">
        <f t="shared" si="144"/>
        <v>-13.134896599463522</v>
      </c>
      <c r="O1897" s="9" t="str">
        <f t="shared" si="145"/>
        <v>2024-03</v>
      </c>
    </row>
    <row r="1898" spans="1:15" x14ac:dyDescent="0.25">
      <c r="A1898" s="9" t="s">
        <v>318</v>
      </c>
      <c r="B1898" s="9" t="s">
        <v>319</v>
      </c>
      <c r="C1898" s="25" t="s">
        <v>108</v>
      </c>
      <c r="D1898" s="19">
        <v>100.39</v>
      </c>
      <c r="E1898" s="19">
        <v>102.25</v>
      </c>
      <c r="F1898" s="19">
        <v>99.57</v>
      </c>
      <c r="G1898" s="19">
        <v>102.09</v>
      </c>
      <c r="H1898" s="19">
        <v>102.09</v>
      </c>
      <c r="I1898" s="15">
        <v>4685497</v>
      </c>
      <c r="J1898" s="19">
        <f t="shared" si="142"/>
        <v>1.69339575654946</v>
      </c>
      <c r="K1898" s="19">
        <f t="shared" si="143"/>
        <v>103.95300000000002</v>
      </c>
      <c r="L1898" s="19">
        <f t="shared" si="146"/>
        <v>108.54700000000003</v>
      </c>
      <c r="M1898" s="19">
        <f>MAX(G1836:G1898)</f>
        <v>115.57</v>
      </c>
      <c r="N1898" s="19">
        <f t="shared" si="144"/>
        <v>-11.663926624556538</v>
      </c>
      <c r="O1898" s="9" t="str">
        <f t="shared" si="145"/>
        <v>2024-03</v>
      </c>
    </row>
    <row r="1899" spans="1:15" x14ac:dyDescent="0.25">
      <c r="A1899" s="9" t="s">
        <v>318</v>
      </c>
      <c r="B1899" s="9" t="s">
        <v>319</v>
      </c>
      <c r="C1899" s="25" t="s">
        <v>109</v>
      </c>
      <c r="D1899" s="19">
        <v>102.09</v>
      </c>
      <c r="E1899" s="19">
        <v>103.88</v>
      </c>
      <c r="F1899" s="19">
        <v>101.94</v>
      </c>
      <c r="G1899" s="19">
        <v>103.23</v>
      </c>
      <c r="H1899" s="19">
        <v>103.23</v>
      </c>
      <c r="I1899" s="15">
        <v>3349229</v>
      </c>
      <c r="J1899" s="19">
        <f t="shared" si="142"/>
        <v>1.1166617690273293</v>
      </c>
      <c r="K1899" s="19">
        <f t="shared" si="143"/>
        <v>103.64200000000001</v>
      </c>
      <c r="L1899" s="19">
        <f t="shared" si="146"/>
        <v>108.50040000000003</v>
      </c>
      <c r="M1899" s="19">
        <f>MAX(G1836:G1899)</f>
        <v>115.57</v>
      </c>
      <c r="N1899" s="19">
        <f t="shared" si="144"/>
        <v>-10.677511464913032</v>
      </c>
      <c r="O1899" s="9" t="str">
        <f t="shared" si="145"/>
        <v>2024-03</v>
      </c>
    </row>
    <row r="1900" spans="1:15" x14ac:dyDescent="0.25">
      <c r="A1900" s="9" t="s">
        <v>318</v>
      </c>
      <c r="B1900" s="9" t="s">
        <v>319</v>
      </c>
      <c r="C1900" s="25" t="s">
        <v>110</v>
      </c>
      <c r="D1900" s="19">
        <v>103.23</v>
      </c>
      <c r="E1900" s="19">
        <v>104.09</v>
      </c>
      <c r="F1900" s="19">
        <v>102.87</v>
      </c>
      <c r="G1900" s="19">
        <v>104</v>
      </c>
      <c r="H1900" s="19">
        <v>104</v>
      </c>
      <c r="I1900" s="15">
        <v>2291715</v>
      </c>
      <c r="J1900" s="19">
        <f t="shared" si="142"/>
        <v>0.74590719752009693</v>
      </c>
      <c r="K1900" s="19">
        <f t="shared" si="143"/>
        <v>103.24800000000002</v>
      </c>
      <c r="L1900" s="19">
        <f t="shared" si="146"/>
        <v>108.3986</v>
      </c>
      <c r="M1900" s="19">
        <f>MAX(G1836:G1900)</f>
        <v>115.57</v>
      </c>
      <c r="N1900" s="19">
        <f t="shared" si="144"/>
        <v>-10.011248593925753</v>
      </c>
      <c r="O1900" s="9" t="str">
        <f t="shared" si="145"/>
        <v>2024-03</v>
      </c>
    </row>
    <row r="1901" spans="1:15" x14ac:dyDescent="0.25">
      <c r="A1901" s="9" t="s">
        <v>318</v>
      </c>
      <c r="B1901" s="9" t="s">
        <v>319</v>
      </c>
      <c r="C1901" s="25" t="s">
        <v>111</v>
      </c>
      <c r="D1901" s="19">
        <v>104</v>
      </c>
      <c r="E1901" s="19">
        <v>104.14</v>
      </c>
      <c r="F1901" s="19">
        <v>102.53</v>
      </c>
      <c r="G1901" s="19">
        <v>102.62</v>
      </c>
      <c r="H1901" s="19">
        <v>102.62</v>
      </c>
      <c r="I1901" s="15">
        <v>5267420</v>
      </c>
      <c r="J1901" s="19">
        <f t="shared" ref="J1901:J1964" si="147">IFERROR((G1901-G1900)/G1900*100,"")</f>
        <v>-1.3269230769230727</v>
      </c>
      <c r="K1901" s="19">
        <f t="shared" si="143"/>
        <v>102.83200000000002</v>
      </c>
      <c r="L1901" s="19">
        <f t="shared" si="146"/>
        <v>108.336</v>
      </c>
      <c r="M1901" s="19">
        <f>MAX(G1836:G1901)</f>
        <v>115.57</v>
      </c>
      <c r="N1901" s="19">
        <f t="shared" si="144"/>
        <v>-11.205330102967888</v>
      </c>
      <c r="O1901" s="9" t="str">
        <f t="shared" si="145"/>
        <v>2024-04</v>
      </c>
    </row>
    <row r="1902" spans="1:15" x14ac:dyDescent="0.25">
      <c r="A1902" s="9" t="s">
        <v>318</v>
      </c>
      <c r="B1902" s="9" t="s">
        <v>319</v>
      </c>
      <c r="C1902" s="25" t="s">
        <v>112</v>
      </c>
      <c r="D1902" s="19">
        <v>102.62</v>
      </c>
      <c r="E1902" s="19">
        <v>104.82</v>
      </c>
      <c r="F1902" s="19">
        <v>102.36</v>
      </c>
      <c r="G1902" s="19">
        <v>104.57</v>
      </c>
      <c r="H1902" s="19">
        <v>104.57</v>
      </c>
      <c r="I1902" s="15">
        <v>2051759</v>
      </c>
      <c r="J1902" s="19">
        <f t="shared" si="147"/>
        <v>1.900214383161166</v>
      </c>
      <c r="K1902" s="19">
        <f t="shared" si="143"/>
        <v>102.68450000000003</v>
      </c>
      <c r="L1902" s="19">
        <f t="shared" si="146"/>
        <v>108.2938</v>
      </c>
      <c r="M1902" s="19">
        <f>MAX(G1836:G1902)</f>
        <v>115.57</v>
      </c>
      <c r="N1902" s="19">
        <f t="shared" si="144"/>
        <v>-9.518041014104007</v>
      </c>
      <c r="O1902" s="9" t="str">
        <f t="shared" si="145"/>
        <v>2024-04</v>
      </c>
    </row>
    <row r="1903" spans="1:15" x14ac:dyDescent="0.25">
      <c r="A1903" s="9" t="s">
        <v>318</v>
      </c>
      <c r="B1903" s="9" t="s">
        <v>319</v>
      </c>
      <c r="C1903" s="25" t="s">
        <v>113</v>
      </c>
      <c r="D1903" s="19">
        <v>104.57</v>
      </c>
      <c r="E1903" s="19">
        <v>104.83</v>
      </c>
      <c r="F1903" s="19">
        <v>104.55</v>
      </c>
      <c r="G1903" s="19">
        <v>104.8</v>
      </c>
      <c r="H1903" s="19">
        <v>104.8</v>
      </c>
      <c r="I1903" s="15">
        <v>5728702</v>
      </c>
      <c r="J1903" s="19">
        <f t="shared" si="147"/>
        <v>0.21994835995027637</v>
      </c>
      <c r="K1903" s="19">
        <f t="shared" si="143"/>
        <v>102.6315</v>
      </c>
      <c r="L1903" s="19">
        <f t="shared" si="146"/>
        <v>108.23540000000001</v>
      </c>
      <c r="M1903" s="19">
        <f>MAX(G1836:G1903)</f>
        <v>115.57</v>
      </c>
      <c r="N1903" s="19">
        <f t="shared" si="144"/>
        <v>-9.319027429263647</v>
      </c>
      <c r="O1903" s="9" t="str">
        <f t="shared" si="145"/>
        <v>2024-04</v>
      </c>
    </row>
    <row r="1904" spans="1:15" x14ac:dyDescent="0.25">
      <c r="A1904" s="9" t="s">
        <v>318</v>
      </c>
      <c r="B1904" s="9" t="s">
        <v>319</v>
      </c>
      <c r="C1904" s="25" t="s">
        <v>114</v>
      </c>
      <c r="D1904" s="19">
        <v>104.8</v>
      </c>
      <c r="E1904" s="19">
        <v>105.26</v>
      </c>
      <c r="F1904" s="19">
        <v>103.31</v>
      </c>
      <c r="G1904" s="19">
        <v>103.36</v>
      </c>
      <c r="H1904" s="19">
        <v>103.36</v>
      </c>
      <c r="I1904" s="15">
        <v>5379111</v>
      </c>
      <c r="J1904" s="19">
        <f t="shared" si="147"/>
        <v>-1.3740458015267154</v>
      </c>
      <c r="K1904" s="19">
        <f t="shared" si="143"/>
        <v>102.48899999999999</v>
      </c>
      <c r="L1904" s="19">
        <f t="shared" si="146"/>
        <v>108.09859999999999</v>
      </c>
      <c r="M1904" s="19">
        <f>MAX(G1836:G1904)</f>
        <v>115.57</v>
      </c>
      <c r="N1904" s="19">
        <f t="shared" si="144"/>
        <v>-10.565025525655441</v>
      </c>
      <c r="O1904" s="9" t="str">
        <f t="shared" si="145"/>
        <v>2024-04</v>
      </c>
    </row>
    <row r="1905" spans="1:15" x14ac:dyDescent="0.25">
      <c r="A1905" s="9" t="s">
        <v>318</v>
      </c>
      <c r="B1905" s="9" t="s">
        <v>319</v>
      </c>
      <c r="C1905" s="25" t="s">
        <v>115</v>
      </c>
      <c r="D1905" s="19">
        <v>103.36</v>
      </c>
      <c r="E1905" s="19">
        <v>105.25</v>
      </c>
      <c r="F1905" s="19">
        <v>103.07</v>
      </c>
      <c r="G1905" s="19">
        <v>104.35</v>
      </c>
      <c r="H1905" s="19">
        <v>104.35</v>
      </c>
      <c r="I1905" s="15">
        <v>3893000</v>
      </c>
      <c r="J1905" s="19">
        <f t="shared" si="147"/>
        <v>0.95781733746129538</v>
      </c>
      <c r="K1905" s="19">
        <f t="shared" si="143"/>
        <v>102.38699999999997</v>
      </c>
      <c r="L1905" s="19">
        <f t="shared" si="146"/>
        <v>108.02379999999999</v>
      </c>
      <c r="M1905" s="19">
        <f>MAX(G1836:G1905)</f>
        <v>115.57</v>
      </c>
      <c r="N1905" s="19">
        <f t="shared" si="144"/>
        <v>-9.7084018343860858</v>
      </c>
      <c r="O1905" s="9" t="str">
        <f t="shared" si="145"/>
        <v>2024-04</v>
      </c>
    </row>
    <row r="1906" spans="1:15" x14ac:dyDescent="0.25">
      <c r="A1906" s="9" t="s">
        <v>318</v>
      </c>
      <c r="B1906" s="9" t="s">
        <v>319</v>
      </c>
      <c r="C1906" s="25" t="s">
        <v>116</v>
      </c>
      <c r="D1906" s="19">
        <v>104.35</v>
      </c>
      <c r="E1906" s="19">
        <v>105.13</v>
      </c>
      <c r="F1906" s="19">
        <v>103.65</v>
      </c>
      <c r="G1906" s="19">
        <v>103.98</v>
      </c>
      <c r="H1906" s="19">
        <v>103.98</v>
      </c>
      <c r="I1906" s="15">
        <v>4493675</v>
      </c>
      <c r="J1906" s="19">
        <f t="shared" si="147"/>
        <v>-0.35457594633444212</v>
      </c>
      <c r="K1906" s="19">
        <f t="shared" si="143"/>
        <v>102.24549999999998</v>
      </c>
      <c r="L1906" s="19">
        <f t="shared" si="146"/>
        <v>107.944</v>
      </c>
      <c r="M1906" s="19">
        <f>MAX(G1836:G1906)</f>
        <v>115.57</v>
      </c>
      <c r="N1906" s="19">
        <f t="shared" si="144"/>
        <v>-10.028554123042303</v>
      </c>
      <c r="O1906" s="9" t="str">
        <f t="shared" si="145"/>
        <v>2024-04</v>
      </c>
    </row>
    <row r="1907" spans="1:15" x14ac:dyDescent="0.25">
      <c r="A1907" s="9" t="s">
        <v>318</v>
      </c>
      <c r="B1907" s="9" t="s">
        <v>319</v>
      </c>
      <c r="C1907" s="25" t="s">
        <v>117</v>
      </c>
      <c r="D1907" s="19">
        <v>103.98</v>
      </c>
      <c r="E1907" s="19">
        <v>105.26</v>
      </c>
      <c r="F1907" s="19">
        <v>103.75</v>
      </c>
      <c r="G1907" s="19">
        <v>105.1</v>
      </c>
      <c r="H1907" s="19">
        <v>105.1</v>
      </c>
      <c r="I1907" s="15">
        <v>5117609</v>
      </c>
      <c r="J1907" s="19">
        <f t="shared" si="147"/>
        <v>1.0771302173494808</v>
      </c>
      <c r="K1907" s="19">
        <f t="shared" si="143"/>
        <v>102.18349999999997</v>
      </c>
      <c r="L1907" s="19">
        <f t="shared" si="146"/>
        <v>107.84119999999999</v>
      </c>
      <c r="M1907" s="19">
        <f>MAX(G1836:G1907)</f>
        <v>115.57</v>
      </c>
      <c r="N1907" s="19">
        <f t="shared" si="144"/>
        <v>-9.0594444925153592</v>
      </c>
      <c r="O1907" s="9" t="str">
        <f t="shared" si="145"/>
        <v>2024-04</v>
      </c>
    </row>
    <row r="1908" spans="1:15" x14ac:dyDescent="0.25">
      <c r="A1908" s="9" t="s">
        <v>318</v>
      </c>
      <c r="B1908" s="9" t="s">
        <v>319</v>
      </c>
      <c r="C1908" s="25" t="s">
        <v>118</v>
      </c>
      <c r="D1908" s="19">
        <v>105.1</v>
      </c>
      <c r="E1908" s="19">
        <v>106.32</v>
      </c>
      <c r="F1908" s="19">
        <v>104.6</v>
      </c>
      <c r="G1908" s="19">
        <v>105.25</v>
      </c>
      <c r="H1908" s="19">
        <v>105.25</v>
      </c>
      <c r="I1908" s="15">
        <v>5878447</v>
      </c>
      <c r="J1908" s="19">
        <f t="shared" si="147"/>
        <v>0.1427212178877314</v>
      </c>
      <c r="K1908" s="19">
        <f t="shared" si="143"/>
        <v>102.25199999999998</v>
      </c>
      <c r="L1908" s="19">
        <f t="shared" si="146"/>
        <v>107.68340000000001</v>
      </c>
      <c r="M1908" s="19">
        <f>MAX(G1836:G1908)</f>
        <v>115.57</v>
      </c>
      <c r="N1908" s="19">
        <f t="shared" si="144"/>
        <v>-8.9296530241412082</v>
      </c>
      <c r="O1908" s="9" t="str">
        <f t="shared" si="145"/>
        <v>2024-04</v>
      </c>
    </row>
    <row r="1909" spans="1:15" x14ac:dyDescent="0.25">
      <c r="A1909" s="9" t="s">
        <v>318</v>
      </c>
      <c r="B1909" s="9" t="s">
        <v>319</v>
      </c>
      <c r="C1909" s="25" t="s">
        <v>119</v>
      </c>
      <c r="D1909" s="19">
        <v>105.25</v>
      </c>
      <c r="E1909" s="19">
        <v>105.92</v>
      </c>
      <c r="F1909" s="19">
        <v>104.77</v>
      </c>
      <c r="G1909" s="19">
        <v>105.37</v>
      </c>
      <c r="H1909" s="19">
        <v>105.37</v>
      </c>
      <c r="I1909" s="15">
        <v>3469414</v>
      </c>
      <c r="J1909" s="19">
        <f t="shared" si="147"/>
        <v>0.11401425178147701</v>
      </c>
      <c r="K1909" s="19">
        <f t="shared" si="143"/>
        <v>102.333</v>
      </c>
      <c r="L1909" s="19">
        <f t="shared" si="146"/>
        <v>107.58079999999998</v>
      </c>
      <c r="M1909" s="19">
        <f>MAX(G1836:G1909)</f>
        <v>115.57</v>
      </c>
      <c r="N1909" s="19">
        <f t="shared" si="144"/>
        <v>-8.8258198494418885</v>
      </c>
      <c r="O1909" s="9" t="str">
        <f t="shared" si="145"/>
        <v>2024-04</v>
      </c>
    </row>
    <row r="1910" spans="1:15" x14ac:dyDescent="0.25">
      <c r="A1910" s="9" t="s">
        <v>318</v>
      </c>
      <c r="B1910" s="9" t="s">
        <v>319</v>
      </c>
      <c r="C1910" s="25" t="s">
        <v>120</v>
      </c>
      <c r="D1910" s="19">
        <v>105.37</v>
      </c>
      <c r="E1910" s="19">
        <v>105.45</v>
      </c>
      <c r="F1910" s="19">
        <v>105.33</v>
      </c>
      <c r="G1910" s="19">
        <v>105.36</v>
      </c>
      <c r="H1910" s="19">
        <v>105.36</v>
      </c>
      <c r="I1910" s="15">
        <v>3228010</v>
      </c>
      <c r="J1910" s="19">
        <f t="shared" si="147"/>
        <v>-9.4903672772184821E-3</v>
      </c>
      <c r="K1910" s="19">
        <f t="shared" si="143"/>
        <v>102.50449999999998</v>
      </c>
      <c r="L1910" s="19">
        <f t="shared" si="146"/>
        <v>107.40579999999996</v>
      </c>
      <c r="M1910" s="19">
        <f>MAX(G1836:G1910)</f>
        <v>115.57</v>
      </c>
      <c r="N1910" s="19">
        <f t="shared" si="144"/>
        <v>-8.8344726140001679</v>
      </c>
      <c r="O1910" s="9" t="str">
        <f t="shared" si="145"/>
        <v>2024-04</v>
      </c>
    </row>
    <row r="1911" spans="1:15" x14ac:dyDescent="0.25">
      <c r="A1911" s="9" t="s">
        <v>318</v>
      </c>
      <c r="B1911" s="9" t="s">
        <v>319</v>
      </c>
      <c r="C1911" s="25" t="s">
        <v>121</v>
      </c>
      <c r="D1911" s="19">
        <v>105.36</v>
      </c>
      <c r="E1911" s="19">
        <v>105.9</v>
      </c>
      <c r="F1911" s="19">
        <v>103.55</v>
      </c>
      <c r="G1911" s="19">
        <v>104</v>
      </c>
      <c r="H1911" s="19">
        <v>104</v>
      </c>
      <c r="I1911" s="15">
        <v>4073454</v>
      </c>
      <c r="J1911" s="19">
        <f t="shared" si="147"/>
        <v>-1.2908124525436593</v>
      </c>
      <c r="K1911" s="19">
        <f t="shared" si="143"/>
        <v>102.74749999999999</v>
      </c>
      <c r="L1911" s="19">
        <f t="shared" si="146"/>
        <v>107.20219999999998</v>
      </c>
      <c r="M1911" s="19">
        <f>MAX(G1836:G1911)</f>
        <v>115.57</v>
      </c>
      <c r="N1911" s="19">
        <f t="shared" si="144"/>
        <v>-10.011248593925753</v>
      </c>
      <c r="O1911" s="9" t="str">
        <f t="shared" si="145"/>
        <v>2024-04</v>
      </c>
    </row>
    <row r="1912" spans="1:15" x14ac:dyDescent="0.25">
      <c r="A1912" s="9" t="s">
        <v>318</v>
      </c>
      <c r="B1912" s="9" t="s">
        <v>319</v>
      </c>
      <c r="C1912" s="25" t="s">
        <v>122</v>
      </c>
      <c r="D1912" s="19">
        <v>104</v>
      </c>
      <c r="E1912" s="19">
        <v>104.37</v>
      </c>
      <c r="F1912" s="19">
        <v>103.71</v>
      </c>
      <c r="G1912" s="19">
        <v>104.21</v>
      </c>
      <c r="H1912" s="19">
        <v>104.21</v>
      </c>
      <c r="I1912" s="15">
        <v>3840828</v>
      </c>
      <c r="J1912" s="19">
        <f t="shared" si="147"/>
        <v>0.2019230769230709</v>
      </c>
      <c r="K1912" s="19">
        <f t="shared" si="143"/>
        <v>103.01149999999998</v>
      </c>
      <c r="L1912" s="19">
        <f t="shared" si="146"/>
        <v>107.04199999999997</v>
      </c>
      <c r="M1912" s="19">
        <f>MAX(G1836:G1912)</f>
        <v>115.57</v>
      </c>
      <c r="N1912" s="19">
        <f t="shared" si="144"/>
        <v>-9.8295405382019556</v>
      </c>
      <c r="O1912" s="9" t="str">
        <f t="shared" si="145"/>
        <v>2024-04</v>
      </c>
    </row>
    <row r="1913" spans="1:15" x14ac:dyDescent="0.25">
      <c r="A1913" s="9" t="s">
        <v>318</v>
      </c>
      <c r="B1913" s="9" t="s">
        <v>319</v>
      </c>
      <c r="C1913" s="25" t="s">
        <v>123</v>
      </c>
      <c r="D1913" s="19">
        <v>104.21</v>
      </c>
      <c r="E1913" s="19">
        <v>104.37</v>
      </c>
      <c r="F1913" s="19">
        <v>100.94</v>
      </c>
      <c r="G1913" s="19">
        <v>101.04</v>
      </c>
      <c r="H1913" s="19">
        <v>101.04</v>
      </c>
      <c r="I1913" s="15">
        <v>2928676</v>
      </c>
      <c r="J1913" s="19">
        <f t="shared" si="147"/>
        <v>-3.0419345552250143</v>
      </c>
      <c r="K1913" s="19">
        <f t="shared" si="143"/>
        <v>103.24299999999998</v>
      </c>
      <c r="L1913" s="19">
        <f t="shared" si="146"/>
        <v>106.76559999999998</v>
      </c>
      <c r="M1913" s="19">
        <f>MAX(G1836:G1913)</f>
        <v>115.57</v>
      </c>
      <c r="N1913" s="19">
        <f t="shared" si="144"/>
        <v>-12.572466903175556</v>
      </c>
      <c r="O1913" s="9" t="str">
        <f t="shared" si="145"/>
        <v>2024-04</v>
      </c>
    </row>
    <row r="1914" spans="1:15" x14ac:dyDescent="0.25">
      <c r="A1914" s="9" t="s">
        <v>318</v>
      </c>
      <c r="B1914" s="9" t="s">
        <v>319</v>
      </c>
      <c r="C1914" s="25" t="s">
        <v>124</v>
      </c>
      <c r="D1914" s="19">
        <v>101.04</v>
      </c>
      <c r="E1914" s="19">
        <v>103.58</v>
      </c>
      <c r="F1914" s="19">
        <v>101.01</v>
      </c>
      <c r="G1914" s="19">
        <v>103.45</v>
      </c>
      <c r="H1914" s="19">
        <v>103.45</v>
      </c>
      <c r="I1914" s="15">
        <v>1999412</v>
      </c>
      <c r="J1914" s="19">
        <f t="shared" si="147"/>
        <v>2.3851939825811526</v>
      </c>
      <c r="K1914" s="19">
        <f t="shared" si="143"/>
        <v>103.48349999999998</v>
      </c>
      <c r="L1914" s="19">
        <f t="shared" si="146"/>
        <v>106.54999999999998</v>
      </c>
      <c r="M1914" s="19">
        <f>MAX(G1836:G1914)</f>
        <v>115.57</v>
      </c>
      <c r="N1914" s="19">
        <f t="shared" si="144"/>
        <v>-10.487150644630953</v>
      </c>
      <c r="O1914" s="9" t="str">
        <f t="shared" si="145"/>
        <v>2024-04</v>
      </c>
    </row>
    <row r="1915" spans="1:15" x14ac:dyDescent="0.25">
      <c r="A1915" s="9" t="s">
        <v>318</v>
      </c>
      <c r="B1915" s="9" t="s">
        <v>319</v>
      </c>
      <c r="C1915" s="25" t="s">
        <v>125</v>
      </c>
      <c r="D1915" s="19">
        <v>103.45</v>
      </c>
      <c r="E1915" s="19">
        <v>103.62</v>
      </c>
      <c r="F1915" s="19">
        <v>103.05</v>
      </c>
      <c r="G1915" s="19">
        <v>103.58</v>
      </c>
      <c r="H1915" s="19">
        <v>103.58</v>
      </c>
      <c r="I1915" s="15">
        <v>4141430</v>
      </c>
      <c r="J1915" s="19">
        <f t="shared" si="147"/>
        <v>0.12566457225712466</v>
      </c>
      <c r="K1915" s="19">
        <f t="shared" si="143"/>
        <v>103.5675</v>
      </c>
      <c r="L1915" s="19">
        <f t="shared" si="146"/>
        <v>106.31019999999997</v>
      </c>
      <c r="M1915" s="19">
        <f>MAX(G1836:G1915)</f>
        <v>115.57</v>
      </c>
      <c r="N1915" s="19">
        <f t="shared" si="144"/>
        <v>-10.374664705373362</v>
      </c>
      <c r="O1915" s="9" t="str">
        <f t="shared" si="145"/>
        <v>2024-04</v>
      </c>
    </row>
    <row r="1916" spans="1:15" x14ac:dyDescent="0.25">
      <c r="A1916" s="9" t="s">
        <v>318</v>
      </c>
      <c r="B1916" s="9" t="s">
        <v>319</v>
      </c>
      <c r="C1916" s="25" t="s">
        <v>126</v>
      </c>
      <c r="D1916" s="19">
        <v>103.58</v>
      </c>
      <c r="E1916" s="19">
        <v>104.29</v>
      </c>
      <c r="F1916" s="19">
        <v>102.96</v>
      </c>
      <c r="G1916" s="19">
        <v>103.25</v>
      </c>
      <c r="H1916" s="19">
        <v>103.25</v>
      </c>
      <c r="I1916" s="15">
        <v>5968874</v>
      </c>
      <c r="J1916" s="19">
        <f t="shared" si="147"/>
        <v>-0.31859432322842085</v>
      </c>
      <c r="K1916" s="19">
        <f t="shared" si="143"/>
        <v>103.7</v>
      </c>
      <c r="L1916" s="19">
        <f t="shared" si="146"/>
        <v>106.10599999999998</v>
      </c>
      <c r="M1916" s="19">
        <f>MAX(G1836:G1916)</f>
        <v>115.57</v>
      </c>
      <c r="N1916" s="19">
        <f t="shared" si="144"/>
        <v>-10.660205935796482</v>
      </c>
      <c r="O1916" s="9" t="str">
        <f t="shared" si="145"/>
        <v>2024-04</v>
      </c>
    </row>
    <row r="1917" spans="1:15" x14ac:dyDescent="0.25">
      <c r="A1917" s="9" t="s">
        <v>318</v>
      </c>
      <c r="B1917" s="9" t="s">
        <v>319</v>
      </c>
      <c r="C1917" s="25" t="s">
        <v>127</v>
      </c>
      <c r="D1917" s="19">
        <v>103.25</v>
      </c>
      <c r="E1917" s="19">
        <v>103.74</v>
      </c>
      <c r="F1917" s="19">
        <v>102.23</v>
      </c>
      <c r="G1917" s="19">
        <v>102.57</v>
      </c>
      <c r="H1917" s="19">
        <v>102.57</v>
      </c>
      <c r="I1917" s="15">
        <v>5600186</v>
      </c>
      <c r="J1917" s="19">
        <f t="shared" si="147"/>
        <v>-0.65859564164649564</v>
      </c>
      <c r="K1917" s="19">
        <f t="shared" si="143"/>
        <v>103.809</v>
      </c>
      <c r="L1917" s="19">
        <f t="shared" si="146"/>
        <v>105.88279999999997</v>
      </c>
      <c r="M1917" s="19">
        <f>MAX(G1836:G1917)</f>
        <v>115.57</v>
      </c>
      <c r="N1917" s="19">
        <f t="shared" si="144"/>
        <v>-11.24859392575928</v>
      </c>
      <c r="O1917" s="9" t="str">
        <f t="shared" si="145"/>
        <v>2024-04</v>
      </c>
    </row>
    <row r="1918" spans="1:15" x14ac:dyDescent="0.25">
      <c r="A1918" s="9" t="s">
        <v>318</v>
      </c>
      <c r="B1918" s="9" t="s">
        <v>319</v>
      </c>
      <c r="C1918" s="25" t="s">
        <v>128</v>
      </c>
      <c r="D1918" s="19">
        <v>102.57</v>
      </c>
      <c r="E1918" s="19">
        <v>105.87</v>
      </c>
      <c r="F1918" s="19">
        <v>102.24</v>
      </c>
      <c r="G1918" s="19">
        <v>105.77</v>
      </c>
      <c r="H1918" s="19">
        <v>105.77</v>
      </c>
      <c r="I1918" s="15">
        <v>2482690</v>
      </c>
      <c r="J1918" s="19">
        <f t="shared" si="147"/>
        <v>3.11982061031491</v>
      </c>
      <c r="K1918" s="19">
        <f t="shared" si="143"/>
        <v>103.99300000000001</v>
      </c>
      <c r="L1918" s="19">
        <f t="shared" si="146"/>
        <v>105.70199999999998</v>
      </c>
      <c r="M1918" s="19">
        <f>MAX(G1836:G1918)</f>
        <v>115.57</v>
      </c>
      <c r="N1918" s="19">
        <f t="shared" si="144"/>
        <v>-8.4797092671108398</v>
      </c>
      <c r="O1918" s="9" t="str">
        <f t="shared" si="145"/>
        <v>2024-04</v>
      </c>
    </row>
    <row r="1919" spans="1:15" x14ac:dyDescent="0.25">
      <c r="A1919" s="9" t="s">
        <v>318</v>
      </c>
      <c r="B1919" s="9" t="s">
        <v>319</v>
      </c>
      <c r="C1919" s="25" t="s">
        <v>129</v>
      </c>
      <c r="D1919" s="19">
        <v>105.77</v>
      </c>
      <c r="E1919" s="19">
        <v>107.26</v>
      </c>
      <c r="F1919" s="19">
        <v>105.47</v>
      </c>
      <c r="G1919" s="19">
        <v>106.73</v>
      </c>
      <c r="H1919" s="19">
        <v>106.73</v>
      </c>
      <c r="I1919" s="15">
        <v>6181613</v>
      </c>
      <c r="J1919" s="19">
        <f t="shared" si="147"/>
        <v>0.90762976269264239</v>
      </c>
      <c r="K1919" s="19">
        <f t="shared" ref="K1919:K1982" si="148">AVERAGE(G1900:G1919)</f>
        <v>104.16799999999998</v>
      </c>
      <c r="L1919" s="19">
        <f t="shared" si="146"/>
        <v>105.57239999999996</v>
      </c>
      <c r="M1919" s="19">
        <f>MAX(G1836:G1919)</f>
        <v>115.57</v>
      </c>
      <c r="N1919" s="19">
        <f t="shared" si="144"/>
        <v>-7.6490438695163014</v>
      </c>
      <c r="O1919" s="9" t="str">
        <f t="shared" si="145"/>
        <v>2024-04</v>
      </c>
    </row>
    <row r="1920" spans="1:15" x14ac:dyDescent="0.25">
      <c r="A1920" s="9" t="s">
        <v>318</v>
      </c>
      <c r="B1920" s="9" t="s">
        <v>319</v>
      </c>
      <c r="C1920" s="25" t="s">
        <v>130</v>
      </c>
      <c r="D1920" s="19">
        <v>106.73</v>
      </c>
      <c r="E1920" s="19">
        <v>107.89</v>
      </c>
      <c r="F1920" s="19">
        <v>106.72</v>
      </c>
      <c r="G1920" s="19">
        <v>107.82</v>
      </c>
      <c r="H1920" s="19">
        <v>107.82</v>
      </c>
      <c r="I1920" s="15">
        <v>3482623</v>
      </c>
      <c r="J1920" s="19">
        <f t="shared" si="147"/>
        <v>1.0212686217558224</v>
      </c>
      <c r="K1920" s="19">
        <f t="shared" si="148"/>
        <v>104.35899999999999</v>
      </c>
      <c r="L1920" s="19">
        <f t="shared" si="146"/>
        <v>105.48519999999996</v>
      </c>
      <c r="M1920" s="19">
        <f>MAX(G1836:G1920)</f>
        <v>115.57</v>
      </c>
      <c r="N1920" s="19">
        <f t="shared" si="144"/>
        <v>-6.7058925326641869</v>
      </c>
      <c r="O1920" s="9" t="str">
        <f t="shared" si="145"/>
        <v>2024-04</v>
      </c>
    </row>
    <row r="1921" spans="1:15" x14ac:dyDescent="0.25">
      <c r="A1921" s="9" t="s">
        <v>318</v>
      </c>
      <c r="B1921" s="9" t="s">
        <v>319</v>
      </c>
      <c r="C1921" s="25" t="s">
        <v>131</v>
      </c>
      <c r="D1921" s="19">
        <v>107.82</v>
      </c>
      <c r="E1921" s="19">
        <v>110.22</v>
      </c>
      <c r="F1921" s="19">
        <v>107.63</v>
      </c>
      <c r="G1921" s="19">
        <v>109.85</v>
      </c>
      <c r="H1921" s="19">
        <v>109.85</v>
      </c>
      <c r="I1921" s="15">
        <v>3630517</v>
      </c>
      <c r="J1921" s="19">
        <f t="shared" si="147"/>
        <v>1.8827675755889457</v>
      </c>
      <c r="K1921" s="19">
        <f t="shared" si="148"/>
        <v>104.72049999999999</v>
      </c>
      <c r="L1921" s="19">
        <f t="shared" si="146"/>
        <v>105.46059999999997</v>
      </c>
      <c r="M1921" s="19">
        <f>MAX(G1836:G1921)</f>
        <v>115.57</v>
      </c>
      <c r="N1921" s="19">
        <f t="shared" si="144"/>
        <v>-4.9493813273340823</v>
      </c>
      <c r="O1921" s="9" t="str">
        <f t="shared" si="145"/>
        <v>2024-04</v>
      </c>
    </row>
    <row r="1922" spans="1:15" x14ac:dyDescent="0.25">
      <c r="A1922" s="9" t="s">
        <v>318</v>
      </c>
      <c r="B1922" s="9" t="s">
        <v>319</v>
      </c>
      <c r="C1922" s="25" t="s">
        <v>132</v>
      </c>
      <c r="D1922" s="19">
        <v>109.85</v>
      </c>
      <c r="E1922" s="19">
        <v>109.98</v>
      </c>
      <c r="F1922" s="19">
        <v>108.79</v>
      </c>
      <c r="G1922" s="19">
        <v>108.91</v>
      </c>
      <c r="H1922" s="19">
        <v>108.91</v>
      </c>
      <c r="I1922" s="15">
        <v>3224421</v>
      </c>
      <c r="J1922" s="19">
        <f t="shared" si="147"/>
        <v>-0.85571233500227384</v>
      </c>
      <c r="K1922" s="19">
        <f t="shared" si="148"/>
        <v>104.93749999999997</v>
      </c>
      <c r="L1922" s="19">
        <f t="shared" si="146"/>
        <v>105.4006</v>
      </c>
      <c r="M1922" s="19">
        <f>MAX(G1836:G1922)</f>
        <v>115.57</v>
      </c>
      <c r="N1922" s="19">
        <f t="shared" ref="N1922:N1985" si="149">(G1922-M1922)/M1922*100</f>
        <v>-5.7627411958120591</v>
      </c>
      <c r="O1922" s="9" t="str">
        <f t="shared" ref="O1922:O1985" si="150">TEXT(C1922,"yyyy-mm")</f>
        <v>2024-04</v>
      </c>
    </row>
    <row r="1923" spans="1:15" x14ac:dyDescent="0.25">
      <c r="A1923" s="9" t="s">
        <v>318</v>
      </c>
      <c r="B1923" s="9" t="s">
        <v>319</v>
      </c>
      <c r="C1923" s="25" t="s">
        <v>133</v>
      </c>
      <c r="D1923" s="19">
        <v>108.91</v>
      </c>
      <c r="E1923" s="19">
        <v>110.18</v>
      </c>
      <c r="F1923" s="19">
        <v>108.36</v>
      </c>
      <c r="G1923" s="19">
        <v>109.26</v>
      </c>
      <c r="H1923" s="19">
        <v>109.26</v>
      </c>
      <c r="I1923" s="15">
        <v>2804300</v>
      </c>
      <c r="J1923" s="19">
        <f t="shared" si="147"/>
        <v>0.32136626572400012</v>
      </c>
      <c r="K1923" s="19">
        <f t="shared" si="148"/>
        <v>105.1605</v>
      </c>
      <c r="L1923" s="19">
        <f t="shared" si="146"/>
        <v>105.30879999999999</v>
      </c>
      <c r="M1923" s="19">
        <f>MAX(G1836:G1923)</f>
        <v>115.57</v>
      </c>
      <c r="N1923" s="19">
        <f t="shared" si="149"/>
        <v>-5.4598944362723794</v>
      </c>
      <c r="O1923" s="9" t="str">
        <f t="shared" si="150"/>
        <v>2024-05</v>
      </c>
    </row>
    <row r="1924" spans="1:15" x14ac:dyDescent="0.25">
      <c r="A1924" s="9" t="s">
        <v>318</v>
      </c>
      <c r="B1924" s="9" t="s">
        <v>319</v>
      </c>
      <c r="C1924" s="25" t="s">
        <v>134</v>
      </c>
      <c r="D1924" s="19">
        <v>109.26</v>
      </c>
      <c r="E1924" s="19">
        <v>110.7</v>
      </c>
      <c r="F1924" s="19">
        <v>109.13</v>
      </c>
      <c r="G1924" s="19">
        <v>110.38</v>
      </c>
      <c r="H1924" s="19">
        <v>110.38</v>
      </c>
      <c r="I1924" s="15">
        <v>3596024</v>
      </c>
      <c r="J1924" s="19">
        <f t="shared" si="147"/>
        <v>1.0250777960827295</v>
      </c>
      <c r="K1924" s="19">
        <f t="shared" si="148"/>
        <v>105.51149999999998</v>
      </c>
      <c r="L1924" s="19">
        <f t="shared" si="146"/>
        <v>105.23360000000001</v>
      </c>
      <c r="M1924" s="19">
        <f>MAX(G1836:G1924)</f>
        <v>115.57</v>
      </c>
      <c r="N1924" s="19">
        <f t="shared" si="149"/>
        <v>-4.4907848057454336</v>
      </c>
      <c r="O1924" s="9" t="str">
        <f t="shared" si="150"/>
        <v>2024-05</v>
      </c>
    </row>
    <row r="1925" spans="1:15" x14ac:dyDescent="0.25">
      <c r="A1925" s="9" t="s">
        <v>318</v>
      </c>
      <c r="B1925" s="9" t="s">
        <v>319</v>
      </c>
      <c r="C1925" s="25" t="s">
        <v>135</v>
      </c>
      <c r="D1925" s="19">
        <v>110.38</v>
      </c>
      <c r="E1925" s="19">
        <v>111.09</v>
      </c>
      <c r="F1925" s="19">
        <v>110.28</v>
      </c>
      <c r="G1925" s="19">
        <v>110.5</v>
      </c>
      <c r="H1925" s="19">
        <v>110.5</v>
      </c>
      <c r="I1925" s="15">
        <v>3451408</v>
      </c>
      <c r="J1925" s="19">
        <f t="shared" si="147"/>
        <v>0.10871534698315324</v>
      </c>
      <c r="K1925" s="19">
        <f t="shared" si="148"/>
        <v>105.81899999999999</v>
      </c>
      <c r="L1925" s="19">
        <f t="shared" si="146"/>
        <v>105.2</v>
      </c>
      <c r="M1925" s="19">
        <f>MAX(G1836:G1925)</f>
        <v>115.57</v>
      </c>
      <c r="N1925" s="19">
        <f t="shared" si="149"/>
        <v>-4.386951631046113</v>
      </c>
      <c r="O1925" s="9" t="str">
        <f t="shared" si="150"/>
        <v>2024-05</v>
      </c>
    </row>
    <row r="1926" spans="1:15" x14ac:dyDescent="0.25">
      <c r="A1926" s="9" t="s">
        <v>318</v>
      </c>
      <c r="B1926" s="9" t="s">
        <v>319</v>
      </c>
      <c r="C1926" s="25" t="s">
        <v>136</v>
      </c>
      <c r="D1926" s="19">
        <v>110.5</v>
      </c>
      <c r="E1926" s="19">
        <v>112.29</v>
      </c>
      <c r="F1926" s="19">
        <v>110.16</v>
      </c>
      <c r="G1926" s="19">
        <v>112.13</v>
      </c>
      <c r="H1926" s="19">
        <v>112.13</v>
      </c>
      <c r="I1926" s="15">
        <v>3890490</v>
      </c>
      <c r="J1926" s="19">
        <f t="shared" si="147"/>
        <v>1.4751131221719416</v>
      </c>
      <c r="K1926" s="19">
        <f t="shared" si="148"/>
        <v>106.22650000000002</v>
      </c>
      <c r="L1926" s="19">
        <f t="shared" si="146"/>
        <v>105.1718</v>
      </c>
      <c r="M1926" s="19">
        <f>MAX(G1836:G1926)</f>
        <v>115.57</v>
      </c>
      <c r="N1926" s="19">
        <f t="shared" si="149"/>
        <v>-2.976551008047069</v>
      </c>
      <c r="O1926" s="9" t="str">
        <f t="shared" si="150"/>
        <v>2024-05</v>
      </c>
    </row>
    <row r="1927" spans="1:15" x14ac:dyDescent="0.25">
      <c r="A1927" s="9" t="s">
        <v>318</v>
      </c>
      <c r="B1927" s="9" t="s">
        <v>319</v>
      </c>
      <c r="C1927" s="25" t="s">
        <v>137</v>
      </c>
      <c r="D1927" s="19">
        <v>112.13</v>
      </c>
      <c r="E1927" s="19">
        <v>112.85</v>
      </c>
      <c r="F1927" s="19">
        <v>109.8</v>
      </c>
      <c r="G1927" s="19">
        <v>110.04</v>
      </c>
      <c r="H1927" s="19">
        <v>110.04</v>
      </c>
      <c r="I1927" s="15">
        <v>2114886</v>
      </c>
      <c r="J1927" s="19">
        <f t="shared" si="147"/>
        <v>-1.8639079639703819</v>
      </c>
      <c r="K1927" s="19">
        <f t="shared" si="148"/>
        <v>106.47350000000002</v>
      </c>
      <c r="L1927" s="19">
        <f t="shared" si="146"/>
        <v>105.09500000000001</v>
      </c>
      <c r="M1927" s="19">
        <f>MAX(G1836:G1927)</f>
        <v>115.57</v>
      </c>
      <c r="N1927" s="19">
        <f t="shared" si="149"/>
        <v>-4.7849788007268215</v>
      </c>
      <c r="O1927" s="9" t="str">
        <f t="shared" si="150"/>
        <v>2024-05</v>
      </c>
    </row>
    <row r="1928" spans="1:15" x14ac:dyDescent="0.25">
      <c r="A1928" s="9" t="s">
        <v>318</v>
      </c>
      <c r="B1928" s="9" t="s">
        <v>319</v>
      </c>
      <c r="C1928" s="25" t="s">
        <v>138</v>
      </c>
      <c r="D1928" s="19">
        <v>110.04</v>
      </c>
      <c r="E1928" s="19">
        <v>110.21</v>
      </c>
      <c r="F1928" s="19">
        <v>108.5</v>
      </c>
      <c r="G1928" s="19">
        <v>108.85</v>
      </c>
      <c r="H1928" s="19">
        <v>108.85</v>
      </c>
      <c r="I1928" s="15">
        <v>7475822</v>
      </c>
      <c r="J1928" s="19">
        <f t="shared" si="147"/>
        <v>-1.0814249363867792</v>
      </c>
      <c r="K1928" s="19">
        <f t="shared" si="148"/>
        <v>106.65350000000001</v>
      </c>
      <c r="L1928" s="19">
        <f t="shared" si="146"/>
        <v>105.06780000000002</v>
      </c>
      <c r="M1928" s="19">
        <f>MAX(G1836:G1928)</f>
        <v>115.57</v>
      </c>
      <c r="N1928" s="19">
        <f t="shared" si="149"/>
        <v>-5.8146577831617199</v>
      </c>
      <c r="O1928" s="9" t="str">
        <f t="shared" si="150"/>
        <v>2024-05</v>
      </c>
    </row>
    <row r="1929" spans="1:15" x14ac:dyDescent="0.25">
      <c r="A1929" s="9" t="s">
        <v>318</v>
      </c>
      <c r="B1929" s="9" t="s">
        <v>319</v>
      </c>
      <c r="C1929" s="25" t="s">
        <v>139</v>
      </c>
      <c r="D1929" s="19">
        <v>108.85</v>
      </c>
      <c r="E1929" s="19">
        <v>110.72</v>
      </c>
      <c r="F1929" s="19">
        <v>108.61</v>
      </c>
      <c r="G1929" s="19">
        <v>110.5</v>
      </c>
      <c r="H1929" s="19">
        <v>110.5</v>
      </c>
      <c r="I1929" s="15">
        <v>3085485</v>
      </c>
      <c r="J1929" s="19">
        <f t="shared" si="147"/>
        <v>1.5158474965548974</v>
      </c>
      <c r="K1929" s="19">
        <f t="shared" si="148"/>
        <v>106.91</v>
      </c>
      <c r="L1929" s="19">
        <f t="shared" si="146"/>
        <v>105.08880000000001</v>
      </c>
      <c r="M1929" s="19">
        <f>MAX(G1836:G1929)</f>
        <v>115.57</v>
      </c>
      <c r="N1929" s="19">
        <f t="shared" si="149"/>
        <v>-4.386951631046113</v>
      </c>
      <c r="O1929" s="9" t="str">
        <f t="shared" si="150"/>
        <v>2024-05</v>
      </c>
    </row>
    <row r="1930" spans="1:15" x14ac:dyDescent="0.25">
      <c r="A1930" s="9" t="s">
        <v>318</v>
      </c>
      <c r="B1930" s="9" t="s">
        <v>319</v>
      </c>
      <c r="C1930" s="25" t="s">
        <v>140</v>
      </c>
      <c r="D1930" s="19">
        <v>110.5</v>
      </c>
      <c r="E1930" s="19">
        <v>110.69</v>
      </c>
      <c r="F1930" s="19">
        <v>109.83</v>
      </c>
      <c r="G1930" s="19">
        <v>109.95</v>
      </c>
      <c r="H1930" s="19">
        <v>109.95</v>
      </c>
      <c r="I1930" s="15">
        <v>4291614</v>
      </c>
      <c r="J1930" s="19">
        <f t="shared" si="147"/>
        <v>-0.49773755656108343</v>
      </c>
      <c r="K1930" s="19">
        <f t="shared" si="148"/>
        <v>107.13949999999997</v>
      </c>
      <c r="L1930" s="19">
        <f t="shared" si="146"/>
        <v>105.05020000000002</v>
      </c>
      <c r="M1930" s="19">
        <f>MAX(G1836:G1930)</f>
        <v>115.57</v>
      </c>
      <c r="N1930" s="19">
        <f t="shared" si="149"/>
        <v>-4.8628536817513108</v>
      </c>
      <c r="O1930" s="9" t="str">
        <f t="shared" si="150"/>
        <v>2024-05</v>
      </c>
    </row>
    <row r="1931" spans="1:15" x14ac:dyDescent="0.25">
      <c r="A1931" s="9" t="s">
        <v>318</v>
      </c>
      <c r="B1931" s="9" t="s">
        <v>319</v>
      </c>
      <c r="C1931" s="25" t="s">
        <v>141</v>
      </c>
      <c r="D1931" s="19">
        <v>109.95</v>
      </c>
      <c r="E1931" s="19">
        <v>119.98</v>
      </c>
      <c r="F1931" s="19">
        <v>109.37</v>
      </c>
      <c r="G1931" s="19">
        <v>119.9</v>
      </c>
      <c r="H1931" s="19">
        <v>119.9</v>
      </c>
      <c r="I1931" s="15">
        <v>4576962</v>
      </c>
      <c r="J1931" s="19">
        <f t="shared" si="147"/>
        <v>9.0495679854479327</v>
      </c>
      <c r="K1931" s="19">
        <f t="shared" si="148"/>
        <v>107.93449999999999</v>
      </c>
      <c r="L1931" s="19">
        <f t="shared" si="146"/>
        <v>105.22940000000003</v>
      </c>
      <c r="M1931" s="19">
        <f>MAX(G1836:G1931)</f>
        <v>119.9</v>
      </c>
      <c r="N1931" s="19">
        <f t="shared" si="149"/>
        <v>0</v>
      </c>
      <c r="O1931" s="9" t="str">
        <f t="shared" si="150"/>
        <v>2024-05</v>
      </c>
    </row>
    <row r="1932" spans="1:15" x14ac:dyDescent="0.25">
      <c r="A1932" s="9" t="s">
        <v>318</v>
      </c>
      <c r="B1932" s="9" t="s">
        <v>319</v>
      </c>
      <c r="C1932" s="25" t="s">
        <v>142</v>
      </c>
      <c r="D1932" s="19">
        <v>119.9</v>
      </c>
      <c r="E1932" s="19">
        <v>122.77</v>
      </c>
      <c r="F1932" s="19">
        <v>119.78</v>
      </c>
      <c r="G1932" s="19">
        <v>122.29</v>
      </c>
      <c r="H1932" s="19">
        <v>122.29</v>
      </c>
      <c r="I1932" s="15">
        <v>3268076</v>
      </c>
      <c r="J1932" s="19">
        <f t="shared" si="147"/>
        <v>1.9933277731442873</v>
      </c>
      <c r="K1932" s="19">
        <f t="shared" si="148"/>
        <v>108.8385</v>
      </c>
      <c r="L1932" s="19">
        <f t="shared" si="146"/>
        <v>105.52480000000001</v>
      </c>
      <c r="M1932" s="19">
        <f>MAX(G1836:G1932)</f>
        <v>122.29</v>
      </c>
      <c r="N1932" s="19">
        <f t="shared" si="149"/>
        <v>0</v>
      </c>
      <c r="O1932" s="9" t="str">
        <f t="shared" si="150"/>
        <v>2024-05</v>
      </c>
    </row>
    <row r="1933" spans="1:15" x14ac:dyDescent="0.25">
      <c r="A1933" s="9" t="s">
        <v>318</v>
      </c>
      <c r="B1933" s="9" t="s">
        <v>319</v>
      </c>
      <c r="C1933" s="25" t="s">
        <v>143</v>
      </c>
      <c r="D1933" s="19">
        <v>122.29</v>
      </c>
      <c r="E1933" s="19">
        <v>122.94</v>
      </c>
      <c r="F1933" s="19">
        <v>122.04</v>
      </c>
      <c r="G1933" s="19">
        <v>122.62</v>
      </c>
      <c r="H1933" s="19">
        <v>122.62</v>
      </c>
      <c r="I1933" s="15">
        <v>3483628</v>
      </c>
      <c r="J1933" s="19">
        <f t="shared" si="147"/>
        <v>0.26985035571183114</v>
      </c>
      <c r="K1933" s="19">
        <f t="shared" si="148"/>
        <v>109.91750000000002</v>
      </c>
      <c r="L1933" s="19">
        <f t="shared" si="146"/>
        <v>105.86</v>
      </c>
      <c r="M1933" s="19">
        <f>MAX(G1836:G1933)</f>
        <v>122.62</v>
      </c>
      <c r="N1933" s="19">
        <f t="shared" si="149"/>
        <v>0</v>
      </c>
      <c r="O1933" s="9" t="str">
        <f t="shared" si="150"/>
        <v>2024-05</v>
      </c>
    </row>
    <row r="1934" spans="1:15" x14ac:dyDescent="0.25">
      <c r="A1934" s="9" t="s">
        <v>318</v>
      </c>
      <c r="B1934" s="9" t="s">
        <v>319</v>
      </c>
      <c r="C1934" s="25" t="s">
        <v>144</v>
      </c>
      <c r="D1934" s="19">
        <v>122.62</v>
      </c>
      <c r="E1934" s="19">
        <v>122.72</v>
      </c>
      <c r="F1934" s="19">
        <v>119.28</v>
      </c>
      <c r="G1934" s="19">
        <v>119.55</v>
      </c>
      <c r="H1934" s="19">
        <v>119.55</v>
      </c>
      <c r="I1934" s="15">
        <v>2655779</v>
      </c>
      <c r="J1934" s="19">
        <f t="shared" si="147"/>
        <v>-2.5036698744087484</v>
      </c>
      <c r="K1934" s="19">
        <f t="shared" si="148"/>
        <v>110.72250000000001</v>
      </c>
      <c r="L1934" s="19">
        <f t="shared" si="146"/>
        <v>106.12679999999999</v>
      </c>
      <c r="M1934" s="19">
        <f>MAX(G1836:G1934)</f>
        <v>122.62</v>
      </c>
      <c r="N1934" s="19">
        <f t="shared" si="149"/>
        <v>-2.5036698744087484</v>
      </c>
      <c r="O1934" s="9" t="str">
        <f t="shared" si="150"/>
        <v>2024-05</v>
      </c>
    </row>
    <row r="1935" spans="1:15" x14ac:dyDescent="0.25">
      <c r="A1935" s="9" t="s">
        <v>318</v>
      </c>
      <c r="B1935" s="9" t="s">
        <v>319</v>
      </c>
      <c r="C1935" s="25" t="s">
        <v>145</v>
      </c>
      <c r="D1935" s="19">
        <v>119.55</v>
      </c>
      <c r="E1935" s="19">
        <v>122.29</v>
      </c>
      <c r="F1935" s="19">
        <v>119.08</v>
      </c>
      <c r="G1935" s="19">
        <v>121.23</v>
      </c>
      <c r="H1935" s="19">
        <v>121.23</v>
      </c>
      <c r="I1935" s="15">
        <v>3048971</v>
      </c>
      <c r="J1935" s="19">
        <f t="shared" si="147"/>
        <v>1.4052697616060283</v>
      </c>
      <c r="K1935" s="19">
        <f t="shared" si="148"/>
        <v>111.60500000000002</v>
      </c>
      <c r="L1935" s="19">
        <f t="shared" si="146"/>
        <v>106.42359999999996</v>
      </c>
      <c r="M1935" s="19">
        <f>MAX(G1836:G1935)</f>
        <v>122.62</v>
      </c>
      <c r="N1935" s="19">
        <f t="shared" si="149"/>
        <v>-1.1335834284782258</v>
      </c>
      <c r="O1935" s="9" t="str">
        <f t="shared" si="150"/>
        <v>2024-05</v>
      </c>
    </row>
    <row r="1936" spans="1:15" x14ac:dyDescent="0.25">
      <c r="A1936" s="9" t="s">
        <v>318</v>
      </c>
      <c r="B1936" s="9" t="s">
        <v>319</v>
      </c>
      <c r="C1936" s="25" t="s">
        <v>146</v>
      </c>
      <c r="D1936" s="19">
        <v>121.23</v>
      </c>
      <c r="E1936" s="19">
        <v>121.89</v>
      </c>
      <c r="F1936" s="19">
        <v>120.1</v>
      </c>
      <c r="G1936" s="19">
        <v>120.38</v>
      </c>
      <c r="H1936" s="19">
        <v>120.38</v>
      </c>
      <c r="I1936" s="15">
        <v>2511574</v>
      </c>
      <c r="J1936" s="19">
        <f t="shared" si="147"/>
        <v>-0.70114658087932735</v>
      </c>
      <c r="K1936" s="19">
        <f t="shared" si="148"/>
        <v>112.4615</v>
      </c>
      <c r="L1936" s="19">
        <f t="shared" si="146"/>
        <v>106.69499999999998</v>
      </c>
      <c r="M1936" s="19">
        <f>MAX(G1836:G1936)</f>
        <v>122.62</v>
      </c>
      <c r="N1936" s="19">
        <f t="shared" si="149"/>
        <v>-1.8267819279073634</v>
      </c>
      <c r="O1936" s="9" t="str">
        <f t="shared" si="150"/>
        <v>2024-05</v>
      </c>
    </row>
    <row r="1937" spans="1:15" x14ac:dyDescent="0.25">
      <c r="A1937" s="9" t="s">
        <v>318</v>
      </c>
      <c r="B1937" s="9" t="s">
        <v>319</v>
      </c>
      <c r="C1937" s="25" t="s">
        <v>147</v>
      </c>
      <c r="D1937" s="19">
        <v>120.38</v>
      </c>
      <c r="E1937" s="19">
        <v>121.04</v>
      </c>
      <c r="F1937" s="19">
        <v>120.07</v>
      </c>
      <c r="G1937" s="19">
        <v>121</v>
      </c>
      <c r="H1937" s="19">
        <v>121</v>
      </c>
      <c r="I1937" s="15">
        <v>4878346</v>
      </c>
      <c r="J1937" s="19">
        <f t="shared" si="147"/>
        <v>0.51503572021930932</v>
      </c>
      <c r="K1937" s="19">
        <f t="shared" si="148"/>
        <v>113.383</v>
      </c>
      <c r="L1937" s="19">
        <f t="shared" si="146"/>
        <v>106.98819999999998</v>
      </c>
      <c r="M1937" s="19">
        <f>MAX(G1836:G1937)</f>
        <v>122.62</v>
      </c>
      <c r="N1937" s="19">
        <f t="shared" si="149"/>
        <v>-1.321154787147288</v>
      </c>
      <c r="O1937" s="9" t="str">
        <f t="shared" si="150"/>
        <v>2024-05</v>
      </c>
    </row>
    <row r="1938" spans="1:15" x14ac:dyDescent="0.25">
      <c r="A1938" s="9" t="s">
        <v>318</v>
      </c>
      <c r="B1938" s="9" t="s">
        <v>319</v>
      </c>
      <c r="C1938" s="25" t="s">
        <v>148</v>
      </c>
      <c r="D1938" s="19">
        <v>121</v>
      </c>
      <c r="E1938" s="19">
        <v>121.23</v>
      </c>
      <c r="F1938" s="19">
        <v>119.88</v>
      </c>
      <c r="G1938" s="19">
        <v>120.62</v>
      </c>
      <c r="H1938" s="19">
        <v>120.62</v>
      </c>
      <c r="I1938" s="15">
        <v>4039249</v>
      </c>
      <c r="J1938" s="19">
        <f t="shared" si="147"/>
        <v>-0.31404958677685574</v>
      </c>
      <c r="K1938" s="19">
        <f t="shared" si="148"/>
        <v>114.12549999999999</v>
      </c>
      <c r="L1938" s="19">
        <f t="shared" si="146"/>
        <v>107.32299999999999</v>
      </c>
      <c r="M1938" s="19">
        <f>MAX(G1836:G1938)</f>
        <v>122.62</v>
      </c>
      <c r="N1938" s="19">
        <f t="shared" si="149"/>
        <v>-1.6310552927744248</v>
      </c>
      <c r="O1938" s="9" t="str">
        <f t="shared" si="150"/>
        <v>2024-05</v>
      </c>
    </row>
    <row r="1939" spans="1:15" x14ac:dyDescent="0.25">
      <c r="A1939" s="9" t="s">
        <v>318</v>
      </c>
      <c r="B1939" s="9" t="s">
        <v>319</v>
      </c>
      <c r="C1939" s="25" t="s">
        <v>149</v>
      </c>
      <c r="D1939" s="19">
        <v>120.62</v>
      </c>
      <c r="E1939" s="19">
        <v>120.91</v>
      </c>
      <c r="F1939" s="19">
        <v>120.08</v>
      </c>
      <c r="G1939" s="19">
        <v>120.85</v>
      </c>
      <c r="H1939" s="19">
        <v>120.85</v>
      </c>
      <c r="I1939" s="15">
        <v>5353490</v>
      </c>
      <c r="J1939" s="19">
        <f t="shared" si="147"/>
        <v>0.1906814790250288</v>
      </c>
      <c r="K1939" s="19">
        <f t="shared" si="148"/>
        <v>114.83149999999998</v>
      </c>
      <c r="L1939" s="19">
        <f t="shared" si="146"/>
        <v>107.66500000000001</v>
      </c>
      <c r="M1939" s="19">
        <f>MAX(G1836:G1939)</f>
        <v>122.62</v>
      </c>
      <c r="N1939" s="19">
        <f t="shared" si="149"/>
        <v>-1.4434839341053745</v>
      </c>
      <c r="O1939" s="9" t="str">
        <f t="shared" si="150"/>
        <v>2024-05</v>
      </c>
    </row>
    <row r="1940" spans="1:15" x14ac:dyDescent="0.25">
      <c r="A1940" s="9" t="s">
        <v>318</v>
      </c>
      <c r="B1940" s="9" t="s">
        <v>319</v>
      </c>
      <c r="C1940" s="25" t="s">
        <v>150</v>
      </c>
      <c r="D1940" s="19">
        <v>120.85</v>
      </c>
      <c r="E1940" s="19">
        <v>128.5</v>
      </c>
      <c r="F1940" s="19">
        <v>120.75</v>
      </c>
      <c r="G1940" s="19">
        <v>128.33000000000001</v>
      </c>
      <c r="H1940" s="19">
        <v>128.33000000000001</v>
      </c>
      <c r="I1940" s="15">
        <v>10867313</v>
      </c>
      <c r="J1940" s="19">
        <f t="shared" si="147"/>
        <v>6.1894911046752332</v>
      </c>
      <c r="K1940" s="19">
        <f t="shared" si="148"/>
        <v>115.85699999999997</v>
      </c>
      <c r="L1940" s="19">
        <f t="shared" si="146"/>
        <v>108.193</v>
      </c>
      <c r="M1940" s="19">
        <f>MAX(G1836:G1940)</f>
        <v>128.33000000000001</v>
      </c>
      <c r="N1940" s="19">
        <f t="shared" si="149"/>
        <v>0</v>
      </c>
      <c r="O1940" s="9" t="str">
        <f t="shared" si="150"/>
        <v>2024-05</v>
      </c>
    </row>
    <row r="1941" spans="1:15" x14ac:dyDescent="0.25">
      <c r="A1941" s="9" t="s">
        <v>318</v>
      </c>
      <c r="B1941" s="9" t="s">
        <v>319</v>
      </c>
      <c r="C1941" s="25" t="s">
        <v>151</v>
      </c>
      <c r="D1941" s="19">
        <v>128.33000000000001</v>
      </c>
      <c r="E1941" s="19">
        <v>132.15</v>
      </c>
      <c r="F1941" s="19">
        <v>127.66</v>
      </c>
      <c r="G1941" s="19">
        <v>130.84</v>
      </c>
      <c r="H1941" s="19">
        <v>130.84</v>
      </c>
      <c r="I1941" s="15">
        <v>1642050</v>
      </c>
      <c r="J1941" s="19">
        <f t="shared" si="147"/>
        <v>1.9558949583105982</v>
      </c>
      <c r="K1941" s="19">
        <f t="shared" si="148"/>
        <v>116.90649999999998</v>
      </c>
      <c r="L1941" s="19">
        <f t="shared" si="146"/>
        <v>108.82699999999998</v>
      </c>
      <c r="M1941" s="19">
        <f>MAX(G1836:G1941)</f>
        <v>130.84</v>
      </c>
      <c r="N1941" s="19">
        <f t="shared" si="149"/>
        <v>0</v>
      </c>
      <c r="O1941" s="9" t="str">
        <f t="shared" si="150"/>
        <v>2024-05</v>
      </c>
    </row>
    <row r="1942" spans="1:15" x14ac:dyDescent="0.25">
      <c r="A1942" s="9" t="s">
        <v>318</v>
      </c>
      <c r="B1942" s="9" t="s">
        <v>319</v>
      </c>
      <c r="C1942" s="25" t="s">
        <v>152</v>
      </c>
      <c r="D1942" s="19">
        <v>130.84</v>
      </c>
      <c r="E1942" s="19">
        <v>132.06</v>
      </c>
      <c r="F1942" s="19">
        <v>130.75</v>
      </c>
      <c r="G1942" s="19">
        <v>131.16</v>
      </c>
      <c r="H1942" s="19">
        <v>131.16</v>
      </c>
      <c r="I1942" s="15">
        <v>2464242</v>
      </c>
      <c r="J1942" s="19">
        <f t="shared" si="147"/>
        <v>0.24457352491592263</v>
      </c>
      <c r="K1942" s="19">
        <f t="shared" si="148"/>
        <v>118.01899999999998</v>
      </c>
      <c r="L1942" s="19">
        <f t="shared" si="146"/>
        <v>109.47159999999998</v>
      </c>
      <c r="M1942" s="19">
        <f>MAX(G1836:G1942)</f>
        <v>131.16</v>
      </c>
      <c r="N1942" s="19">
        <f t="shared" si="149"/>
        <v>0</v>
      </c>
      <c r="O1942" s="9" t="str">
        <f t="shared" si="150"/>
        <v>2024-05</v>
      </c>
    </row>
    <row r="1943" spans="1:15" x14ac:dyDescent="0.25">
      <c r="A1943" s="9" t="s">
        <v>318</v>
      </c>
      <c r="B1943" s="9" t="s">
        <v>319</v>
      </c>
      <c r="C1943" s="25" t="s">
        <v>153</v>
      </c>
      <c r="D1943" s="19">
        <v>131.16</v>
      </c>
      <c r="E1943" s="19">
        <v>132.08000000000001</v>
      </c>
      <c r="F1943" s="19">
        <v>129.24</v>
      </c>
      <c r="G1943" s="19">
        <v>130.18</v>
      </c>
      <c r="H1943" s="19">
        <v>130.18</v>
      </c>
      <c r="I1943" s="15">
        <v>3459097</v>
      </c>
      <c r="J1943" s="19">
        <f t="shared" si="147"/>
        <v>-0.7471790179932829</v>
      </c>
      <c r="K1943" s="19">
        <f t="shared" si="148"/>
        <v>119.06499999999997</v>
      </c>
      <c r="L1943" s="19">
        <f t="shared" si="146"/>
        <v>110.14700000000001</v>
      </c>
      <c r="M1943" s="19">
        <f>MAX(G1836:G1943)</f>
        <v>131.16</v>
      </c>
      <c r="N1943" s="19">
        <f t="shared" si="149"/>
        <v>-0.7471790179932829</v>
      </c>
      <c r="O1943" s="9" t="str">
        <f t="shared" si="150"/>
        <v>2024-05</v>
      </c>
    </row>
    <row r="1944" spans="1:15" x14ac:dyDescent="0.25">
      <c r="A1944" s="9" t="s">
        <v>318</v>
      </c>
      <c r="B1944" s="9" t="s">
        <v>319</v>
      </c>
      <c r="C1944" s="25" t="s">
        <v>154</v>
      </c>
      <c r="D1944" s="19">
        <v>130.18</v>
      </c>
      <c r="E1944" s="19">
        <v>130.26</v>
      </c>
      <c r="F1944" s="19">
        <v>128.28</v>
      </c>
      <c r="G1944" s="19">
        <v>129.21</v>
      </c>
      <c r="H1944" s="19">
        <v>129.21</v>
      </c>
      <c r="I1944" s="15">
        <v>4578349</v>
      </c>
      <c r="J1944" s="19">
        <f t="shared" si="147"/>
        <v>-0.74512213857735354</v>
      </c>
      <c r="K1944" s="19">
        <f t="shared" si="148"/>
        <v>120.00649999999999</v>
      </c>
      <c r="L1944" s="19">
        <f t="shared" si="146"/>
        <v>110.75839999999999</v>
      </c>
      <c r="M1944" s="19">
        <f>MAX(G1836:G1944)</f>
        <v>131.16</v>
      </c>
      <c r="N1944" s="19">
        <f t="shared" si="149"/>
        <v>-1.4867337602927637</v>
      </c>
      <c r="O1944" s="9" t="str">
        <f t="shared" si="150"/>
        <v>2024-05</v>
      </c>
    </row>
    <row r="1945" spans="1:15" x14ac:dyDescent="0.25">
      <c r="A1945" s="9" t="s">
        <v>318</v>
      </c>
      <c r="B1945" s="9" t="s">
        <v>319</v>
      </c>
      <c r="C1945" s="25" t="s">
        <v>155</v>
      </c>
      <c r="D1945" s="19">
        <v>129.21</v>
      </c>
      <c r="E1945" s="19">
        <v>129.30000000000001</v>
      </c>
      <c r="F1945" s="19">
        <v>125.77</v>
      </c>
      <c r="G1945" s="19">
        <v>126.53</v>
      </c>
      <c r="H1945" s="19">
        <v>126.53</v>
      </c>
      <c r="I1945" s="15">
        <v>5095710</v>
      </c>
      <c r="J1945" s="19">
        <f t="shared" si="147"/>
        <v>-2.0741428681990608</v>
      </c>
      <c r="K1945" s="19">
        <f t="shared" si="148"/>
        <v>120.80799999999999</v>
      </c>
      <c r="L1945" s="19">
        <f t="shared" si="146"/>
        <v>111.251</v>
      </c>
      <c r="M1945" s="19">
        <f>MAX(G1836:G1945)</f>
        <v>131.16</v>
      </c>
      <c r="N1945" s="19">
        <f t="shared" si="149"/>
        <v>-3.5300396462336043</v>
      </c>
      <c r="O1945" s="9" t="str">
        <f t="shared" si="150"/>
        <v>2024-05</v>
      </c>
    </row>
    <row r="1946" spans="1:15" x14ac:dyDescent="0.25">
      <c r="A1946" s="9" t="s">
        <v>318</v>
      </c>
      <c r="B1946" s="9" t="s">
        <v>319</v>
      </c>
      <c r="C1946" s="25" t="s">
        <v>156</v>
      </c>
      <c r="D1946" s="19">
        <v>126.53</v>
      </c>
      <c r="E1946" s="19">
        <v>127.51</v>
      </c>
      <c r="F1946" s="19">
        <v>126.53</v>
      </c>
      <c r="G1946" s="19">
        <v>127.1</v>
      </c>
      <c r="H1946" s="19">
        <v>127.1</v>
      </c>
      <c r="I1946" s="15">
        <v>3318288</v>
      </c>
      <c r="J1946" s="19">
        <f t="shared" si="147"/>
        <v>0.45048605073894976</v>
      </c>
      <c r="K1946" s="19">
        <f t="shared" si="148"/>
        <v>121.55649999999999</v>
      </c>
      <c r="L1946" s="19">
        <f t="shared" si="146"/>
        <v>111.78100000000002</v>
      </c>
      <c r="M1946" s="19">
        <f>MAX(G1836:G1946)</f>
        <v>131.16</v>
      </c>
      <c r="N1946" s="19">
        <f t="shared" si="149"/>
        <v>-3.0954559316864918</v>
      </c>
      <c r="O1946" s="9" t="str">
        <f t="shared" si="150"/>
        <v>2024-06</v>
      </c>
    </row>
    <row r="1947" spans="1:15" x14ac:dyDescent="0.25">
      <c r="A1947" s="9" t="s">
        <v>318</v>
      </c>
      <c r="B1947" s="9" t="s">
        <v>319</v>
      </c>
      <c r="C1947" s="25" t="s">
        <v>157</v>
      </c>
      <c r="D1947" s="19">
        <v>127.1</v>
      </c>
      <c r="E1947" s="19">
        <v>127.55</v>
      </c>
      <c r="F1947" s="19">
        <v>125.08</v>
      </c>
      <c r="G1947" s="19">
        <v>125.44</v>
      </c>
      <c r="H1947" s="19">
        <v>125.44</v>
      </c>
      <c r="I1947" s="15">
        <v>3341296</v>
      </c>
      <c r="J1947" s="19">
        <f t="shared" si="147"/>
        <v>-1.3060582218725387</v>
      </c>
      <c r="K1947" s="19">
        <f t="shared" si="148"/>
        <v>122.32649999999998</v>
      </c>
      <c r="L1947" s="19">
        <f t="shared" si="146"/>
        <v>112.28200000000001</v>
      </c>
      <c r="M1947" s="19">
        <f>MAX(G1836:G1947)</f>
        <v>131.16</v>
      </c>
      <c r="N1947" s="19">
        <f t="shared" si="149"/>
        <v>-4.3610856968587974</v>
      </c>
      <c r="O1947" s="9" t="str">
        <f t="shared" si="150"/>
        <v>2024-06</v>
      </c>
    </row>
    <row r="1948" spans="1:15" x14ac:dyDescent="0.25">
      <c r="A1948" s="9" t="s">
        <v>318</v>
      </c>
      <c r="B1948" s="9" t="s">
        <v>319</v>
      </c>
      <c r="C1948" s="25" t="s">
        <v>158</v>
      </c>
      <c r="D1948" s="19">
        <v>125.44</v>
      </c>
      <c r="E1948" s="19">
        <v>125.45</v>
      </c>
      <c r="F1948" s="19">
        <v>121.29</v>
      </c>
      <c r="G1948" s="19">
        <v>121.42</v>
      </c>
      <c r="H1948" s="19">
        <v>121.42</v>
      </c>
      <c r="I1948" s="15">
        <v>3762320</v>
      </c>
      <c r="J1948" s="19">
        <f t="shared" si="147"/>
        <v>-3.204719387755099</v>
      </c>
      <c r="K1948" s="19">
        <f t="shared" si="148"/>
        <v>122.955</v>
      </c>
      <c r="L1948" s="19">
        <f t="shared" si="146"/>
        <v>112.66860000000001</v>
      </c>
      <c r="M1948" s="19">
        <f>MAX(G1836:G1948)</f>
        <v>131.16</v>
      </c>
      <c r="N1948" s="19">
        <f t="shared" si="149"/>
        <v>-7.426044525770048</v>
      </c>
      <c r="O1948" s="9" t="str">
        <f t="shared" si="150"/>
        <v>2024-06</v>
      </c>
    </row>
    <row r="1949" spans="1:15" x14ac:dyDescent="0.25">
      <c r="A1949" s="9" t="s">
        <v>318</v>
      </c>
      <c r="B1949" s="9" t="s">
        <v>319</v>
      </c>
      <c r="C1949" s="25" t="s">
        <v>159</v>
      </c>
      <c r="D1949" s="19">
        <v>121.42</v>
      </c>
      <c r="E1949" s="19">
        <v>122.7</v>
      </c>
      <c r="F1949" s="19">
        <v>120.13</v>
      </c>
      <c r="G1949" s="19">
        <v>120.72</v>
      </c>
      <c r="H1949" s="19">
        <v>120.72</v>
      </c>
      <c r="I1949" s="15">
        <v>5043461</v>
      </c>
      <c r="J1949" s="19">
        <f t="shared" si="147"/>
        <v>-0.57651128314940114</v>
      </c>
      <c r="K1949" s="19">
        <f t="shared" si="148"/>
        <v>123.46599999999998</v>
      </c>
      <c r="L1949" s="19">
        <f t="shared" ref="L1949:L2012" si="151">AVERAGE(G1900:G1949)</f>
        <v>113.01840000000001</v>
      </c>
      <c r="M1949" s="19">
        <f>MAX(G1836:G1949)</f>
        <v>131.16</v>
      </c>
      <c r="N1949" s="19">
        <f t="shared" si="149"/>
        <v>-7.9597438243366865</v>
      </c>
      <c r="O1949" s="9" t="str">
        <f t="shared" si="150"/>
        <v>2024-06</v>
      </c>
    </row>
    <row r="1950" spans="1:15" x14ac:dyDescent="0.25">
      <c r="A1950" s="9" t="s">
        <v>318</v>
      </c>
      <c r="B1950" s="9" t="s">
        <v>319</v>
      </c>
      <c r="C1950" s="25" t="s">
        <v>160</v>
      </c>
      <c r="D1950" s="19">
        <v>120.72</v>
      </c>
      <c r="E1950" s="19">
        <v>121.13</v>
      </c>
      <c r="F1950" s="19">
        <v>120.1</v>
      </c>
      <c r="G1950" s="19">
        <v>120.47</v>
      </c>
      <c r="H1950" s="19">
        <v>120.47</v>
      </c>
      <c r="I1950" s="15">
        <v>5566752</v>
      </c>
      <c r="J1950" s="19">
        <f t="shared" si="147"/>
        <v>-0.207090788601723</v>
      </c>
      <c r="K1950" s="19">
        <f t="shared" si="148"/>
        <v>123.99199999999999</v>
      </c>
      <c r="L1950" s="19">
        <f t="shared" si="151"/>
        <v>113.34780000000002</v>
      </c>
      <c r="M1950" s="19">
        <f>MAX(G1836:G1950)</f>
        <v>131.16</v>
      </c>
      <c r="N1950" s="19">
        <f t="shared" si="149"/>
        <v>-8.1503507166819134</v>
      </c>
      <c r="O1950" s="9" t="str">
        <f t="shared" si="150"/>
        <v>2024-06</v>
      </c>
    </row>
    <row r="1951" spans="1:15" x14ac:dyDescent="0.25">
      <c r="A1951" s="9" t="s">
        <v>318</v>
      </c>
      <c r="B1951" s="9" t="s">
        <v>319</v>
      </c>
      <c r="C1951" s="25" t="s">
        <v>161</v>
      </c>
      <c r="D1951" s="19">
        <v>120.47</v>
      </c>
      <c r="E1951" s="19">
        <v>123.27</v>
      </c>
      <c r="F1951" s="19">
        <v>120.02</v>
      </c>
      <c r="G1951" s="19">
        <v>122.53</v>
      </c>
      <c r="H1951" s="19">
        <v>122.53</v>
      </c>
      <c r="I1951" s="15">
        <v>3847698</v>
      </c>
      <c r="J1951" s="19">
        <f t="shared" si="147"/>
        <v>1.7099692869594108</v>
      </c>
      <c r="K1951" s="19">
        <f t="shared" si="148"/>
        <v>124.12349999999999</v>
      </c>
      <c r="L1951" s="19">
        <f t="shared" si="151"/>
        <v>113.74600000000001</v>
      </c>
      <c r="M1951" s="19">
        <f>MAX(G1836:G1951)</f>
        <v>131.16</v>
      </c>
      <c r="N1951" s="19">
        <f t="shared" si="149"/>
        <v>-6.5797499237572401</v>
      </c>
      <c r="O1951" s="9" t="str">
        <f t="shared" si="150"/>
        <v>2024-06</v>
      </c>
    </row>
    <row r="1952" spans="1:15" x14ac:dyDescent="0.25">
      <c r="A1952" s="9" t="s">
        <v>318</v>
      </c>
      <c r="B1952" s="9" t="s">
        <v>319</v>
      </c>
      <c r="C1952" s="25" t="s">
        <v>162</v>
      </c>
      <c r="D1952" s="19">
        <v>122.53</v>
      </c>
      <c r="E1952" s="19">
        <v>123.01</v>
      </c>
      <c r="F1952" s="19">
        <v>121.9</v>
      </c>
      <c r="G1952" s="19">
        <v>121.92</v>
      </c>
      <c r="H1952" s="19">
        <v>121.92</v>
      </c>
      <c r="I1952" s="15">
        <v>4576060</v>
      </c>
      <c r="J1952" s="19">
        <f t="shared" si="147"/>
        <v>-0.49783726434342562</v>
      </c>
      <c r="K1952" s="19">
        <f t="shared" si="148"/>
        <v>124.10500000000002</v>
      </c>
      <c r="L1952" s="19">
        <f t="shared" si="151"/>
        <v>114.09300000000002</v>
      </c>
      <c r="M1952" s="19">
        <f>MAX(G1836:G1952)</f>
        <v>131.16</v>
      </c>
      <c r="N1952" s="19">
        <f t="shared" si="149"/>
        <v>-7.0448307410795943</v>
      </c>
      <c r="O1952" s="9" t="str">
        <f t="shared" si="150"/>
        <v>2024-06</v>
      </c>
    </row>
    <row r="1953" spans="1:15" x14ac:dyDescent="0.25">
      <c r="A1953" s="9" t="s">
        <v>318</v>
      </c>
      <c r="B1953" s="9" t="s">
        <v>319</v>
      </c>
      <c r="C1953" s="25" t="s">
        <v>163</v>
      </c>
      <c r="D1953" s="19">
        <v>121.92</v>
      </c>
      <c r="E1953" s="19">
        <v>127.82</v>
      </c>
      <c r="F1953" s="19">
        <v>121.81</v>
      </c>
      <c r="G1953" s="19">
        <v>127.68</v>
      </c>
      <c r="H1953" s="19">
        <v>127.68</v>
      </c>
      <c r="I1953" s="15">
        <v>4290762</v>
      </c>
      <c r="J1953" s="19">
        <f t="shared" si="147"/>
        <v>4.7244094488189017</v>
      </c>
      <c r="K1953" s="19">
        <f t="shared" si="148"/>
        <v>124.35800000000002</v>
      </c>
      <c r="L1953" s="19">
        <f t="shared" si="151"/>
        <v>114.55060000000002</v>
      </c>
      <c r="M1953" s="19">
        <f>MAX(G1836:G1953)</f>
        <v>131.16</v>
      </c>
      <c r="N1953" s="19">
        <f t="shared" si="149"/>
        <v>-2.6532479414455552</v>
      </c>
      <c r="O1953" s="9" t="str">
        <f t="shared" si="150"/>
        <v>2024-06</v>
      </c>
    </row>
    <row r="1954" spans="1:15" x14ac:dyDescent="0.25">
      <c r="A1954" s="9" t="s">
        <v>318</v>
      </c>
      <c r="B1954" s="9" t="s">
        <v>319</v>
      </c>
      <c r="C1954" s="25" t="s">
        <v>164</v>
      </c>
      <c r="D1954" s="19">
        <v>127.68</v>
      </c>
      <c r="E1954" s="19">
        <v>128.91</v>
      </c>
      <c r="F1954" s="19">
        <v>123.9</v>
      </c>
      <c r="G1954" s="19">
        <v>124.72</v>
      </c>
      <c r="H1954" s="19">
        <v>124.72</v>
      </c>
      <c r="I1954" s="15">
        <v>5326735</v>
      </c>
      <c r="J1954" s="19">
        <f t="shared" si="147"/>
        <v>-2.3182957393483772</v>
      </c>
      <c r="K1954" s="19">
        <f t="shared" si="148"/>
        <v>124.6165</v>
      </c>
      <c r="L1954" s="19">
        <f t="shared" si="151"/>
        <v>114.9778</v>
      </c>
      <c r="M1954" s="19">
        <f>MAX(G1836:G1954)</f>
        <v>131.16</v>
      </c>
      <c r="N1954" s="19">
        <f t="shared" si="149"/>
        <v>-4.9100335468130512</v>
      </c>
      <c r="O1954" s="9" t="str">
        <f t="shared" si="150"/>
        <v>2024-06</v>
      </c>
    </row>
    <row r="1955" spans="1:15" x14ac:dyDescent="0.25">
      <c r="A1955" s="9" t="s">
        <v>318</v>
      </c>
      <c r="B1955" s="9" t="s">
        <v>319</v>
      </c>
      <c r="C1955" s="25" t="s">
        <v>165</v>
      </c>
      <c r="D1955" s="19">
        <v>124.72</v>
      </c>
      <c r="E1955" s="19">
        <v>125.42</v>
      </c>
      <c r="F1955" s="19">
        <v>123.39</v>
      </c>
      <c r="G1955" s="19">
        <v>123.77</v>
      </c>
      <c r="H1955" s="19">
        <v>123.77</v>
      </c>
      <c r="I1955" s="15">
        <v>4430667</v>
      </c>
      <c r="J1955" s="19">
        <f t="shared" si="147"/>
        <v>-0.76170622193714155</v>
      </c>
      <c r="K1955" s="19">
        <f t="shared" si="148"/>
        <v>124.7435</v>
      </c>
      <c r="L1955" s="19">
        <f t="shared" si="151"/>
        <v>115.36620000000002</v>
      </c>
      <c r="M1955" s="19">
        <f>MAX(G1836:G1955)</f>
        <v>131.16</v>
      </c>
      <c r="N1955" s="19">
        <f t="shared" si="149"/>
        <v>-5.6343397377249165</v>
      </c>
      <c r="O1955" s="9" t="str">
        <f t="shared" si="150"/>
        <v>2024-06</v>
      </c>
    </row>
    <row r="1956" spans="1:15" x14ac:dyDescent="0.25">
      <c r="A1956" s="9" t="s">
        <v>318</v>
      </c>
      <c r="B1956" s="9" t="s">
        <v>319</v>
      </c>
      <c r="C1956" s="25" t="s">
        <v>166</v>
      </c>
      <c r="D1956" s="19">
        <v>123.77</v>
      </c>
      <c r="E1956" s="19">
        <v>130.58000000000001</v>
      </c>
      <c r="F1956" s="19">
        <v>123.39</v>
      </c>
      <c r="G1956" s="19">
        <v>130.03</v>
      </c>
      <c r="H1956" s="19">
        <v>130.03</v>
      </c>
      <c r="I1956" s="15">
        <v>15787503</v>
      </c>
      <c r="J1956" s="19">
        <f t="shared" si="147"/>
        <v>5.0577684414640096</v>
      </c>
      <c r="K1956" s="19">
        <f t="shared" si="148"/>
        <v>125.226</v>
      </c>
      <c r="L1956" s="19">
        <f t="shared" si="151"/>
        <v>115.88720000000001</v>
      </c>
      <c r="M1956" s="19">
        <f>MAX(G1836:G1956)</f>
        <v>131.16</v>
      </c>
      <c r="N1956" s="19">
        <f t="shared" si="149"/>
        <v>-0.86154315340042342</v>
      </c>
      <c r="O1956" s="9" t="str">
        <f t="shared" si="150"/>
        <v>2024-06</v>
      </c>
    </row>
    <row r="1957" spans="1:15" x14ac:dyDescent="0.25">
      <c r="A1957" s="9" t="s">
        <v>318</v>
      </c>
      <c r="B1957" s="9" t="s">
        <v>319</v>
      </c>
      <c r="C1957" s="25" t="s">
        <v>167</v>
      </c>
      <c r="D1957" s="19">
        <v>130.03</v>
      </c>
      <c r="E1957" s="19">
        <v>130.09</v>
      </c>
      <c r="F1957" s="19">
        <v>129.06</v>
      </c>
      <c r="G1957" s="19">
        <v>129.69</v>
      </c>
      <c r="H1957" s="19">
        <v>129.69</v>
      </c>
      <c r="I1957" s="15">
        <v>4411880</v>
      </c>
      <c r="J1957" s="19">
        <f t="shared" si="147"/>
        <v>-0.26147812043374868</v>
      </c>
      <c r="K1957" s="19">
        <f t="shared" si="148"/>
        <v>125.66050000000003</v>
      </c>
      <c r="L1957" s="19">
        <f t="shared" si="151"/>
        <v>116.37899999999999</v>
      </c>
      <c r="M1957" s="19">
        <f>MAX(G1836:G1957)</f>
        <v>131.16</v>
      </c>
      <c r="N1957" s="19">
        <f t="shared" si="149"/>
        <v>-1.1207685269899352</v>
      </c>
      <c r="O1957" s="9" t="str">
        <f t="shared" si="150"/>
        <v>2024-06</v>
      </c>
    </row>
    <row r="1958" spans="1:15" x14ac:dyDescent="0.25">
      <c r="A1958" s="9" t="s">
        <v>318</v>
      </c>
      <c r="B1958" s="9" t="s">
        <v>319</v>
      </c>
      <c r="C1958" s="25" t="s">
        <v>168</v>
      </c>
      <c r="D1958" s="19">
        <v>129.69</v>
      </c>
      <c r="E1958" s="19">
        <v>130.28</v>
      </c>
      <c r="F1958" s="19">
        <v>129.11000000000001</v>
      </c>
      <c r="G1958" s="19">
        <v>129.46</v>
      </c>
      <c r="H1958" s="19">
        <v>129.46</v>
      </c>
      <c r="I1958" s="15">
        <v>3808521</v>
      </c>
      <c r="J1958" s="19">
        <f t="shared" si="147"/>
        <v>-0.17734597887268855</v>
      </c>
      <c r="K1958" s="19">
        <f t="shared" si="148"/>
        <v>126.10250000000003</v>
      </c>
      <c r="L1958" s="19">
        <f t="shared" si="151"/>
        <v>116.86320000000002</v>
      </c>
      <c r="M1958" s="19">
        <f>MAX(G1836:G1958)</f>
        <v>131.16</v>
      </c>
      <c r="N1958" s="19">
        <f t="shared" si="149"/>
        <v>-1.2961268679475362</v>
      </c>
      <c r="O1958" s="9" t="str">
        <f t="shared" si="150"/>
        <v>2024-06</v>
      </c>
    </row>
    <row r="1959" spans="1:15" x14ac:dyDescent="0.25">
      <c r="A1959" s="9" t="s">
        <v>318</v>
      </c>
      <c r="B1959" s="9" t="s">
        <v>319</v>
      </c>
      <c r="C1959" s="25" t="s">
        <v>169</v>
      </c>
      <c r="D1959" s="19">
        <v>129.46</v>
      </c>
      <c r="E1959" s="19">
        <v>131.02000000000001</v>
      </c>
      <c r="F1959" s="19">
        <v>128.91999999999999</v>
      </c>
      <c r="G1959" s="19">
        <v>130.88999999999999</v>
      </c>
      <c r="H1959" s="19">
        <v>130.88999999999999</v>
      </c>
      <c r="I1959" s="15">
        <v>4636603</v>
      </c>
      <c r="J1959" s="19">
        <f t="shared" si="147"/>
        <v>1.1045882898192325</v>
      </c>
      <c r="K1959" s="19">
        <f t="shared" si="148"/>
        <v>126.6045</v>
      </c>
      <c r="L1959" s="19">
        <f t="shared" si="151"/>
        <v>117.37360000000001</v>
      </c>
      <c r="M1959" s="19">
        <f>MAX(G1836:G1959)</f>
        <v>131.16</v>
      </c>
      <c r="N1959" s="19">
        <f t="shared" si="149"/>
        <v>-0.20585544373285317</v>
      </c>
      <c r="O1959" s="9" t="str">
        <f t="shared" si="150"/>
        <v>2024-06</v>
      </c>
    </row>
    <row r="1960" spans="1:15" x14ac:dyDescent="0.25">
      <c r="A1960" s="9" t="s">
        <v>318</v>
      </c>
      <c r="B1960" s="9" t="s">
        <v>319</v>
      </c>
      <c r="C1960" s="25" t="s">
        <v>170</v>
      </c>
      <c r="D1960" s="19">
        <v>130.88999999999999</v>
      </c>
      <c r="E1960" s="19">
        <v>133.33000000000001</v>
      </c>
      <c r="F1960" s="19">
        <v>130.81</v>
      </c>
      <c r="G1960" s="19">
        <v>132.78</v>
      </c>
      <c r="H1960" s="19">
        <v>132.78</v>
      </c>
      <c r="I1960" s="15">
        <v>3436243</v>
      </c>
      <c r="J1960" s="19">
        <f t="shared" si="147"/>
        <v>1.4439605775842423</v>
      </c>
      <c r="K1960" s="19">
        <f t="shared" si="148"/>
        <v>126.827</v>
      </c>
      <c r="L1960" s="19">
        <f t="shared" si="151"/>
        <v>117.92200000000001</v>
      </c>
      <c r="M1960" s="19">
        <f>MAX(G1836:G1960)</f>
        <v>132.78</v>
      </c>
      <c r="N1960" s="19">
        <f t="shared" si="149"/>
        <v>0</v>
      </c>
      <c r="O1960" s="9" t="str">
        <f t="shared" si="150"/>
        <v>2024-06</v>
      </c>
    </row>
    <row r="1961" spans="1:15" x14ac:dyDescent="0.25">
      <c r="A1961" s="9" t="s">
        <v>318</v>
      </c>
      <c r="B1961" s="9" t="s">
        <v>319</v>
      </c>
      <c r="C1961" s="25" t="s">
        <v>171</v>
      </c>
      <c r="D1961" s="19">
        <v>132.78</v>
      </c>
      <c r="E1961" s="19">
        <v>132.94</v>
      </c>
      <c r="F1961" s="19">
        <v>119.88</v>
      </c>
      <c r="G1961" s="19">
        <v>119.94</v>
      </c>
      <c r="H1961" s="19">
        <v>119.94</v>
      </c>
      <c r="I1961" s="15">
        <v>15062270</v>
      </c>
      <c r="J1961" s="19">
        <f t="shared" si="147"/>
        <v>-9.6701310438319048</v>
      </c>
      <c r="K1961" s="19">
        <f t="shared" si="148"/>
        <v>126.28200000000001</v>
      </c>
      <c r="L1961" s="19">
        <f t="shared" si="151"/>
        <v>118.24079999999999</v>
      </c>
      <c r="M1961" s="19">
        <f>MAX(G1836:G1961)</f>
        <v>132.78</v>
      </c>
      <c r="N1961" s="19">
        <f t="shared" si="149"/>
        <v>-9.6701310438319048</v>
      </c>
      <c r="O1961" s="9" t="str">
        <f t="shared" si="150"/>
        <v>2024-06</v>
      </c>
    </row>
    <row r="1962" spans="1:15" x14ac:dyDescent="0.25">
      <c r="A1962" s="9" t="s">
        <v>318</v>
      </c>
      <c r="B1962" s="9" t="s">
        <v>319</v>
      </c>
      <c r="C1962" s="25" t="s">
        <v>172</v>
      </c>
      <c r="D1962" s="19">
        <v>119.94</v>
      </c>
      <c r="E1962" s="19">
        <v>120.7</v>
      </c>
      <c r="F1962" s="19">
        <v>119.72</v>
      </c>
      <c r="G1962" s="19">
        <v>120.43</v>
      </c>
      <c r="H1962" s="19">
        <v>120.43</v>
      </c>
      <c r="I1962" s="15">
        <v>2184451</v>
      </c>
      <c r="J1962" s="19">
        <f t="shared" si="147"/>
        <v>0.4085376021344081</v>
      </c>
      <c r="K1962" s="19">
        <f t="shared" si="148"/>
        <v>125.74550000000002</v>
      </c>
      <c r="L1962" s="19">
        <f t="shared" si="151"/>
        <v>118.5652</v>
      </c>
      <c r="M1962" s="19">
        <f>MAX(G1836:G1962)</f>
        <v>132.78</v>
      </c>
      <c r="N1962" s="19">
        <f t="shared" si="149"/>
        <v>-9.301099563187222</v>
      </c>
      <c r="O1962" s="9" t="str">
        <f t="shared" si="150"/>
        <v>2024-06</v>
      </c>
    </row>
    <row r="1963" spans="1:15" x14ac:dyDescent="0.25">
      <c r="A1963" s="9" t="s">
        <v>318</v>
      </c>
      <c r="B1963" s="9" t="s">
        <v>319</v>
      </c>
      <c r="C1963" s="25" t="s">
        <v>173</v>
      </c>
      <c r="D1963" s="19">
        <v>120.43</v>
      </c>
      <c r="E1963" s="19">
        <v>121.86</v>
      </c>
      <c r="F1963" s="19">
        <v>120.16</v>
      </c>
      <c r="G1963" s="19">
        <v>121.09</v>
      </c>
      <c r="H1963" s="19">
        <v>121.09</v>
      </c>
      <c r="I1963" s="15">
        <v>4816276</v>
      </c>
      <c r="J1963" s="19">
        <f t="shared" si="147"/>
        <v>0.54803620360375038</v>
      </c>
      <c r="K1963" s="19">
        <f t="shared" si="148"/>
        <v>125.29100000000003</v>
      </c>
      <c r="L1963" s="19">
        <f t="shared" si="151"/>
        <v>118.96620000000003</v>
      </c>
      <c r="M1963" s="19">
        <f>MAX(G1836:G1963)</f>
        <v>132.78</v>
      </c>
      <c r="N1963" s="19">
        <f t="shared" si="149"/>
        <v>-8.8040367525229684</v>
      </c>
      <c r="O1963" s="9" t="str">
        <f t="shared" si="150"/>
        <v>2024-06</v>
      </c>
    </row>
    <row r="1964" spans="1:15" x14ac:dyDescent="0.25">
      <c r="A1964" s="9" t="s">
        <v>318</v>
      </c>
      <c r="B1964" s="9" t="s">
        <v>319</v>
      </c>
      <c r="C1964" s="25" t="s">
        <v>174</v>
      </c>
      <c r="D1964" s="19">
        <v>121.09</v>
      </c>
      <c r="E1964" s="19">
        <v>121.46</v>
      </c>
      <c r="F1964" s="19">
        <v>117.03</v>
      </c>
      <c r="G1964" s="19">
        <v>117.13</v>
      </c>
      <c r="H1964" s="19">
        <v>117.13</v>
      </c>
      <c r="I1964" s="15">
        <v>3616996</v>
      </c>
      <c r="J1964" s="19">
        <f t="shared" si="147"/>
        <v>-3.2702948220332049</v>
      </c>
      <c r="K1964" s="19">
        <f t="shared" si="148"/>
        <v>124.68699999999998</v>
      </c>
      <c r="L1964" s="19">
        <f t="shared" si="151"/>
        <v>119.23980000000002</v>
      </c>
      <c r="M1964" s="19">
        <f>MAX(G1836:G1964)</f>
        <v>132.78</v>
      </c>
      <c r="N1964" s="19">
        <f t="shared" si="149"/>
        <v>-11.786413616508515</v>
      </c>
      <c r="O1964" s="9" t="str">
        <f t="shared" si="150"/>
        <v>2024-06</v>
      </c>
    </row>
    <row r="1965" spans="1:15" x14ac:dyDescent="0.25">
      <c r="A1965" s="9" t="s">
        <v>318</v>
      </c>
      <c r="B1965" s="9" t="s">
        <v>319</v>
      </c>
      <c r="C1965" s="25" t="s">
        <v>175</v>
      </c>
      <c r="D1965" s="19">
        <v>117.13</v>
      </c>
      <c r="E1965" s="19">
        <v>117.29</v>
      </c>
      <c r="F1965" s="19">
        <v>114.09</v>
      </c>
      <c r="G1965" s="19">
        <v>114.62</v>
      </c>
      <c r="H1965" s="19">
        <v>114.62</v>
      </c>
      <c r="I1965" s="15">
        <v>4355892</v>
      </c>
      <c r="J1965" s="19">
        <f t="shared" ref="J1965:J2028" si="152">IFERROR((G1965-G1964)/G1964*100,"")</f>
        <v>-2.1429181251600706</v>
      </c>
      <c r="K1965" s="19">
        <f t="shared" si="148"/>
        <v>124.09150000000002</v>
      </c>
      <c r="L1965" s="19">
        <f t="shared" si="151"/>
        <v>119.46060000000001</v>
      </c>
      <c r="M1965" s="19">
        <f>MAX(G1836:G1965)</f>
        <v>132.78</v>
      </c>
      <c r="N1965" s="19">
        <f t="shared" si="149"/>
        <v>-13.676758547974091</v>
      </c>
      <c r="O1965" s="9" t="str">
        <f t="shared" si="150"/>
        <v>2024-06</v>
      </c>
    </row>
    <row r="1966" spans="1:15" x14ac:dyDescent="0.25">
      <c r="A1966" s="9" t="s">
        <v>318</v>
      </c>
      <c r="B1966" s="9" t="s">
        <v>319</v>
      </c>
      <c r="C1966" s="25" t="s">
        <v>176</v>
      </c>
      <c r="D1966" s="19">
        <v>114.62</v>
      </c>
      <c r="E1966" s="19">
        <v>117.24</v>
      </c>
      <c r="F1966" s="19">
        <v>114.11</v>
      </c>
      <c r="G1966" s="19">
        <v>117.11</v>
      </c>
      <c r="H1966" s="19">
        <v>117.11</v>
      </c>
      <c r="I1966" s="15">
        <v>1949614</v>
      </c>
      <c r="J1966" s="19">
        <f t="shared" si="152"/>
        <v>2.1723957424533196</v>
      </c>
      <c r="K1966" s="19">
        <f t="shared" si="148"/>
        <v>123.59200000000003</v>
      </c>
      <c r="L1966" s="19">
        <f t="shared" si="151"/>
        <v>119.73779999999999</v>
      </c>
      <c r="M1966" s="19">
        <f>MAX(G1836:G1966)</f>
        <v>132.78</v>
      </c>
      <c r="N1966" s="19">
        <f t="shared" si="149"/>
        <v>-11.80147612592258</v>
      </c>
      <c r="O1966" s="9" t="str">
        <f t="shared" si="150"/>
        <v>2024-07</v>
      </c>
    </row>
    <row r="1967" spans="1:15" x14ac:dyDescent="0.25">
      <c r="A1967" s="9" t="s">
        <v>318</v>
      </c>
      <c r="B1967" s="9" t="s">
        <v>319</v>
      </c>
      <c r="C1967" s="25" t="s">
        <v>177</v>
      </c>
      <c r="D1967" s="19">
        <v>117.11</v>
      </c>
      <c r="E1967" s="19">
        <v>119.28</v>
      </c>
      <c r="F1967" s="19">
        <v>116.71</v>
      </c>
      <c r="G1967" s="19">
        <v>118.62</v>
      </c>
      <c r="H1967" s="19">
        <v>118.62</v>
      </c>
      <c r="I1967" s="15">
        <v>5395406</v>
      </c>
      <c r="J1967" s="19">
        <f t="shared" si="152"/>
        <v>1.289386047305956</v>
      </c>
      <c r="K1967" s="19">
        <f t="shared" si="148"/>
        <v>123.251</v>
      </c>
      <c r="L1967" s="19">
        <f t="shared" si="151"/>
        <v>120.05879999999999</v>
      </c>
      <c r="M1967" s="19">
        <f>MAX(G1836:G1967)</f>
        <v>132.78</v>
      </c>
      <c r="N1967" s="19">
        <f t="shared" si="149"/>
        <v>-10.664256665160412</v>
      </c>
      <c r="O1967" s="9" t="str">
        <f t="shared" si="150"/>
        <v>2024-07</v>
      </c>
    </row>
    <row r="1968" spans="1:15" x14ac:dyDescent="0.25">
      <c r="A1968" s="9" t="s">
        <v>318</v>
      </c>
      <c r="B1968" s="9" t="s">
        <v>319</v>
      </c>
      <c r="C1968" s="25" t="s">
        <v>178</v>
      </c>
      <c r="D1968" s="19">
        <v>118.62</v>
      </c>
      <c r="E1968" s="19">
        <v>119.17</v>
      </c>
      <c r="F1968" s="19">
        <v>117.29</v>
      </c>
      <c r="G1968" s="19">
        <v>117.47</v>
      </c>
      <c r="H1968" s="19">
        <v>117.47</v>
      </c>
      <c r="I1968" s="15">
        <v>3034288</v>
      </c>
      <c r="J1968" s="19">
        <f t="shared" si="152"/>
        <v>-0.96948238071152049</v>
      </c>
      <c r="K1968" s="19">
        <f t="shared" si="148"/>
        <v>123.05349999999999</v>
      </c>
      <c r="L1968" s="19">
        <f t="shared" si="151"/>
        <v>120.29279999999999</v>
      </c>
      <c r="M1968" s="19">
        <f>MAX(G1836:G1968)</f>
        <v>132.78</v>
      </c>
      <c r="N1968" s="19">
        <f t="shared" si="149"/>
        <v>-11.53035095646935</v>
      </c>
      <c r="O1968" s="9" t="str">
        <f t="shared" si="150"/>
        <v>2024-07</v>
      </c>
    </row>
    <row r="1969" spans="1:15" x14ac:dyDescent="0.25">
      <c r="A1969" s="9" t="s">
        <v>318</v>
      </c>
      <c r="B1969" s="9" t="s">
        <v>319</v>
      </c>
      <c r="C1969" s="25" t="s">
        <v>179</v>
      </c>
      <c r="D1969" s="19">
        <v>117.47</v>
      </c>
      <c r="E1969" s="19">
        <v>117.69</v>
      </c>
      <c r="F1969" s="19">
        <v>115.06</v>
      </c>
      <c r="G1969" s="19">
        <v>115.21</v>
      </c>
      <c r="H1969" s="19">
        <v>115.21</v>
      </c>
      <c r="I1969" s="15">
        <v>5540580</v>
      </c>
      <c r="J1969" s="19">
        <f t="shared" si="152"/>
        <v>-1.9238954626713247</v>
      </c>
      <c r="K1969" s="19">
        <f t="shared" si="148"/>
        <v>122.77799999999998</v>
      </c>
      <c r="L1969" s="19">
        <f t="shared" si="151"/>
        <v>120.46239999999997</v>
      </c>
      <c r="M1969" s="19">
        <f>MAX(G1836:G1969)</f>
        <v>132.78</v>
      </c>
      <c r="N1969" s="19">
        <f t="shared" si="149"/>
        <v>-13.232414520259081</v>
      </c>
      <c r="O1969" s="9" t="str">
        <f t="shared" si="150"/>
        <v>2024-07</v>
      </c>
    </row>
    <row r="1970" spans="1:15" x14ac:dyDescent="0.25">
      <c r="A1970" s="9" t="s">
        <v>318</v>
      </c>
      <c r="B1970" s="9" t="s">
        <v>319</v>
      </c>
      <c r="C1970" s="25" t="s">
        <v>180</v>
      </c>
      <c r="D1970" s="19">
        <v>115.21</v>
      </c>
      <c r="E1970" s="19">
        <v>118.02</v>
      </c>
      <c r="F1970" s="19">
        <v>114.91</v>
      </c>
      <c r="G1970" s="19">
        <v>117.77</v>
      </c>
      <c r="H1970" s="19">
        <v>117.77</v>
      </c>
      <c r="I1970" s="15">
        <v>4539880</v>
      </c>
      <c r="J1970" s="19">
        <f t="shared" si="152"/>
        <v>2.2220293377311018</v>
      </c>
      <c r="K1970" s="19">
        <f t="shared" si="148"/>
        <v>122.64299999999999</v>
      </c>
      <c r="L1970" s="19">
        <f t="shared" si="151"/>
        <v>120.66139999999997</v>
      </c>
      <c r="M1970" s="19">
        <f>MAX(G1836:G1970)</f>
        <v>132.78</v>
      </c>
      <c r="N1970" s="19">
        <f t="shared" si="149"/>
        <v>-11.304413315258326</v>
      </c>
      <c r="O1970" s="9" t="str">
        <f t="shared" si="150"/>
        <v>2024-07</v>
      </c>
    </row>
    <row r="1971" spans="1:15" x14ac:dyDescent="0.25">
      <c r="A1971" s="9" t="s">
        <v>318</v>
      </c>
      <c r="B1971" s="9" t="s">
        <v>319</v>
      </c>
      <c r="C1971" s="25" t="s">
        <v>181</v>
      </c>
      <c r="D1971" s="19">
        <v>117.77</v>
      </c>
      <c r="E1971" s="19">
        <v>120.24</v>
      </c>
      <c r="F1971" s="19">
        <v>117.2</v>
      </c>
      <c r="G1971" s="19">
        <v>119.59</v>
      </c>
      <c r="H1971" s="19">
        <v>119.59</v>
      </c>
      <c r="I1971" s="15">
        <v>4342963</v>
      </c>
      <c r="J1971" s="19">
        <f t="shared" si="152"/>
        <v>1.5453850725991403</v>
      </c>
      <c r="K1971" s="19">
        <f t="shared" si="148"/>
        <v>122.49600000000001</v>
      </c>
      <c r="L1971" s="19">
        <f t="shared" si="151"/>
        <v>120.85619999999999</v>
      </c>
      <c r="M1971" s="19">
        <f>MAX(G1836:G1971)</f>
        <v>132.78</v>
      </c>
      <c r="N1971" s="19">
        <f t="shared" si="149"/>
        <v>-9.9337249585780967</v>
      </c>
      <c r="O1971" s="9" t="str">
        <f t="shared" si="150"/>
        <v>2024-07</v>
      </c>
    </row>
    <row r="1972" spans="1:15" x14ac:dyDescent="0.25">
      <c r="A1972" s="9" t="s">
        <v>318</v>
      </c>
      <c r="B1972" s="9" t="s">
        <v>319</v>
      </c>
      <c r="C1972" s="25" t="s">
        <v>182</v>
      </c>
      <c r="D1972" s="19">
        <v>119.59</v>
      </c>
      <c r="E1972" s="19">
        <v>119.85</v>
      </c>
      <c r="F1972" s="19">
        <v>117.49</v>
      </c>
      <c r="G1972" s="19">
        <v>117.9</v>
      </c>
      <c r="H1972" s="19">
        <v>117.9</v>
      </c>
      <c r="I1972" s="15">
        <v>3985931</v>
      </c>
      <c r="J1972" s="19">
        <f t="shared" si="152"/>
        <v>-1.4131616355882579</v>
      </c>
      <c r="K1972" s="19">
        <f t="shared" si="148"/>
        <v>122.295</v>
      </c>
      <c r="L1972" s="19">
        <f t="shared" si="151"/>
        <v>121.03599999999999</v>
      </c>
      <c r="M1972" s="19">
        <f>MAX(G1836:G1972)</f>
        <v>132.78</v>
      </c>
      <c r="N1972" s="19">
        <f t="shared" si="149"/>
        <v>-11.206507004066873</v>
      </c>
      <c r="O1972" s="9" t="str">
        <f t="shared" si="150"/>
        <v>2024-07</v>
      </c>
    </row>
    <row r="1973" spans="1:15" x14ac:dyDescent="0.25">
      <c r="A1973" s="9" t="s">
        <v>318</v>
      </c>
      <c r="B1973" s="9" t="s">
        <v>319</v>
      </c>
      <c r="C1973" s="25" t="s">
        <v>183</v>
      </c>
      <c r="D1973" s="19">
        <v>117.9</v>
      </c>
      <c r="E1973" s="19">
        <v>118.07</v>
      </c>
      <c r="F1973" s="19">
        <v>116.58</v>
      </c>
      <c r="G1973" s="19">
        <v>117</v>
      </c>
      <c r="H1973" s="19">
        <v>117</v>
      </c>
      <c r="I1973" s="15">
        <v>4001590</v>
      </c>
      <c r="J1973" s="19">
        <f t="shared" si="152"/>
        <v>-0.76335877862595902</v>
      </c>
      <c r="K1973" s="19">
        <f t="shared" si="148"/>
        <v>121.76100000000001</v>
      </c>
      <c r="L1973" s="19">
        <f t="shared" si="151"/>
        <v>121.19079999999998</v>
      </c>
      <c r="M1973" s="19">
        <f>MAX(G1836:G1973)</f>
        <v>132.78</v>
      </c>
      <c r="N1973" s="19">
        <f t="shared" si="149"/>
        <v>-11.884319927699956</v>
      </c>
      <c r="O1973" s="9" t="str">
        <f t="shared" si="150"/>
        <v>2024-07</v>
      </c>
    </row>
    <row r="1974" spans="1:15" x14ac:dyDescent="0.25">
      <c r="A1974" s="9" t="s">
        <v>318</v>
      </c>
      <c r="B1974" s="9" t="s">
        <v>319</v>
      </c>
      <c r="C1974" s="25" t="s">
        <v>184</v>
      </c>
      <c r="D1974" s="19">
        <v>117</v>
      </c>
      <c r="E1974" s="19">
        <v>118.26</v>
      </c>
      <c r="F1974" s="19">
        <v>116.77</v>
      </c>
      <c r="G1974" s="19">
        <v>117.8</v>
      </c>
      <c r="H1974" s="19">
        <v>117.8</v>
      </c>
      <c r="I1974" s="15">
        <v>2940441</v>
      </c>
      <c r="J1974" s="19">
        <f t="shared" si="152"/>
        <v>0.68376068376068133</v>
      </c>
      <c r="K1974" s="19">
        <f t="shared" si="148"/>
        <v>121.41500000000001</v>
      </c>
      <c r="L1974" s="19">
        <f t="shared" si="151"/>
        <v>121.33920000000001</v>
      </c>
      <c r="M1974" s="19">
        <f>MAX(G1836:G1974)</f>
        <v>132.78</v>
      </c>
      <c r="N1974" s="19">
        <f t="shared" si="149"/>
        <v>-11.281819551137222</v>
      </c>
      <c r="O1974" s="9" t="str">
        <f t="shared" si="150"/>
        <v>2024-07</v>
      </c>
    </row>
    <row r="1975" spans="1:15" x14ac:dyDescent="0.25">
      <c r="A1975" s="9" t="s">
        <v>318</v>
      </c>
      <c r="B1975" s="9" t="s">
        <v>319</v>
      </c>
      <c r="C1975" s="25" t="s">
        <v>185</v>
      </c>
      <c r="D1975" s="19">
        <v>117.8</v>
      </c>
      <c r="E1975" s="19">
        <v>121.03</v>
      </c>
      <c r="F1975" s="19">
        <v>116.78</v>
      </c>
      <c r="G1975" s="19">
        <v>120.77</v>
      </c>
      <c r="H1975" s="19">
        <v>120.77</v>
      </c>
      <c r="I1975" s="15">
        <v>2566972</v>
      </c>
      <c r="J1975" s="19">
        <f t="shared" si="152"/>
        <v>2.5212224108658732</v>
      </c>
      <c r="K1975" s="19">
        <f t="shared" si="148"/>
        <v>121.26500000000001</v>
      </c>
      <c r="L1975" s="19">
        <f t="shared" si="151"/>
        <v>121.5446</v>
      </c>
      <c r="M1975" s="19">
        <f>MAX(G1836:G1975)</f>
        <v>132.78</v>
      </c>
      <c r="N1975" s="19">
        <f t="shared" si="149"/>
        <v>-9.045036903148068</v>
      </c>
      <c r="O1975" s="9" t="str">
        <f t="shared" si="150"/>
        <v>2024-07</v>
      </c>
    </row>
    <row r="1976" spans="1:15" x14ac:dyDescent="0.25">
      <c r="A1976" s="9" t="s">
        <v>318</v>
      </c>
      <c r="B1976" s="9" t="s">
        <v>319</v>
      </c>
      <c r="C1976" s="25" t="s">
        <v>186</v>
      </c>
      <c r="D1976" s="19">
        <v>120.77</v>
      </c>
      <c r="E1976" s="19">
        <v>121.42</v>
      </c>
      <c r="F1976" s="19">
        <v>118.67</v>
      </c>
      <c r="G1976" s="19">
        <v>118.82</v>
      </c>
      <c r="H1976" s="19">
        <v>118.82</v>
      </c>
      <c r="I1976" s="15">
        <v>3775075</v>
      </c>
      <c r="J1976" s="19">
        <f t="shared" si="152"/>
        <v>-1.614639397201294</v>
      </c>
      <c r="K1976" s="19">
        <f t="shared" si="148"/>
        <v>120.70450000000002</v>
      </c>
      <c r="L1976" s="19">
        <f t="shared" si="151"/>
        <v>121.6784</v>
      </c>
      <c r="M1976" s="19">
        <f>MAX(G1836:G1976)</f>
        <v>132.78</v>
      </c>
      <c r="N1976" s="19">
        <f t="shared" si="149"/>
        <v>-10.513631571019738</v>
      </c>
      <c r="O1976" s="9" t="str">
        <f t="shared" si="150"/>
        <v>2024-07</v>
      </c>
    </row>
    <row r="1977" spans="1:15" x14ac:dyDescent="0.25">
      <c r="A1977" s="9" t="s">
        <v>318</v>
      </c>
      <c r="B1977" s="9" t="s">
        <v>319</v>
      </c>
      <c r="C1977" s="25" t="s">
        <v>187</v>
      </c>
      <c r="D1977" s="19">
        <v>118.82</v>
      </c>
      <c r="E1977" s="19">
        <v>119.99</v>
      </c>
      <c r="F1977" s="19">
        <v>118.49</v>
      </c>
      <c r="G1977" s="19">
        <v>119.85</v>
      </c>
      <c r="H1977" s="19">
        <v>119.85</v>
      </c>
      <c r="I1977" s="15">
        <v>4318740</v>
      </c>
      <c r="J1977" s="19">
        <f t="shared" si="152"/>
        <v>0.86685743140885474</v>
      </c>
      <c r="K1977" s="19">
        <f t="shared" si="148"/>
        <v>120.21250000000002</v>
      </c>
      <c r="L1977" s="19">
        <f t="shared" si="151"/>
        <v>121.87460000000002</v>
      </c>
      <c r="M1977" s="19">
        <f>MAX(G1836:G1977)</f>
        <v>132.78</v>
      </c>
      <c r="N1977" s="19">
        <f t="shared" si="149"/>
        <v>-9.7379123361952153</v>
      </c>
      <c r="O1977" s="9" t="str">
        <f t="shared" si="150"/>
        <v>2024-07</v>
      </c>
    </row>
    <row r="1978" spans="1:15" x14ac:dyDescent="0.25">
      <c r="A1978" s="9" t="s">
        <v>318</v>
      </c>
      <c r="B1978" s="9" t="s">
        <v>319</v>
      </c>
      <c r="C1978" s="25" t="s">
        <v>188</v>
      </c>
      <c r="D1978" s="19">
        <v>119.85</v>
      </c>
      <c r="E1978" s="19">
        <v>121.25</v>
      </c>
      <c r="F1978" s="19">
        <v>119.41</v>
      </c>
      <c r="G1978" s="19">
        <v>121.21</v>
      </c>
      <c r="H1978" s="19">
        <v>121.21</v>
      </c>
      <c r="I1978" s="15">
        <v>3291190</v>
      </c>
      <c r="J1978" s="19">
        <f t="shared" si="152"/>
        <v>1.134751773049645</v>
      </c>
      <c r="K1978" s="19">
        <f t="shared" si="148"/>
        <v>119.8</v>
      </c>
      <c r="L1978" s="19">
        <f t="shared" si="151"/>
        <v>122.12180000000002</v>
      </c>
      <c r="M1978" s="19">
        <f>MAX(G1836:G1978)</f>
        <v>132.78</v>
      </c>
      <c r="N1978" s="19">
        <f t="shared" si="149"/>
        <v>-8.7136616960385656</v>
      </c>
      <c r="O1978" s="9" t="str">
        <f t="shared" si="150"/>
        <v>2024-07</v>
      </c>
    </row>
    <row r="1979" spans="1:15" x14ac:dyDescent="0.25">
      <c r="A1979" s="9" t="s">
        <v>318</v>
      </c>
      <c r="B1979" s="9" t="s">
        <v>319</v>
      </c>
      <c r="C1979" s="25" t="s">
        <v>189</v>
      </c>
      <c r="D1979" s="19">
        <v>121.21</v>
      </c>
      <c r="E1979" s="19">
        <v>121.35</v>
      </c>
      <c r="F1979" s="19">
        <v>119.97</v>
      </c>
      <c r="G1979" s="19">
        <v>120.06</v>
      </c>
      <c r="H1979" s="19">
        <v>120.06</v>
      </c>
      <c r="I1979" s="15">
        <v>2904626</v>
      </c>
      <c r="J1979" s="19">
        <f t="shared" si="152"/>
        <v>-0.94876660341555275</v>
      </c>
      <c r="K1979" s="19">
        <f t="shared" si="148"/>
        <v>119.2585</v>
      </c>
      <c r="L1979" s="19">
        <f t="shared" si="151"/>
        <v>122.31300000000003</v>
      </c>
      <c r="M1979" s="19">
        <f>MAX(G1836:G1979)</f>
        <v>132.78</v>
      </c>
      <c r="N1979" s="19">
        <f t="shared" si="149"/>
        <v>-9.5797559873474913</v>
      </c>
      <c r="O1979" s="9" t="str">
        <f t="shared" si="150"/>
        <v>2024-07</v>
      </c>
    </row>
    <row r="1980" spans="1:15" x14ac:dyDescent="0.25">
      <c r="A1980" s="9" t="s">
        <v>318</v>
      </c>
      <c r="B1980" s="9" t="s">
        <v>319</v>
      </c>
      <c r="C1980" s="25" t="s">
        <v>190</v>
      </c>
      <c r="D1980" s="19">
        <v>120.06</v>
      </c>
      <c r="E1980" s="19">
        <v>120.22</v>
      </c>
      <c r="F1980" s="19">
        <v>118.68</v>
      </c>
      <c r="G1980" s="19">
        <v>119.23</v>
      </c>
      <c r="H1980" s="19">
        <v>119.23</v>
      </c>
      <c r="I1980" s="15">
        <v>4649974</v>
      </c>
      <c r="J1980" s="19">
        <f t="shared" si="152"/>
        <v>-0.6913210061635835</v>
      </c>
      <c r="K1980" s="19">
        <f t="shared" si="148"/>
        <v>118.58099999999999</v>
      </c>
      <c r="L1980" s="19">
        <f t="shared" si="151"/>
        <v>122.49860000000001</v>
      </c>
      <c r="M1980" s="19">
        <f>MAX(G1836:G1980)</f>
        <v>132.78</v>
      </c>
      <c r="N1980" s="19">
        <f t="shared" si="149"/>
        <v>-10.204850128031326</v>
      </c>
      <c r="O1980" s="9" t="str">
        <f t="shared" si="150"/>
        <v>2024-07</v>
      </c>
    </row>
    <row r="1981" spans="1:15" x14ac:dyDescent="0.25">
      <c r="A1981" s="9" t="s">
        <v>318</v>
      </c>
      <c r="B1981" s="9" t="s">
        <v>319</v>
      </c>
      <c r="C1981" s="25" t="s">
        <v>191</v>
      </c>
      <c r="D1981" s="19">
        <v>119.23</v>
      </c>
      <c r="E1981" s="19">
        <v>122.6</v>
      </c>
      <c r="F1981" s="19">
        <v>118.67</v>
      </c>
      <c r="G1981" s="19">
        <v>121.98</v>
      </c>
      <c r="H1981" s="19">
        <v>121.98</v>
      </c>
      <c r="I1981" s="15">
        <v>5373151</v>
      </c>
      <c r="J1981" s="19">
        <f t="shared" si="152"/>
        <v>2.306466493332215</v>
      </c>
      <c r="K1981" s="19">
        <f t="shared" si="148"/>
        <v>118.68299999999999</v>
      </c>
      <c r="L1981" s="19">
        <f t="shared" si="151"/>
        <v>122.5402</v>
      </c>
      <c r="M1981" s="19">
        <f>MAX(G1836:G1981)</f>
        <v>132.78</v>
      </c>
      <c r="N1981" s="19">
        <f t="shared" si="149"/>
        <v>-8.1337550835969239</v>
      </c>
      <c r="O1981" s="9" t="str">
        <f t="shared" si="150"/>
        <v>2024-07</v>
      </c>
    </row>
    <row r="1982" spans="1:15" x14ac:dyDescent="0.25">
      <c r="A1982" s="9" t="s">
        <v>318</v>
      </c>
      <c r="B1982" s="9" t="s">
        <v>319</v>
      </c>
      <c r="C1982" s="25" t="s">
        <v>192</v>
      </c>
      <c r="D1982" s="19">
        <v>121.98</v>
      </c>
      <c r="E1982" s="19">
        <v>122.36</v>
      </c>
      <c r="F1982" s="19">
        <v>118.67</v>
      </c>
      <c r="G1982" s="19">
        <v>119.13</v>
      </c>
      <c r="H1982" s="19">
        <v>119.13</v>
      </c>
      <c r="I1982" s="15">
        <v>3867357</v>
      </c>
      <c r="J1982" s="19">
        <f t="shared" si="152"/>
        <v>-2.3364485981308478</v>
      </c>
      <c r="K1982" s="19">
        <f t="shared" si="148"/>
        <v>118.61800000000001</v>
      </c>
      <c r="L1982" s="19">
        <f t="shared" si="151"/>
        <v>122.47700000000003</v>
      </c>
      <c r="M1982" s="19">
        <f>MAX(G1836:G1982)</f>
        <v>132.78</v>
      </c>
      <c r="N1982" s="19">
        <f t="shared" si="149"/>
        <v>-10.280162675101675</v>
      </c>
      <c r="O1982" s="9" t="str">
        <f t="shared" si="150"/>
        <v>2024-07</v>
      </c>
    </row>
    <row r="1983" spans="1:15" x14ac:dyDescent="0.25">
      <c r="A1983" s="9" t="s">
        <v>318</v>
      </c>
      <c r="B1983" s="9" t="s">
        <v>319</v>
      </c>
      <c r="C1983" s="25" t="s">
        <v>193</v>
      </c>
      <c r="D1983" s="19">
        <v>119.13</v>
      </c>
      <c r="E1983" s="19">
        <v>121.74</v>
      </c>
      <c r="F1983" s="19">
        <v>118.89</v>
      </c>
      <c r="G1983" s="19">
        <v>121.62</v>
      </c>
      <c r="H1983" s="19">
        <v>121.62</v>
      </c>
      <c r="I1983" s="15">
        <v>2945831</v>
      </c>
      <c r="J1983" s="19">
        <f t="shared" si="152"/>
        <v>2.0901536136993277</v>
      </c>
      <c r="K1983" s="19">
        <f t="shared" ref="K1983:K2046" si="153">AVERAGE(G1964:G1983)</f>
        <v>118.64449999999999</v>
      </c>
      <c r="L1983" s="19">
        <f t="shared" si="151"/>
        <v>122.45700000000002</v>
      </c>
      <c r="M1983" s="19">
        <f>MAX(G1836:G1983)</f>
        <v>132.78</v>
      </c>
      <c r="N1983" s="19">
        <f t="shared" si="149"/>
        <v>-8.4048802530501554</v>
      </c>
      <c r="O1983" s="9" t="str">
        <f t="shared" si="150"/>
        <v>2024-07</v>
      </c>
    </row>
    <row r="1984" spans="1:15" x14ac:dyDescent="0.25">
      <c r="A1984" s="9" t="s">
        <v>318</v>
      </c>
      <c r="B1984" s="9" t="s">
        <v>319</v>
      </c>
      <c r="C1984" s="25" t="s">
        <v>194</v>
      </c>
      <c r="D1984" s="19">
        <v>121.62</v>
      </c>
      <c r="E1984" s="19">
        <v>123.49</v>
      </c>
      <c r="F1984" s="19">
        <v>121.56</v>
      </c>
      <c r="G1984" s="19">
        <v>123.18</v>
      </c>
      <c r="H1984" s="19">
        <v>123.18</v>
      </c>
      <c r="I1984" s="15">
        <v>4104364</v>
      </c>
      <c r="J1984" s="19">
        <f t="shared" si="152"/>
        <v>1.2826837691169233</v>
      </c>
      <c r="K1984" s="19">
        <f t="shared" si="153"/>
        <v>118.94699999999997</v>
      </c>
      <c r="L1984" s="19">
        <f t="shared" si="151"/>
        <v>122.52960000000003</v>
      </c>
      <c r="M1984" s="19">
        <f>MAX(G1836:G1984)</f>
        <v>132.78</v>
      </c>
      <c r="N1984" s="19">
        <f t="shared" si="149"/>
        <v>-7.2300045187528195</v>
      </c>
      <c r="O1984" s="9" t="str">
        <f t="shared" si="150"/>
        <v>2024-07</v>
      </c>
    </row>
    <row r="1985" spans="1:15" x14ac:dyDescent="0.25">
      <c r="A1985" s="9" t="s">
        <v>318</v>
      </c>
      <c r="B1985" s="9" t="s">
        <v>319</v>
      </c>
      <c r="C1985" s="25" t="s">
        <v>195</v>
      </c>
      <c r="D1985" s="19">
        <v>123.18</v>
      </c>
      <c r="E1985" s="19">
        <v>127.08</v>
      </c>
      <c r="F1985" s="19">
        <v>122.28</v>
      </c>
      <c r="G1985" s="19">
        <v>126.39</v>
      </c>
      <c r="H1985" s="19">
        <v>126.39</v>
      </c>
      <c r="I1985" s="15">
        <v>3282798</v>
      </c>
      <c r="J1985" s="19">
        <f t="shared" si="152"/>
        <v>2.6059425231368674</v>
      </c>
      <c r="K1985" s="19">
        <f t="shared" si="153"/>
        <v>119.53549999999998</v>
      </c>
      <c r="L1985" s="19">
        <f t="shared" si="151"/>
        <v>122.63280000000003</v>
      </c>
      <c r="M1985" s="19">
        <f>MAX(G1836:G1985)</f>
        <v>132.78</v>
      </c>
      <c r="N1985" s="19">
        <f t="shared" si="149"/>
        <v>-4.8124717577948495</v>
      </c>
      <c r="O1985" s="9" t="str">
        <f t="shared" si="150"/>
        <v>2024-07</v>
      </c>
    </row>
    <row r="1986" spans="1:15" x14ac:dyDescent="0.25">
      <c r="A1986" s="9" t="s">
        <v>318</v>
      </c>
      <c r="B1986" s="9" t="s">
        <v>319</v>
      </c>
      <c r="C1986" s="25" t="s">
        <v>196</v>
      </c>
      <c r="D1986" s="19">
        <v>126.39</v>
      </c>
      <c r="E1986" s="19">
        <v>127.51</v>
      </c>
      <c r="F1986" s="19">
        <v>126.33</v>
      </c>
      <c r="G1986" s="19">
        <v>127.21</v>
      </c>
      <c r="H1986" s="19">
        <v>127.21</v>
      </c>
      <c r="I1986" s="15">
        <v>3714717</v>
      </c>
      <c r="J1986" s="19">
        <f t="shared" si="152"/>
        <v>0.64878550518236655</v>
      </c>
      <c r="K1986" s="19">
        <f t="shared" si="153"/>
        <v>120.04049999999998</v>
      </c>
      <c r="L1986" s="19">
        <f t="shared" si="151"/>
        <v>122.76940000000002</v>
      </c>
      <c r="M1986" s="19">
        <f>MAX(G1836:G1986)</f>
        <v>132.78</v>
      </c>
      <c r="N1986" s="19">
        <f t="shared" ref="N1986:N2049" si="154">(G1986-M1986)/M1986*100</f>
        <v>-4.1949088718180505</v>
      </c>
      <c r="O1986" s="9" t="str">
        <f t="shared" ref="O1986:O2049" si="155">TEXT(C1986,"yyyy-mm")</f>
        <v>2024-07</v>
      </c>
    </row>
    <row r="1987" spans="1:15" x14ac:dyDescent="0.25">
      <c r="A1987" s="9" t="s">
        <v>318</v>
      </c>
      <c r="B1987" s="9" t="s">
        <v>319</v>
      </c>
      <c r="C1987" s="25" t="s">
        <v>197</v>
      </c>
      <c r="D1987" s="19">
        <v>127.21</v>
      </c>
      <c r="E1987" s="19">
        <v>128.11000000000001</v>
      </c>
      <c r="F1987" s="19">
        <v>126.77</v>
      </c>
      <c r="G1987" s="19">
        <v>127.74</v>
      </c>
      <c r="H1987" s="19">
        <v>127.74</v>
      </c>
      <c r="I1987" s="15">
        <v>2840611</v>
      </c>
      <c r="J1987" s="19">
        <f t="shared" si="152"/>
        <v>0.41663391242826914</v>
      </c>
      <c r="K1987" s="19">
        <f t="shared" si="153"/>
        <v>120.4965</v>
      </c>
      <c r="L1987" s="19">
        <f t="shared" si="151"/>
        <v>122.90420000000002</v>
      </c>
      <c r="M1987" s="19">
        <f>MAX(G1836:G1987)</f>
        <v>132.78</v>
      </c>
      <c r="N1987" s="19">
        <f t="shared" si="154"/>
        <v>-3.7957523723452375</v>
      </c>
      <c r="O1987" s="9" t="str">
        <f t="shared" si="155"/>
        <v>2024-07</v>
      </c>
    </row>
    <row r="1988" spans="1:15" x14ac:dyDescent="0.25">
      <c r="A1988" s="9" t="s">
        <v>318</v>
      </c>
      <c r="B1988" s="9" t="s">
        <v>319</v>
      </c>
      <c r="C1988" s="25" t="s">
        <v>198</v>
      </c>
      <c r="D1988" s="19">
        <v>127.74</v>
      </c>
      <c r="E1988" s="19">
        <v>127.9</v>
      </c>
      <c r="F1988" s="19">
        <v>127.45</v>
      </c>
      <c r="G1988" s="19">
        <v>127.6</v>
      </c>
      <c r="H1988" s="19">
        <v>127.6</v>
      </c>
      <c r="I1988" s="15">
        <v>3634093</v>
      </c>
      <c r="J1988" s="19">
        <f t="shared" si="152"/>
        <v>-0.10959762016596257</v>
      </c>
      <c r="K1988" s="19">
        <f t="shared" si="153"/>
        <v>121.00299999999997</v>
      </c>
      <c r="L1988" s="19">
        <f t="shared" si="151"/>
        <v>123.04380000000003</v>
      </c>
      <c r="M1988" s="19">
        <f>MAX(G1836:G1988)</f>
        <v>132.78</v>
      </c>
      <c r="N1988" s="19">
        <f t="shared" si="154"/>
        <v>-3.901189938243717</v>
      </c>
      <c r="O1988" s="9" t="str">
        <f t="shared" si="155"/>
        <v>2024-07</v>
      </c>
    </row>
    <row r="1989" spans="1:15" x14ac:dyDescent="0.25">
      <c r="A1989" s="9" t="s">
        <v>318</v>
      </c>
      <c r="B1989" s="9" t="s">
        <v>319</v>
      </c>
      <c r="C1989" s="25" t="s">
        <v>199</v>
      </c>
      <c r="D1989" s="19">
        <v>127.6</v>
      </c>
      <c r="E1989" s="19">
        <v>129.77000000000001</v>
      </c>
      <c r="F1989" s="19">
        <v>127.14</v>
      </c>
      <c r="G1989" s="19">
        <v>129.13999999999999</v>
      </c>
      <c r="H1989" s="19">
        <v>129.13999999999999</v>
      </c>
      <c r="I1989" s="15">
        <v>4263162</v>
      </c>
      <c r="J1989" s="19">
        <f t="shared" si="152"/>
        <v>1.2068965517241317</v>
      </c>
      <c r="K1989" s="19">
        <f t="shared" si="153"/>
        <v>121.69949999999997</v>
      </c>
      <c r="L1989" s="19">
        <f t="shared" si="151"/>
        <v>123.20960000000002</v>
      </c>
      <c r="M1989" s="19">
        <f>MAX(G1836:G1989)</f>
        <v>132.78</v>
      </c>
      <c r="N1989" s="19">
        <f t="shared" si="154"/>
        <v>-2.7413767133604572</v>
      </c>
      <c r="O1989" s="9" t="str">
        <f t="shared" si="155"/>
        <v>2024-08</v>
      </c>
    </row>
    <row r="1990" spans="1:15" x14ac:dyDescent="0.25">
      <c r="A1990" s="9" t="s">
        <v>318</v>
      </c>
      <c r="B1990" s="9" t="s">
        <v>319</v>
      </c>
      <c r="C1990" s="25" t="s">
        <v>200</v>
      </c>
      <c r="D1990" s="19">
        <v>129.13999999999999</v>
      </c>
      <c r="E1990" s="19">
        <v>131.19999999999999</v>
      </c>
      <c r="F1990" s="19">
        <v>128.78</v>
      </c>
      <c r="G1990" s="19">
        <v>130.9</v>
      </c>
      <c r="H1990" s="19">
        <v>130.9</v>
      </c>
      <c r="I1990" s="15">
        <v>2987918</v>
      </c>
      <c r="J1990" s="19">
        <f t="shared" si="152"/>
        <v>1.3628620102214801</v>
      </c>
      <c r="K1990" s="19">
        <f t="shared" si="153"/>
        <v>122.35599999999999</v>
      </c>
      <c r="L1990" s="19">
        <f t="shared" si="151"/>
        <v>123.26100000000002</v>
      </c>
      <c r="M1990" s="19">
        <f>MAX(G1836:G1990)</f>
        <v>132.78</v>
      </c>
      <c r="N1990" s="19">
        <f t="shared" si="154"/>
        <v>-1.4158758849224247</v>
      </c>
      <c r="O1990" s="9" t="str">
        <f t="shared" si="155"/>
        <v>2024-08</v>
      </c>
    </row>
    <row r="1991" spans="1:15" x14ac:dyDescent="0.25">
      <c r="A1991" s="9" t="s">
        <v>318</v>
      </c>
      <c r="B1991" s="9" t="s">
        <v>319</v>
      </c>
      <c r="C1991" s="25" t="s">
        <v>201</v>
      </c>
      <c r="D1991" s="19">
        <v>130.9</v>
      </c>
      <c r="E1991" s="19">
        <v>131.46</v>
      </c>
      <c r="F1991" s="19">
        <v>130.13999999999999</v>
      </c>
      <c r="G1991" s="19">
        <v>131.41999999999999</v>
      </c>
      <c r="H1991" s="19">
        <v>131.41999999999999</v>
      </c>
      <c r="I1991" s="15">
        <v>4016979</v>
      </c>
      <c r="J1991" s="19">
        <f t="shared" si="152"/>
        <v>0.39724980901450102</v>
      </c>
      <c r="K1991" s="19">
        <f t="shared" si="153"/>
        <v>122.94750000000002</v>
      </c>
      <c r="L1991" s="19">
        <f t="shared" si="151"/>
        <v>123.27260000000003</v>
      </c>
      <c r="M1991" s="19">
        <f>MAX(G1836:G1991)</f>
        <v>132.78</v>
      </c>
      <c r="N1991" s="19">
        <f t="shared" si="154"/>
        <v>-1.0242506401566602</v>
      </c>
      <c r="O1991" s="9" t="str">
        <f t="shared" si="155"/>
        <v>2024-08</v>
      </c>
    </row>
    <row r="1992" spans="1:15" x14ac:dyDescent="0.25">
      <c r="A1992" s="9" t="s">
        <v>318</v>
      </c>
      <c r="B1992" s="9" t="s">
        <v>319</v>
      </c>
      <c r="C1992" s="25" t="s">
        <v>202</v>
      </c>
      <c r="D1992" s="19">
        <v>131.41999999999999</v>
      </c>
      <c r="E1992" s="19">
        <v>131.58000000000001</v>
      </c>
      <c r="F1992" s="19">
        <v>129.88</v>
      </c>
      <c r="G1992" s="19">
        <v>130.12</v>
      </c>
      <c r="H1992" s="19">
        <v>130.12</v>
      </c>
      <c r="I1992" s="15">
        <v>5398392</v>
      </c>
      <c r="J1992" s="19">
        <f t="shared" si="152"/>
        <v>-0.989194947496563</v>
      </c>
      <c r="K1992" s="19">
        <f t="shared" si="153"/>
        <v>123.55850000000001</v>
      </c>
      <c r="L1992" s="19">
        <f t="shared" si="151"/>
        <v>123.25180000000002</v>
      </c>
      <c r="M1992" s="19">
        <f>MAX(G1836:G1992)</f>
        <v>132.78</v>
      </c>
      <c r="N1992" s="19">
        <f t="shared" si="154"/>
        <v>-2.0033137520710924</v>
      </c>
      <c r="O1992" s="9" t="str">
        <f t="shared" si="155"/>
        <v>2024-08</v>
      </c>
    </row>
    <row r="1993" spans="1:15" x14ac:dyDescent="0.25">
      <c r="A1993" s="9" t="s">
        <v>318</v>
      </c>
      <c r="B1993" s="9" t="s">
        <v>319</v>
      </c>
      <c r="C1993" s="25" t="s">
        <v>203</v>
      </c>
      <c r="D1993" s="19">
        <v>130.12</v>
      </c>
      <c r="E1993" s="19">
        <v>130.46</v>
      </c>
      <c r="F1993" s="19">
        <v>128.97</v>
      </c>
      <c r="G1993" s="19">
        <v>129.58000000000001</v>
      </c>
      <c r="H1993" s="19">
        <v>129.58000000000001</v>
      </c>
      <c r="I1993" s="15">
        <v>6184652</v>
      </c>
      <c r="J1993" s="19">
        <f t="shared" si="152"/>
        <v>-0.41500153704272363</v>
      </c>
      <c r="K1993" s="19">
        <f t="shared" si="153"/>
        <v>124.1875</v>
      </c>
      <c r="L1993" s="19">
        <f t="shared" si="151"/>
        <v>123.23980000000003</v>
      </c>
      <c r="M1993" s="19">
        <f>MAX(G1836:G1993)</f>
        <v>132.78</v>
      </c>
      <c r="N1993" s="19">
        <f t="shared" si="154"/>
        <v>-2.4100015062509326</v>
      </c>
      <c r="O1993" s="9" t="str">
        <f t="shared" si="155"/>
        <v>2024-08</v>
      </c>
    </row>
    <row r="1994" spans="1:15" x14ac:dyDescent="0.25">
      <c r="A1994" s="9" t="s">
        <v>318</v>
      </c>
      <c r="B1994" s="9" t="s">
        <v>319</v>
      </c>
      <c r="C1994" s="25" t="s">
        <v>204</v>
      </c>
      <c r="D1994" s="19">
        <v>129.58000000000001</v>
      </c>
      <c r="E1994" s="19">
        <v>130.01</v>
      </c>
      <c r="F1994" s="19">
        <v>127.99</v>
      </c>
      <c r="G1994" s="19">
        <v>128.36000000000001</v>
      </c>
      <c r="H1994" s="19">
        <v>128.36000000000001</v>
      </c>
      <c r="I1994" s="15">
        <v>4164006</v>
      </c>
      <c r="J1994" s="19">
        <f t="shared" si="152"/>
        <v>-0.94150331841333434</v>
      </c>
      <c r="K1994" s="19">
        <f t="shared" si="153"/>
        <v>124.71550000000002</v>
      </c>
      <c r="L1994" s="19">
        <f t="shared" si="151"/>
        <v>123.22279999999999</v>
      </c>
      <c r="M1994" s="19">
        <f>MAX(G1836:G1994)</f>
        <v>132.78</v>
      </c>
      <c r="N1994" s="19">
        <f t="shared" si="154"/>
        <v>-3.3288145805091034</v>
      </c>
      <c r="O1994" s="9" t="str">
        <f t="shared" si="155"/>
        <v>2024-08</v>
      </c>
    </row>
    <row r="1995" spans="1:15" x14ac:dyDescent="0.25">
      <c r="A1995" s="9" t="s">
        <v>318</v>
      </c>
      <c r="B1995" s="9" t="s">
        <v>319</v>
      </c>
      <c r="C1995" s="25" t="s">
        <v>205</v>
      </c>
      <c r="D1995" s="19">
        <v>128.36000000000001</v>
      </c>
      <c r="E1995" s="19">
        <v>131.07</v>
      </c>
      <c r="F1995" s="19">
        <v>127.83</v>
      </c>
      <c r="G1995" s="19">
        <v>131.06</v>
      </c>
      <c r="H1995" s="19">
        <v>131.06</v>
      </c>
      <c r="I1995" s="15">
        <v>5102697</v>
      </c>
      <c r="J1995" s="19">
        <f t="shared" si="152"/>
        <v>2.1034590215020166</v>
      </c>
      <c r="K1995" s="19">
        <f t="shared" si="153"/>
        <v>125.22999999999999</v>
      </c>
      <c r="L1995" s="19">
        <f t="shared" si="151"/>
        <v>123.31340000000002</v>
      </c>
      <c r="M1995" s="19">
        <f>MAX(G1836:G1995)</f>
        <v>132.78</v>
      </c>
      <c r="N1995" s="19">
        <f t="shared" si="154"/>
        <v>-1.2953758096098802</v>
      </c>
      <c r="O1995" s="9" t="str">
        <f t="shared" si="155"/>
        <v>2024-08</v>
      </c>
    </row>
    <row r="1996" spans="1:15" x14ac:dyDescent="0.25">
      <c r="A1996" s="9" t="s">
        <v>318</v>
      </c>
      <c r="B1996" s="9" t="s">
        <v>319</v>
      </c>
      <c r="C1996" s="25" t="s">
        <v>206</v>
      </c>
      <c r="D1996" s="19">
        <v>131.06</v>
      </c>
      <c r="E1996" s="19">
        <v>131.63</v>
      </c>
      <c r="F1996" s="19">
        <v>129.96</v>
      </c>
      <c r="G1996" s="19">
        <v>130.07</v>
      </c>
      <c r="H1996" s="19">
        <v>130.07</v>
      </c>
      <c r="I1996" s="15">
        <v>3267061</v>
      </c>
      <c r="J1996" s="19">
        <f t="shared" si="152"/>
        <v>-0.75537921562643762</v>
      </c>
      <c r="K1996" s="19">
        <f t="shared" si="153"/>
        <v>125.79250000000002</v>
      </c>
      <c r="L1996" s="19">
        <f t="shared" si="151"/>
        <v>123.37280000000001</v>
      </c>
      <c r="M1996" s="19">
        <f>MAX(G1836:G1996)</f>
        <v>132.78</v>
      </c>
      <c r="N1996" s="19">
        <f t="shared" si="154"/>
        <v>-2.0409700256062719</v>
      </c>
      <c r="O1996" s="9" t="str">
        <f t="shared" si="155"/>
        <v>2024-08</v>
      </c>
    </row>
    <row r="1997" spans="1:15" x14ac:dyDescent="0.25">
      <c r="A1997" s="9" t="s">
        <v>318</v>
      </c>
      <c r="B1997" s="9" t="s">
        <v>319</v>
      </c>
      <c r="C1997" s="25" t="s">
        <v>207</v>
      </c>
      <c r="D1997" s="19">
        <v>130.07</v>
      </c>
      <c r="E1997" s="19">
        <v>130.41</v>
      </c>
      <c r="F1997" s="19">
        <v>129.91999999999999</v>
      </c>
      <c r="G1997" s="19">
        <v>130.41</v>
      </c>
      <c r="H1997" s="19">
        <v>130.41</v>
      </c>
      <c r="I1997" s="15">
        <v>5549528</v>
      </c>
      <c r="J1997" s="19">
        <f t="shared" si="152"/>
        <v>0.26139770892596559</v>
      </c>
      <c r="K1997" s="19">
        <f t="shared" si="153"/>
        <v>126.3205</v>
      </c>
      <c r="L1997" s="19">
        <f t="shared" si="151"/>
        <v>123.47220000000002</v>
      </c>
      <c r="M1997" s="19">
        <f>MAX(G1836:G1997)</f>
        <v>132.78</v>
      </c>
      <c r="N1997" s="19">
        <f t="shared" si="154"/>
        <v>-1.7849073655671071</v>
      </c>
      <c r="O1997" s="9" t="str">
        <f t="shared" si="155"/>
        <v>2024-08</v>
      </c>
    </row>
    <row r="1998" spans="1:15" x14ac:dyDescent="0.25">
      <c r="A1998" s="9" t="s">
        <v>318</v>
      </c>
      <c r="B1998" s="9" t="s">
        <v>319</v>
      </c>
      <c r="C1998" s="25" t="s">
        <v>208</v>
      </c>
      <c r="D1998" s="19">
        <v>130.41</v>
      </c>
      <c r="E1998" s="19">
        <v>132.06</v>
      </c>
      <c r="F1998" s="19">
        <v>129.51</v>
      </c>
      <c r="G1998" s="19">
        <v>131.37</v>
      </c>
      <c r="H1998" s="19">
        <v>131.37</v>
      </c>
      <c r="I1998" s="15">
        <v>2227582</v>
      </c>
      <c r="J1998" s="19">
        <f t="shared" si="152"/>
        <v>0.73613986657465535</v>
      </c>
      <c r="K1998" s="19">
        <f t="shared" si="153"/>
        <v>126.82849999999999</v>
      </c>
      <c r="L1998" s="19">
        <f t="shared" si="151"/>
        <v>123.67120000000001</v>
      </c>
      <c r="M1998" s="19">
        <f>MAX(G1836:G1998)</f>
        <v>132.78</v>
      </c>
      <c r="N1998" s="19">
        <f t="shared" si="154"/>
        <v>-1.0619069136918184</v>
      </c>
      <c r="O1998" s="9" t="str">
        <f t="shared" si="155"/>
        <v>2024-08</v>
      </c>
    </row>
    <row r="1999" spans="1:15" x14ac:dyDescent="0.25">
      <c r="A1999" s="9" t="s">
        <v>318</v>
      </c>
      <c r="B1999" s="9" t="s">
        <v>319</v>
      </c>
      <c r="C1999" s="25" t="s">
        <v>209</v>
      </c>
      <c r="D1999" s="19">
        <v>131.37</v>
      </c>
      <c r="E1999" s="19">
        <v>132.33000000000001</v>
      </c>
      <c r="F1999" s="19">
        <v>128.62</v>
      </c>
      <c r="G1999" s="19">
        <v>128.80000000000001</v>
      </c>
      <c r="H1999" s="19">
        <v>128.80000000000001</v>
      </c>
      <c r="I1999" s="15">
        <v>4587105</v>
      </c>
      <c r="J1999" s="19">
        <f t="shared" si="152"/>
        <v>-1.9563066149044632</v>
      </c>
      <c r="K1999" s="19">
        <f t="shared" si="153"/>
        <v>127.26550000000002</v>
      </c>
      <c r="L1999" s="19">
        <f t="shared" si="151"/>
        <v>123.83280000000001</v>
      </c>
      <c r="M1999" s="19">
        <f>MAX(G1836:G1999)</f>
        <v>132.78</v>
      </c>
      <c r="N1999" s="19">
        <f t="shared" si="154"/>
        <v>-2.9974393733996005</v>
      </c>
      <c r="O1999" s="9" t="str">
        <f t="shared" si="155"/>
        <v>2024-08</v>
      </c>
    </row>
    <row r="2000" spans="1:15" x14ac:dyDescent="0.25">
      <c r="A2000" s="9" t="s">
        <v>318</v>
      </c>
      <c r="B2000" s="9" t="s">
        <v>319</v>
      </c>
      <c r="C2000" s="25" t="s">
        <v>210</v>
      </c>
      <c r="D2000" s="19">
        <v>128.80000000000001</v>
      </c>
      <c r="E2000" s="19">
        <v>130.76</v>
      </c>
      <c r="F2000" s="19">
        <v>128.15</v>
      </c>
      <c r="G2000" s="19">
        <v>130.32</v>
      </c>
      <c r="H2000" s="19">
        <v>130.32</v>
      </c>
      <c r="I2000" s="15">
        <v>4026940</v>
      </c>
      <c r="J2000" s="19">
        <f t="shared" si="152"/>
        <v>1.1801242236024703</v>
      </c>
      <c r="K2000" s="19">
        <f t="shared" si="153"/>
        <v>127.82000000000002</v>
      </c>
      <c r="L2000" s="19">
        <f t="shared" si="151"/>
        <v>124.02979999999999</v>
      </c>
      <c r="M2000" s="19">
        <f>MAX(G1836:G2000)</f>
        <v>132.78</v>
      </c>
      <c r="N2000" s="19">
        <f t="shared" si="154"/>
        <v>-1.8526886579304174</v>
      </c>
      <c r="O2000" s="9" t="str">
        <f t="shared" si="155"/>
        <v>2024-08</v>
      </c>
    </row>
    <row r="2001" spans="1:15" x14ac:dyDescent="0.25">
      <c r="A2001" s="9" t="s">
        <v>318</v>
      </c>
      <c r="B2001" s="9" t="s">
        <v>319</v>
      </c>
      <c r="C2001" s="25" t="s">
        <v>211</v>
      </c>
      <c r="D2001" s="19">
        <v>130.32</v>
      </c>
      <c r="E2001" s="19">
        <v>130.87</v>
      </c>
      <c r="F2001" s="19">
        <v>129.72999999999999</v>
      </c>
      <c r="G2001" s="19">
        <v>129.76</v>
      </c>
      <c r="H2001" s="19">
        <v>129.76</v>
      </c>
      <c r="I2001" s="15">
        <v>3628420</v>
      </c>
      <c r="J2001" s="19">
        <f t="shared" si="152"/>
        <v>-0.42971147943523813</v>
      </c>
      <c r="K2001" s="19">
        <f t="shared" si="153"/>
        <v>128.209</v>
      </c>
      <c r="L2001" s="19">
        <f t="shared" si="151"/>
        <v>124.17440000000001</v>
      </c>
      <c r="M2001" s="19">
        <f>MAX(G1836:G2001)</f>
        <v>132.78</v>
      </c>
      <c r="N2001" s="19">
        <f t="shared" si="154"/>
        <v>-2.2744389215243337</v>
      </c>
      <c r="O2001" s="9" t="str">
        <f t="shared" si="155"/>
        <v>2024-08</v>
      </c>
    </row>
    <row r="2002" spans="1:15" x14ac:dyDescent="0.25">
      <c r="A2002" s="9" t="s">
        <v>318</v>
      </c>
      <c r="B2002" s="9" t="s">
        <v>319</v>
      </c>
      <c r="C2002" s="25" t="s">
        <v>212</v>
      </c>
      <c r="D2002" s="19">
        <v>129.76</v>
      </c>
      <c r="E2002" s="19">
        <v>131.24</v>
      </c>
      <c r="F2002" s="19">
        <v>121.39</v>
      </c>
      <c r="G2002" s="19">
        <v>121.95</v>
      </c>
      <c r="H2002" s="19">
        <v>121.95</v>
      </c>
      <c r="I2002" s="15">
        <v>9451540</v>
      </c>
      <c r="J2002" s="19">
        <f t="shared" si="152"/>
        <v>-6.0188039457459839</v>
      </c>
      <c r="K2002" s="19">
        <f t="shared" si="153"/>
        <v>128.35</v>
      </c>
      <c r="L2002" s="19">
        <f t="shared" si="151"/>
        <v>124.17499999999998</v>
      </c>
      <c r="M2002" s="19">
        <f>MAX(G1836:G2002)</f>
        <v>132.78</v>
      </c>
      <c r="N2002" s="19">
        <f t="shared" si="154"/>
        <v>-8.1563488477180286</v>
      </c>
      <c r="O2002" s="9" t="str">
        <f t="shared" si="155"/>
        <v>2024-08</v>
      </c>
    </row>
    <row r="2003" spans="1:15" x14ac:dyDescent="0.25">
      <c r="A2003" s="9" t="s">
        <v>318</v>
      </c>
      <c r="B2003" s="9" t="s">
        <v>319</v>
      </c>
      <c r="C2003" s="25" t="s">
        <v>213</v>
      </c>
      <c r="D2003" s="19">
        <v>121.95</v>
      </c>
      <c r="E2003" s="19">
        <v>122</v>
      </c>
      <c r="F2003" s="19">
        <v>119.72</v>
      </c>
      <c r="G2003" s="19">
        <v>120.44</v>
      </c>
      <c r="H2003" s="19">
        <v>120.44</v>
      </c>
      <c r="I2003" s="15">
        <v>4738209</v>
      </c>
      <c r="J2003" s="19">
        <f t="shared" si="152"/>
        <v>-1.2382123821238256</v>
      </c>
      <c r="K2003" s="19">
        <f t="shared" si="153"/>
        <v>128.291</v>
      </c>
      <c r="L2003" s="19">
        <f t="shared" si="151"/>
        <v>124.03019999999998</v>
      </c>
      <c r="M2003" s="19">
        <f>MAX(G1836:G2003)</f>
        <v>132.78</v>
      </c>
      <c r="N2003" s="19">
        <f t="shared" si="154"/>
        <v>-9.2935683084801948</v>
      </c>
      <c r="O2003" s="9" t="str">
        <f t="shared" si="155"/>
        <v>2024-08</v>
      </c>
    </row>
    <row r="2004" spans="1:15" x14ac:dyDescent="0.25">
      <c r="A2004" s="9" t="s">
        <v>318</v>
      </c>
      <c r="B2004" s="9" t="s">
        <v>319</v>
      </c>
      <c r="C2004" s="25" t="s">
        <v>214</v>
      </c>
      <c r="D2004" s="19">
        <v>120.44</v>
      </c>
      <c r="E2004" s="19">
        <v>120.78</v>
      </c>
      <c r="F2004" s="19">
        <v>120.3</v>
      </c>
      <c r="G2004" s="19">
        <v>120.55</v>
      </c>
      <c r="H2004" s="19">
        <v>120.55</v>
      </c>
      <c r="I2004" s="15">
        <v>4156319</v>
      </c>
      <c r="J2004" s="19">
        <f t="shared" si="152"/>
        <v>9.1331783460643828E-2</v>
      </c>
      <c r="K2004" s="19">
        <f t="shared" si="153"/>
        <v>128.15950000000001</v>
      </c>
      <c r="L2004" s="19">
        <f t="shared" si="151"/>
        <v>123.94679999999998</v>
      </c>
      <c r="M2004" s="19">
        <f>MAX(G1836:G2004)</f>
        <v>132.78</v>
      </c>
      <c r="N2004" s="19">
        <f t="shared" si="154"/>
        <v>-9.2107245067028192</v>
      </c>
      <c r="O2004" s="9" t="str">
        <f t="shared" si="155"/>
        <v>2024-08</v>
      </c>
    </row>
    <row r="2005" spans="1:15" x14ac:dyDescent="0.25">
      <c r="A2005" s="9" t="s">
        <v>318</v>
      </c>
      <c r="B2005" s="9" t="s">
        <v>319</v>
      </c>
      <c r="C2005" s="25" t="s">
        <v>215</v>
      </c>
      <c r="D2005" s="19">
        <v>120.55</v>
      </c>
      <c r="E2005" s="19">
        <v>121.36</v>
      </c>
      <c r="F2005" s="19">
        <v>120.04</v>
      </c>
      <c r="G2005" s="19">
        <v>121.11</v>
      </c>
      <c r="H2005" s="19">
        <v>121.11</v>
      </c>
      <c r="I2005" s="15">
        <v>3797629</v>
      </c>
      <c r="J2005" s="19">
        <f t="shared" si="152"/>
        <v>0.46453753629199696</v>
      </c>
      <c r="K2005" s="19">
        <f t="shared" si="153"/>
        <v>127.8955</v>
      </c>
      <c r="L2005" s="19">
        <f t="shared" si="151"/>
        <v>123.89359999999996</v>
      </c>
      <c r="M2005" s="19">
        <f>MAX(G1836:G2005)</f>
        <v>132.78</v>
      </c>
      <c r="N2005" s="19">
        <f t="shared" si="154"/>
        <v>-8.7889742431089033</v>
      </c>
      <c r="O2005" s="9" t="str">
        <f t="shared" si="155"/>
        <v>2024-08</v>
      </c>
    </row>
    <row r="2006" spans="1:15" x14ac:dyDescent="0.25">
      <c r="A2006" s="9" t="s">
        <v>318</v>
      </c>
      <c r="B2006" s="9" t="s">
        <v>319</v>
      </c>
      <c r="C2006" s="25" t="s">
        <v>216</v>
      </c>
      <c r="D2006" s="19">
        <v>121.11</v>
      </c>
      <c r="E2006" s="19">
        <v>122.78</v>
      </c>
      <c r="F2006" s="19">
        <v>120.72</v>
      </c>
      <c r="G2006" s="19">
        <v>122.59</v>
      </c>
      <c r="H2006" s="19">
        <v>122.59</v>
      </c>
      <c r="I2006" s="15">
        <v>5760189</v>
      </c>
      <c r="J2006" s="19">
        <f t="shared" si="152"/>
        <v>1.2220295599042226</v>
      </c>
      <c r="K2006" s="19">
        <f t="shared" si="153"/>
        <v>127.66450000000002</v>
      </c>
      <c r="L2006" s="19">
        <f t="shared" si="151"/>
        <v>123.74479999999998</v>
      </c>
      <c r="M2006" s="19">
        <f>MAX(G1836:G2006)</f>
        <v>132.78</v>
      </c>
      <c r="N2006" s="19">
        <f t="shared" si="154"/>
        <v>-7.6743485464678391</v>
      </c>
      <c r="O2006" s="9" t="str">
        <f t="shared" si="155"/>
        <v>2024-08</v>
      </c>
    </row>
    <row r="2007" spans="1:15" x14ac:dyDescent="0.25">
      <c r="A2007" s="9" t="s">
        <v>318</v>
      </c>
      <c r="B2007" s="9" t="s">
        <v>319</v>
      </c>
      <c r="C2007" s="25" t="s">
        <v>217</v>
      </c>
      <c r="D2007" s="19">
        <v>122.59</v>
      </c>
      <c r="E2007" s="19">
        <v>124.3</v>
      </c>
      <c r="F2007" s="19">
        <v>122.22</v>
      </c>
      <c r="G2007" s="19">
        <v>124.05</v>
      </c>
      <c r="H2007" s="19">
        <v>124.05</v>
      </c>
      <c r="I2007" s="15">
        <v>3972906</v>
      </c>
      <c r="J2007" s="19">
        <f t="shared" si="152"/>
        <v>1.1909617423933385</v>
      </c>
      <c r="K2007" s="19">
        <f t="shared" si="153"/>
        <v>127.48000000000005</v>
      </c>
      <c r="L2007" s="19">
        <f t="shared" si="151"/>
        <v>123.63199999999998</v>
      </c>
      <c r="M2007" s="19">
        <f>MAX(G1836:G2007)</f>
        <v>132.78</v>
      </c>
      <c r="N2007" s="19">
        <f t="shared" si="154"/>
        <v>-6.5747853592408516</v>
      </c>
      <c r="O2007" s="9" t="str">
        <f t="shared" si="155"/>
        <v>2024-08</v>
      </c>
    </row>
    <row r="2008" spans="1:15" x14ac:dyDescent="0.25">
      <c r="A2008" s="9" t="s">
        <v>318</v>
      </c>
      <c r="B2008" s="9" t="s">
        <v>319</v>
      </c>
      <c r="C2008" s="25" t="s">
        <v>218</v>
      </c>
      <c r="D2008" s="19">
        <v>124.05</v>
      </c>
      <c r="E2008" s="19">
        <v>125.85</v>
      </c>
      <c r="F2008" s="19">
        <v>123.39</v>
      </c>
      <c r="G2008" s="19">
        <v>125.72</v>
      </c>
      <c r="H2008" s="19">
        <v>125.72</v>
      </c>
      <c r="I2008" s="15">
        <v>3794513</v>
      </c>
      <c r="J2008" s="19">
        <f t="shared" si="152"/>
        <v>1.3462313583232581</v>
      </c>
      <c r="K2008" s="19">
        <f t="shared" si="153"/>
        <v>127.38600000000001</v>
      </c>
      <c r="L2008" s="19">
        <f t="shared" si="151"/>
        <v>123.55719999999998</v>
      </c>
      <c r="M2008" s="19">
        <f>MAX(G1836:G2008)</f>
        <v>132.78</v>
      </c>
      <c r="N2008" s="19">
        <f t="shared" si="154"/>
        <v>-5.3170658231661418</v>
      </c>
      <c r="O2008" s="9" t="str">
        <f t="shared" si="155"/>
        <v>2024-08</v>
      </c>
    </row>
    <row r="2009" spans="1:15" x14ac:dyDescent="0.25">
      <c r="A2009" s="9" t="s">
        <v>318</v>
      </c>
      <c r="B2009" s="9" t="s">
        <v>319</v>
      </c>
      <c r="C2009" s="25" t="s">
        <v>219</v>
      </c>
      <c r="D2009" s="19">
        <v>125.72</v>
      </c>
      <c r="E2009" s="19">
        <v>125.77</v>
      </c>
      <c r="F2009" s="19">
        <v>125.05</v>
      </c>
      <c r="G2009" s="19">
        <v>125.21</v>
      </c>
      <c r="H2009" s="19">
        <v>125.21</v>
      </c>
      <c r="I2009" s="15">
        <v>3902944</v>
      </c>
      <c r="J2009" s="19">
        <f t="shared" si="152"/>
        <v>-0.40566337893732513</v>
      </c>
      <c r="K2009" s="19">
        <f t="shared" si="153"/>
        <v>127.1895</v>
      </c>
      <c r="L2009" s="19">
        <f t="shared" si="151"/>
        <v>123.44359999999999</v>
      </c>
      <c r="M2009" s="19">
        <f>MAX(G1836:G2009)</f>
        <v>132.78</v>
      </c>
      <c r="N2009" s="19">
        <f t="shared" si="154"/>
        <v>-5.7011598132248889</v>
      </c>
      <c r="O2009" s="9" t="str">
        <f t="shared" si="155"/>
        <v>2024-08</v>
      </c>
    </row>
    <row r="2010" spans="1:15" x14ac:dyDescent="0.25">
      <c r="A2010" s="9" t="s">
        <v>318</v>
      </c>
      <c r="B2010" s="9" t="s">
        <v>319</v>
      </c>
      <c r="C2010" s="25" t="s">
        <v>220</v>
      </c>
      <c r="D2010" s="19">
        <v>125.21</v>
      </c>
      <c r="E2010" s="19">
        <v>125.69</v>
      </c>
      <c r="F2010" s="19">
        <v>124.14</v>
      </c>
      <c r="G2010" s="19">
        <v>124.42</v>
      </c>
      <c r="H2010" s="19">
        <v>124.42</v>
      </c>
      <c r="I2010" s="15">
        <v>6032724</v>
      </c>
      <c r="J2010" s="19">
        <f t="shared" si="152"/>
        <v>-0.63094002076510824</v>
      </c>
      <c r="K2010" s="19">
        <f t="shared" si="153"/>
        <v>126.86549999999997</v>
      </c>
      <c r="L2010" s="19">
        <f t="shared" si="151"/>
        <v>123.27639999999998</v>
      </c>
      <c r="M2010" s="19">
        <f>MAX(G1836:G2010)</f>
        <v>132.78</v>
      </c>
      <c r="N2010" s="19">
        <f t="shared" si="154"/>
        <v>-6.2961289350805849</v>
      </c>
      <c r="O2010" s="9" t="str">
        <f t="shared" si="155"/>
        <v>2024-08</v>
      </c>
    </row>
    <row r="2011" spans="1:15" x14ac:dyDescent="0.25">
      <c r="A2011" s="9" t="s">
        <v>318</v>
      </c>
      <c r="B2011" s="9" t="s">
        <v>319</v>
      </c>
      <c r="C2011" s="25" t="s">
        <v>221</v>
      </c>
      <c r="D2011" s="19">
        <v>124.42</v>
      </c>
      <c r="E2011" s="19">
        <v>124.43</v>
      </c>
      <c r="F2011" s="19">
        <v>114.66</v>
      </c>
      <c r="G2011" s="19">
        <v>114.77</v>
      </c>
      <c r="H2011" s="19">
        <v>114.77</v>
      </c>
      <c r="I2011" s="15">
        <v>8259408</v>
      </c>
      <c r="J2011" s="19">
        <f t="shared" si="152"/>
        <v>-7.755987783314584</v>
      </c>
      <c r="K2011" s="19">
        <f t="shared" si="153"/>
        <v>126.03299999999999</v>
      </c>
      <c r="L2011" s="19">
        <f t="shared" si="151"/>
        <v>123.17299999999999</v>
      </c>
      <c r="M2011" s="19">
        <f>MAX(G1836:G2011)</f>
        <v>132.78</v>
      </c>
      <c r="N2011" s="19">
        <f t="shared" si="154"/>
        <v>-13.563789727368583</v>
      </c>
      <c r="O2011" s="9" t="str">
        <f t="shared" si="155"/>
        <v>2024-09</v>
      </c>
    </row>
    <row r="2012" spans="1:15" x14ac:dyDescent="0.25">
      <c r="A2012" s="9" t="s">
        <v>318</v>
      </c>
      <c r="B2012" s="9" t="s">
        <v>319</v>
      </c>
      <c r="C2012" s="25" t="s">
        <v>222</v>
      </c>
      <c r="D2012" s="19">
        <v>114.77</v>
      </c>
      <c r="E2012" s="19">
        <v>117.07</v>
      </c>
      <c r="F2012" s="19">
        <v>114.41</v>
      </c>
      <c r="G2012" s="19">
        <v>116.55</v>
      </c>
      <c r="H2012" s="19">
        <v>116.55</v>
      </c>
      <c r="I2012" s="15">
        <v>2859923</v>
      </c>
      <c r="J2012" s="19">
        <f t="shared" si="152"/>
        <v>1.5509279428422071</v>
      </c>
      <c r="K2012" s="19">
        <f t="shared" si="153"/>
        <v>125.3545</v>
      </c>
      <c r="L2012" s="19">
        <f t="shared" si="151"/>
        <v>123.09539999999998</v>
      </c>
      <c r="M2012" s="19">
        <f>MAX(G1836:G2012)</f>
        <v>132.78</v>
      </c>
      <c r="N2012" s="19">
        <f t="shared" si="154"/>
        <v>-12.223226389516496</v>
      </c>
      <c r="O2012" s="9" t="str">
        <f t="shared" si="155"/>
        <v>2024-09</v>
      </c>
    </row>
    <row r="2013" spans="1:15" x14ac:dyDescent="0.25">
      <c r="A2013" s="9" t="s">
        <v>318</v>
      </c>
      <c r="B2013" s="9" t="s">
        <v>319</v>
      </c>
      <c r="C2013" s="25" t="s">
        <v>223</v>
      </c>
      <c r="D2013" s="19">
        <v>116.55</v>
      </c>
      <c r="E2013" s="19">
        <v>116.77</v>
      </c>
      <c r="F2013" s="19">
        <v>113.13</v>
      </c>
      <c r="G2013" s="19">
        <v>113.71</v>
      </c>
      <c r="H2013" s="19">
        <v>113.71</v>
      </c>
      <c r="I2013" s="15">
        <v>2503248</v>
      </c>
      <c r="J2013" s="19">
        <f t="shared" si="152"/>
        <v>-2.4367224367224396</v>
      </c>
      <c r="K2013" s="19">
        <f t="shared" si="153"/>
        <v>124.56099999999999</v>
      </c>
      <c r="L2013" s="19">
        <f t="shared" ref="L2013:L2076" si="156">AVERAGE(G1964:G2013)</f>
        <v>122.9478</v>
      </c>
      <c r="M2013" s="19">
        <f>MAX(G1836:G2013)</f>
        <v>132.78</v>
      </c>
      <c r="N2013" s="19">
        <f t="shared" si="154"/>
        <v>-14.362102726314211</v>
      </c>
      <c r="O2013" s="9" t="str">
        <f t="shared" si="155"/>
        <v>2024-09</v>
      </c>
    </row>
    <row r="2014" spans="1:15" x14ac:dyDescent="0.25">
      <c r="A2014" s="9" t="s">
        <v>318</v>
      </c>
      <c r="B2014" s="9" t="s">
        <v>319</v>
      </c>
      <c r="C2014" s="25" t="s">
        <v>224</v>
      </c>
      <c r="D2014" s="19">
        <v>113.71</v>
      </c>
      <c r="E2014" s="19">
        <v>113.83</v>
      </c>
      <c r="F2014" s="19">
        <v>112.93</v>
      </c>
      <c r="G2014" s="19">
        <v>113.16</v>
      </c>
      <c r="H2014" s="19">
        <v>113.16</v>
      </c>
      <c r="I2014" s="15">
        <v>5527084</v>
      </c>
      <c r="J2014" s="19">
        <f t="shared" si="152"/>
        <v>-0.48368657110192348</v>
      </c>
      <c r="K2014" s="19">
        <f t="shared" si="153"/>
        <v>123.801</v>
      </c>
      <c r="L2014" s="19">
        <f t="shared" si="156"/>
        <v>122.86840000000001</v>
      </c>
      <c r="M2014" s="19">
        <f>MAX(G1836:G2014)</f>
        <v>132.78</v>
      </c>
      <c r="N2014" s="19">
        <f t="shared" si="154"/>
        <v>-14.776321735201087</v>
      </c>
      <c r="O2014" s="9" t="str">
        <f t="shared" si="155"/>
        <v>2024-09</v>
      </c>
    </row>
    <row r="2015" spans="1:15" x14ac:dyDescent="0.25">
      <c r="A2015" s="9" t="s">
        <v>318</v>
      </c>
      <c r="B2015" s="9" t="s">
        <v>319</v>
      </c>
      <c r="C2015" s="25" t="s">
        <v>225</v>
      </c>
      <c r="D2015" s="19">
        <v>113.16</v>
      </c>
      <c r="E2015" s="19">
        <v>113.64</v>
      </c>
      <c r="F2015" s="19">
        <v>112.58</v>
      </c>
      <c r="G2015" s="19">
        <v>113.43</v>
      </c>
      <c r="H2015" s="19">
        <v>113.43</v>
      </c>
      <c r="I2015" s="15">
        <v>3249303</v>
      </c>
      <c r="J2015" s="19">
        <f t="shared" si="152"/>
        <v>0.23860021208908644</v>
      </c>
      <c r="K2015" s="19">
        <f t="shared" si="153"/>
        <v>122.9195</v>
      </c>
      <c r="L2015" s="19">
        <f t="shared" si="156"/>
        <v>122.84459999999999</v>
      </c>
      <c r="M2015" s="19">
        <f>MAX(G1836:G2015)</f>
        <v>132.78</v>
      </c>
      <c r="N2015" s="19">
        <f t="shared" si="154"/>
        <v>-14.572977858111159</v>
      </c>
      <c r="O2015" s="9" t="str">
        <f t="shared" si="155"/>
        <v>2024-09</v>
      </c>
    </row>
    <row r="2016" spans="1:15" x14ac:dyDescent="0.25">
      <c r="A2016" s="9" t="s">
        <v>318</v>
      </c>
      <c r="B2016" s="9" t="s">
        <v>319</v>
      </c>
      <c r="C2016" s="25" t="s">
        <v>226</v>
      </c>
      <c r="D2016" s="19">
        <v>113.43</v>
      </c>
      <c r="E2016" s="19">
        <v>113.99</v>
      </c>
      <c r="F2016" s="19">
        <v>112.05</v>
      </c>
      <c r="G2016" s="19">
        <v>112.68</v>
      </c>
      <c r="H2016" s="19">
        <v>112.68</v>
      </c>
      <c r="I2016" s="15">
        <v>3419057</v>
      </c>
      <c r="J2016" s="19">
        <f t="shared" si="152"/>
        <v>-0.66120074054482936</v>
      </c>
      <c r="K2016" s="19">
        <f t="shared" si="153"/>
        <v>122.04999999999995</v>
      </c>
      <c r="L2016" s="19">
        <f t="shared" si="156"/>
        <v>122.756</v>
      </c>
      <c r="M2016" s="19">
        <f>MAX(G1836:G2016)</f>
        <v>132.78</v>
      </c>
      <c r="N2016" s="19">
        <f t="shared" si="154"/>
        <v>-15.137821961138719</v>
      </c>
      <c r="O2016" s="9" t="str">
        <f t="shared" si="155"/>
        <v>2024-09</v>
      </c>
    </row>
    <row r="2017" spans="1:15" x14ac:dyDescent="0.25">
      <c r="A2017" s="9" t="s">
        <v>318</v>
      </c>
      <c r="B2017" s="9" t="s">
        <v>319</v>
      </c>
      <c r="C2017" s="25" t="s">
        <v>227</v>
      </c>
      <c r="D2017" s="19">
        <v>112.68</v>
      </c>
      <c r="E2017" s="19">
        <v>114.55</v>
      </c>
      <c r="F2017" s="19">
        <v>112.46</v>
      </c>
      <c r="G2017" s="19">
        <v>114.53</v>
      </c>
      <c r="H2017" s="19">
        <v>114.53</v>
      </c>
      <c r="I2017" s="15">
        <v>4657186</v>
      </c>
      <c r="J2017" s="19">
        <f t="shared" si="152"/>
        <v>1.6418175363862215</v>
      </c>
      <c r="K2017" s="19">
        <f t="shared" si="153"/>
        <v>121.256</v>
      </c>
      <c r="L2017" s="19">
        <f t="shared" si="156"/>
        <v>122.67420000000001</v>
      </c>
      <c r="M2017" s="19">
        <f>MAX(G1836:G2017)</f>
        <v>132.78</v>
      </c>
      <c r="N2017" s="19">
        <f t="shared" si="154"/>
        <v>-13.744539840337399</v>
      </c>
      <c r="O2017" s="9" t="str">
        <f t="shared" si="155"/>
        <v>2024-09</v>
      </c>
    </row>
    <row r="2018" spans="1:15" x14ac:dyDescent="0.25">
      <c r="A2018" s="9" t="s">
        <v>318</v>
      </c>
      <c r="B2018" s="9" t="s">
        <v>319</v>
      </c>
      <c r="C2018" s="25" t="s">
        <v>228</v>
      </c>
      <c r="D2018" s="19">
        <v>114.53</v>
      </c>
      <c r="E2018" s="19">
        <v>115.92</v>
      </c>
      <c r="F2018" s="19">
        <v>114.5</v>
      </c>
      <c r="G2018" s="19">
        <v>115.66</v>
      </c>
      <c r="H2018" s="19">
        <v>115.66</v>
      </c>
      <c r="I2018" s="15">
        <v>3954528</v>
      </c>
      <c r="J2018" s="19">
        <f t="shared" si="152"/>
        <v>0.98664105474547747</v>
      </c>
      <c r="K2018" s="19">
        <f t="shared" si="153"/>
        <v>120.47049999999999</v>
      </c>
      <c r="L2018" s="19">
        <f t="shared" si="156"/>
        <v>122.63800000000001</v>
      </c>
      <c r="M2018" s="19">
        <f>MAX(G1836:G2018)</f>
        <v>132.78</v>
      </c>
      <c r="N2018" s="19">
        <f t="shared" si="154"/>
        <v>-12.89350805844254</v>
      </c>
      <c r="O2018" s="9" t="str">
        <f t="shared" si="155"/>
        <v>2024-09</v>
      </c>
    </row>
    <row r="2019" spans="1:15" x14ac:dyDescent="0.25">
      <c r="A2019" s="9" t="s">
        <v>318</v>
      </c>
      <c r="B2019" s="9" t="s">
        <v>319</v>
      </c>
      <c r="C2019" s="25" t="s">
        <v>229</v>
      </c>
      <c r="D2019" s="19">
        <v>115.66</v>
      </c>
      <c r="E2019" s="19">
        <v>120.95</v>
      </c>
      <c r="F2019" s="19">
        <v>115.64</v>
      </c>
      <c r="G2019" s="19">
        <v>120.38</v>
      </c>
      <c r="H2019" s="19">
        <v>120.38</v>
      </c>
      <c r="I2019" s="15">
        <v>3671798</v>
      </c>
      <c r="J2019" s="19">
        <f t="shared" si="152"/>
        <v>4.0809268545737503</v>
      </c>
      <c r="K2019" s="19">
        <f t="shared" si="153"/>
        <v>120.04950000000001</v>
      </c>
      <c r="L2019" s="19">
        <f t="shared" si="156"/>
        <v>122.74140000000001</v>
      </c>
      <c r="M2019" s="19">
        <f>MAX(G1836:G2019)</f>
        <v>132.78</v>
      </c>
      <c r="N2019" s="19">
        <f t="shared" si="154"/>
        <v>-9.3387558367224024</v>
      </c>
      <c r="O2019" s="9" t="str">
        <f t="shared" si="155"/>
        <v>2024-09</v>
      </c>
    </row>
    <row r="2020" spans="1:15" x14ac:dyDescent="0.25">
      <c r="A2020" s="9" t="s">
        <v>318</v>
      </c>
      <c r="B2020" s="9" t="s">
        <v>319</v>
      </c>
      <c r="C2020" s="25" t="s">
        <v>230</v>
      </c>
      <c r="D2020" s="19">
        <v>120.38</v>
      </c>
      <c r="E2020" s="19">
        <v>121.06</v>
      </c>
      <c r="F2020" s="19">
        <v>120.37</v>
      </c>
      <c r="G2020" s="19">
        <v>120.81</v>
      </c>
      <c r="H2020" s="19">
        <v>120.81</v>
      </c>
      <c r="I2020" s="15">
        <v>3635722</v>
      </c>
      <c r="J2020" s="19">
        <f t="shared" si="152"/>
        <v>0.35720219305533046</v>
      </c>
      <c r="K2020" s="19">
        <f t="shared" si="153"/>
        <v>119.574</v>
      </c>
      <c r="L2020" s="19">
        <f t="shared" si="156"/>
        <v>122.80220000000003</v>
      </c>
      <c r="M2020" s="19">
        <f>MAX(G1836:G2020)</f>
        <v>132.78</v>
      </c>
      <c r="N2020" s="19">
        <f t="shared" si="154"/>
        <v>-9.0149118843199272</v>
      </c>
      <c r="O2020" s="9" t="str">
        <f t="shared" si="155"/>
        <v>2024-09</v>
      </c>
    </row>
    <row r="2021" spans="1:15" x14ac:dyDescent="0.25">
      <c r="A2021" s="9" t="s">
        <v>318</v>
      </c>
      <c r="B2021" s="9" t="s">
        <v>319</v>
      </c>
      <c r="C2021" s="25" t="s">
        <v>231</v>
      </c>
      <c r="D2021" s="19">
        <v>120.81</v>
      </c>
      <c r="E2021" s="19">
        <v>122.34</v>
      </c>
      <c r="F2021" s="19">
        <v>120.65</v>
      </c>
      <c r="G2021" s="19">
        <v>120.67</v>
      </c>
      <c r="H2021" s="19">
        <v>120.67</v>
      </c>
      <c r="I2021" s="15">
        <v>6396220</v>
      </c>
      <c r="J2021" s="19">
        <f t="shared" si="152"/>
        <v>-0.11588444665176771</v>
      </c>
      <c r="K2021" s="19">
        <f t="shared" si="153"/>
        <v>119.11950000000002</v>
      </c>
      <c r="L2021" s="19">
        <f t="shared" si="156"/>
        <v>122.82380000000003</v>
      </c>
      <c r="M2021" s="19">
        <f>MAX(G1836:G2021)</f>
        <v>132.78</v>
      </c>
      <c r="N2021" s="19">
        <f t="shared" si="154"/>
        <v>-9.1203494502184057</v>
      </c>
      <c r="O2021" s="9" t="str">
        <f t="shared" si="155"/>
        <v>2024-09</v>
      </c>
    </row>
    <row r="2022" spans="1:15" x14ac:dyDescent="0.25">
      <c r="A2022" s="9" t="s">
        <v>318</v>
      </c>
      <c r="B2022" s="9" t="s">
        <v>319</v>
      </c>
      <c r="C2022" s="25" t="s">
        <v>232</v>
      </c>
      <c r="D2022" s="19">
        <v>120.67</v>
      </c>
      <c r="E2022" s="19">
        <v>121.44</v>
      </c>
      <c r="F2022" s="19">
        <v>120.01</v>
      </c>
      <c r="G2022" s="19">
        <v>120.51</v>
      </c>
      <c r="H2022" s="19">
        <v>120.51</v>
      </c>
      <c r="I2022" s="15">
        <v>4568088</v>
      </c>
      <c r="J2022" s="19">
        <f t="shared" si="152"/>
        <v>-0.13259302229219905</v>
      </c>
      <c r="K2022" s="19">
        <f t="shared" si="153"/>
        <v>119.04750000000004</v>
      </c>
      <c r="L2022" s="19">
        <f t="shared" si="156"/>
        <v>122.87600000000006</v>
      </c>
      <c r="M2022" s="19">
        <f>MAX(G1836:G2022)</f>
        <v>132.78</v>
      </c>
      <c r="N2022" s="19">
        <f t="shared" si="154"/>
        <v>-9.2408495255309511</v>
      </c>
      <c r="O2022" s="9" t="str">
        <f t="shared" si="155"/>
        <v>2024-09</v>
      </c>
    </row>
    <row r="2023" spans="1:15" x14ac:dyDescent="0.25">
      <c r="A2023" s="9" t="s">
        <v>318</v>
      </c>
      <c r="B2023" s="9" t="s">
        <v>319</v>
      </c>
      <c r="C2023" s="25" t="s">
        <v>233</v>
      </c>
      <c r="D2023" s="19">
        <v>120.51</v>
      </c>
      <c r="E2023" s="19">
        <v>121.6</v>
      </c>
      <c r="F2023" s="19">
        <v>120.5</v>
      </c>
      <c r="G2023" s="19">
        <v>121.13</v>
      </c>
      <c r="H2023" s="19">
        <v>121.13</v>
      </c>
      <c r="I2023" s="15">
        <v>4667706</v>
      </c>
      <c r="J2023" s="19">
        <f t="shared" si="152"/>
        <v>0.51448012613060345</v>
      </c>
      <c r="K2023" s="19">
        <f t="shared" si="153"/>
        <v>119.08200000000004</v>
      </c>
      <c r="L2023" s="19">
        <f t="shared" si="156"/>
        <v>122.95860000000006</v>
      </c>
      <c r="M2023" s="19">
        <f>MAX(G1836:G2023)</f>
        <v>132.78</v>
      </c>
      <c r="N2023" s="19">
        <f t="shared" si="154"/>
        <v>-8.7739117336948382</v>
      </c>
      <c r="O2023" s="9" t="str">
        <f t="shared" si="155"/>
        <v>2024-09</v>
      </c>
    </row>
    <row r="2024" spans="1:15" x14ac:dyDescent="0.25">
      <c r="A2024" s="9" t="s">
        <v>318</v>
      </c>
      <c r="B2024" s="9" t="s">
        <v>319</v>
      </c>
      <c r="C2024" s="25" t="s">
        <v>234</v>
      </c>
      <c r="D2024" s="19">
        <v>121.13</v>
      </c>
      <c r="E2024" s="19">
        <v>121.87</v>
      </c>
      <c r="F2024" s="19">
        <v>120.88</v>
      </c>
      <c r="G2024" s="19">
        <v>121.55</v>
      </c>
      <c r="H2024" s="19">
        <v>121.55</v>
      </c>
      <c r="I2024" s="15">
        <v>4594966</v>
      </c>
      <c r="J2024" s="19">
        <f t="shared" si="152"/>
        <v>0.34673491290349351</v>
      </c>
      <c r="K2024" s="19">
        <f t="shared" si="153"/>
        <v>119.13200000000003</v>
      </c>
      <c r="L2024" s="19">
        <f t="shared" si="156"/>
        <v>123.03360000000006</v>
      </c>
      <c r="M2024" s="19">
        <f>MAX(G1836:G2024)</f>
        <v>132.78</v>
      </c>
      <c r="N2024" s="19">
        <f t="shared" si="154"/>
        <v>-8.4575990359994009</v>
      </c>
      <c r="O2024" s="9" t="str">
        <f t="shared" si="155"/>
        <v>2024-09</v>
      </c>
    </row>
    <row r="2025" spans="1:15" x14ac:dyDescent="0.25">
      <c r="A2025" s="9" t="s">
        <v>318</v>
      </c>
      <c r="B2025" s="9" t="s">
        <v>319</v>
      </c>
      <c r="C2025" s="25" t="s">
        <v>235</v>
      </c>
      <c r="D2025" s="19">
        <v>121.55</v>
      </c>
      <c r="E2025" s="19">
        <v>121.78</v>
      </c>
      <c r="F2025" s="19">
        <v>121.28</v>
      </c>
      <c r="G2025" s="19">
        <v>121.58</v>
      </c>
      <c r="H2025" s="19">
        <v>121.58</v>
      </c>
      <c r="I2025" s="15">
        <v>4458556</v>
      </c>
      <c r="J2025" s="19">
        <f t="shared" si="152"/>
        <v>2.4681201151790323E-2</v>
      </c>
      <c r="K2025" s="19">
        <f t="shared" si="153"/>
        <v>119.1555</v>
      </c>
      <c r="L2025" s="19">
        <f t="shared" si="156"/>
        <v>123.04980000000005</v>
      </c>
      <c r="M2025" s="19">
        <f>MAX(G1836:G2025)</f>
        <v>132.78</v>
      </c>
      <c r="N2025" s="19">
        <f t="shared" si="154"/>
        <v>-8.435005271878298</v>
      </c>
      <c r="O2025" s="9" t="str">
        <f t="shared" si="155"/>
        <v>2024-09</v>
      </c>
    </row>
    <row r="2026" spans="1:15" x14ac:dyDescent="0.25">
      <c r="A2026" s="9" t="s">
        <v>318</v>
      </c>
      <c r="B2026" s="9" t="s">
        <v>319</v>
      </c>
      <c r="C2026" s="25" t="s">
        <v>236</v>
      </c>
      <c r="D2026" s="19">
        <v>121.58</v>
      </c>
      <c r="E2026" s="19">
        <v>126.76</v>
      </c>
      <c r="F2026" s="19">
        <v>121.05</v>
      </c>
      <c r="G2026" s="19">
        <v>125.74</v>
      </c>
      <c r="H2026" s="19">
        <v>125.74</v>
      </c>
      <c r="I2026" s="15">
        <v>3692463</v>
      </c>
      <c r="J2026" s="19">
        <f t="shared" si="152"/>
        <v>3.4216153972692851</v>
      </c>
      <c r="K2026" s="19">
        <f t="shared" si="153"/>
        <v>119.31299999999999</v>
      </c>
      <c r="L2026" s="19">
        <f t="shared" si="156"/>
        <v>123.18820000000004</v>
      </c>
      <c r="M2026" s="19">
        <f>MAX(G1836:G2026)</f>
        <v>132.78</v>
      </c>
      <c r="N2026" s="19">
        <f t="shared" si="154"/>
        <v>-5.3020033137520759</v>
      </c>
      <c r="O2026" s="9" t="str">
        <f t="shared" si="155"/>
        <v>2024-09</v>
      </c>
    </row>
    <row r="2027" spans="1:15" x14ac:dyDescent="0.25">
      <c r="A2027" s="9" t="s">
        <v>318</v>
      </c>
      <c r="B2027" s="9" t="s">
        <v>319</v>
      </c>
      <c r="C2027" s="25" t="s">
        <v>237</v>
      </c>
      <c r="D2027" s="19">
        <v>125.74</v>
      </c>
      <c r="E2027" s="19">
        <v>125.94</v>
      </c>
      <c r="F2027" s="19">
        <v>125.06</v>
      </c>
      <c r="G2027" s="19">
        <v>125.26</v>
      </c>
      <c r="H2027" s="19">
        <v>125.26</v>
      </c>
      <c r="I2027" s="15">
        <v>3206967</v>
      </c>
      <c r="J2027" s="19">
        <f t="shared" si="152"/>
        <v>-0.38174009861618402</v>
      </c>
      <c r="K2027" s="19">
        <f t="shared" si="153"/>
        <v>119.37350000000001</v>
      </c>
      <c r="L2027" s="19">
        <f t="shared" si="156"/>
        <v>123.29640000000003</v>
      </c>
      <c r="M2027" s="19">
        <f>MAX(G1836:G2027)</f>
        <v>132.78</v>
      </c>
      <c r="N2027" s="19">
        <f t="shared" si="154"/>
        <v>-5.6635035396897093</v>
      </c>
      <c r="O2027" s="9" t="str">
        <f t="shared" si="155"/>
        <v>2024-09</v>
      </c>
    </row>
    <row r="2028" spans="1:15" x14ac:dyDescent="0.25">
      <c r="A2028" s="9" t="s">
        <v>318</v>
      </c>
      <c r="B2028" s="9" t="s">
        <v>319</v>
      </c>
      <c r="C2028" s="25" t="s">
        <v>238</v>
      </c>
      <c r="D2028" s="19">
        <v>125.26</v>
      </c>
      <c r="E2028" s="19">
        <v>126.23</v>
      </c>
      <c r="F2028" s="19">
        <v>124.93</v>
      </c>
      <c r="G2028" s="19">
        <v>125.82</v>
      </c>
      <c r="H2028" s="19">
        <v>125.82</v>
      </c>
      <c r="I2028" s="15">
        <v>4866284</v>
      </c>
      <c r="J2028" s="19">
        <f t="shared" si="152"/>
        <v>0.44707009420404609</v>
      </c>
      <c r="K2028" s="19">
        <f t="shared" si="153"/>
        <v>119.3785</v>
      </c>
      <c r="L2028" s="19">
        <f t="shared" si="156"/>
        <v>123.38860000000003</v>
      </c>
      <c r="M2028" s="19">
        <f>MAX(G1836:G2028)</f>
        <v>132.78</v>
      </c>
      <c r="N2028" s="19">
        <f t="shared" si="154"/>
        <v>-5.2417532760958032</v>
      </c>
      <c r="O2028" s="9" t="str">
        <f t="shared" si="155"/>
        <v>2024-09</v>
      </c>
    </row>
    <row r="2029" spans="1:15" x14ac:dyDescent="0.25">
      <c r="A2029" s="9" t="s">
        <v>318</v>
      </c>
      <c r="B2029" s="9" t="s">
        <v>319</v>
      </c>
      <c r="C2029" s="25" t="s">
        <v>239</v>
      </c>
      <c r="D2029" s="19">
        <v>125.82</v>
      </c>
      <c r="E2029" s="19">
        <v>126.15</v>
      </c>
      <c r="F2029" s="19">
        <v>123</v>
      </c>
      <c r="G2029" s="19">
        <v>123.13</v>
      </c>
      <c r="H2029" s="19">
        <v>123.13</v>
      </c>
      <c r="I2029" s="15">
        <v>5227841</v>
      </c>
      <c r="J2029" s="19">
        <f t="shared" ref="J2029:J2097" si="157">IFERROR((G2029-G2028)/G2028*100,"")</f>
        <v>-2.1379748847559989</v>
      </c>
      <c r="K2029" s="19">
        <f t="shared" si="153"/>
        <v>119.27450000000002</v>
      </c>
      <c r="L2029" s="19">
        <f t="shared" si="156"/>
        <v>123.45000000000003</v>
      </c>
      <c r="M2029" s="19">
        <f>MAX(G1836:G2029)</f>
        <v>132.78</v>
      </c>
      <c r="N2029" s="19">
        <f t="shared" si="154"/>
        <v>-7.2676607922879999</v>
      </c>
      <c r="O2029" s="9" t="str">
        <f t="shared" si="155"/>
        <v>2024-09</v>
      </c>
    </row>
    <row r="2030" spans="1:15" x14ac:dyDescent="0.25">
      <c r="A2030" s="9" t="s">
        <v>318</v>
      </c>
      <c r="B2030" s="9" t="s">
        <v>319</v>
      </c>
      <c r="C2030" s="25" t="s">
        <v>240</v>
      </c>
      <c r="D2030" s="19">
        <v>123.13</v>
      </c>
      <c r="E2030" s="19">
        <v>123.63</v>
      </c>
      <c r="F2030" s="19">
        <v>122.23</v>
      </c>
      <c r="G2030" s="19">
        <v>122.73</v>
      </c>
      <c r="H2030" s="19">
        <v>122.73</v>
      </c>
      <c r="I2030" s="15">
        <v>4956042</v>
      </c>
      <c r="J2030" s="19">
        <f t="shared" si="157"/>
        <v>-0.32485990416632138</v>
      </c>
      <c r="K2030" s="19">
        <f t="shared" si="153"/>
        <v>119.18999999999998</v>
      </c>
      <c r="L2030" s="19">
        <f t="shared" si="156"/>
        <v>123.52000000000004</v>
      </c>
      <c r="M2030" s="19">
        <f>MAX(G1836:G2030)</f>
        <v>132.78</v>
      </c>
      <c r="N2030" s="19">
        <f t="shared" si="154"/>
        <v>-7.5689109805693597</v>
      </c>
      <c r="O2030" s="9" t="str">
        <f t="shared" si="155"/>
        <v>2024-09</v>
      </c>
    </row>
    <row r="2031" spans="1:15" x14ac:dyDescent="0.25">
      <c r="A2031" s="9" t="s">
        <v>318</v>
      </c>
      <c r="B2031" s="9" t="s">
        <v>319</v>
      </c>
      <c r="C2031" s="25" t="s">
        <v>241</v>
      </c>
      <c r="D2031" s="19">
        <v>122.73</v>
      </c>
      <c r="E2031" s="19">
        <v>123.27</v>
      </c>
      <c r="F2031" s="19">
        <v>122.72</v>
      </c>
      <c r="G2031" s="19">
        <v>122.79</v>
      </c>
      <c r="H2031" s="19">
        <v>122.79</v>
      </c>
      <c r="I2031" s="15">
        <v>4885015</v>
      </c>
      <c r="J2031" s="19">
        <f t="shared" si="157"/>
        <v>4.8887802493279779E-2</v>
      </c>
      <c r="K2031" s="19">
        <f t="shared" si="153"/>
        <v>119.59099999999998</v>
      </c>
      <c r="L2031" s="19">
        <f t="shared" si="156"/>
        <v>123.53620000000002</v>
      </c>
      <c r="M2031" s="19">
        <f>MAX(G1836:G2031)</f>
        <v>132.78</v>
      </c>
      <c r="N2031" s="19">
        <f t="shared" si="154"/>
        <v>-7.5237234523271539</v>
      </c>
      <c r="O2031" s="9" t="str">
        <f t="shared" si="155"/>
        <v>2024-09</v>
      </c>
    </row>
    <row r="2032" spans="1:15" x14ac:dyDescent="0.25">
      <c r="A2032" s="9" t="s">
        <v>318</v>
      </c>
      <c r="B2032" s="9" t="s">
        <v>319</v>
      </c>
      <c r="C2032" s="25" t="s">
        <v>242</v>
      </c>
      <c r="D2032" s="19">
        <v>122.79</v>
      </c>
      <c r="E2032" s="19">
        <v>123.23</v>
      </c>
      <c r="F2032" s="19">
        <v>122.78</v>
      </c>
      <c r="G2032" s="19">
        <v>122.92</v>
      </c>
      <c r="H2032" s="19">
        <v>122.92</v>
      </c>
      <c r="I2032" s="15">
        <v>5442941</v>
      </c>
      <c r="J2032" s="19">
        <f t="shared" si="157"/>
        <v>0.10587181366560423</v>
      </c>
      <c r="K2032" s="19">
        <f t="shared" si="153"/>
        <v>119.90950000000001</v>
      </c>
      <c r="L2032" s="19">
        <f t="shared" si="156"/>
        <v>123.61200000000002</v>
      </c>
      <c r="M2032" s="19">
        <f>MAX(G1836:G2032)</f>
        <v>132.78</v>
      </c>
      <c r="N2032" s="19">
        <f t="shared" si="154"/>
        <v>-7.4258171411357123</v>
      </c>
      <c r="O2032" s="9" t="str">
        <f t="shared" si="155"/>
        <v>2024-10</v>
      </c>
    </row>
    <row r="2033" spans="1:15" x14ac:dyDescent="0.25">
      <c r="A2033" s="9" t="s">
        <v>318</v>
      </c>
      <c r="B2033" s="9" t="s">
        <v>319</v>
      </c>
      <c r="C2033" s="25" t="s">
        <v>243</v>
      </c>
      <c r="D2033" s="19">
        <v>122.92</v>
      </c>
      <c r="E2033" s="19">
        <v>124.48</v>
      </c>
      <c r="F2033" s="19">
        <v>120.49</v>
      </c>
      <c r="G2033" s="19">
        <v>120.65</v>
      </c>
      <c r="H2033" s="19">
        <v>120.65</v>
      </c>
      <c r="I2033" s="15">
        <v>5400141</v>
      </c>
      <c r="J2033" s="19">
        <f t="shared" si="157"/>
        <v>-1.8467295802147703</v>
      </c>
      <c r="K2033" s="19">
        <f t="shared" si="153"/>
        <v>120.2565</v>
      </c>
      <c r="L2033" s="19">
        <f t="shared" si="156"/>
        <v>123.5926</v>
      </c>
      <c r="M2033" s="19">
        <f>MAX(G1836:G2033)</f>
        <v>132.78</v>
      </c>
      <c r="N2033" s="19">
        <f t="shared" si="154"/>
        <v>-9.1354119596324708</v>
      </c>
      <c r="O2033" s="9" t="str">
        <f t="shared" si="155"/>
        <v>2024-10</v>
      </c>
    </row>
    <row r="2034" spans="1:15" x14ac:dyDescent="0.25">
      <c r="A2034" s="9" t="s">
        <v>318</v>
      </c>
      <c r="B2034" s="9" t="s">
        <v>319</v>
      </c>
      <c r="C2034" s="25" t="s">
        <v>244</v>
      </c>
      <c r="D2034" s="19">
        <v>120.65</v>
      </c>
      <c r="E2034" s="19">
        <v>121.66</v>
      </c>
      <c r="F2034" s="19">
        <v>120.12</v>
      </c>
      <c r="G2034" s="19">
        <v>120.47</v>
      </c>
      <c r="H2034" s="19">
        <v>120.47</v>
      </c>
      <c r="I2034" s="15">
        <v>3219208</v>
      </c>
      <c r="J2034" s="19">
        <f t="shared" si="157"/>
        <v>-0.14919187733112874</v>
      </c>
      <c r="K2034" s="19">
        <f t="shared" si="153"/>
        <v>120.62199999999999</v>
      </c>
      <c r="L2034" s="19">
        <f t="shared" si="156"/>
        <v>123.5384</v>
      </c>
      <c r="M2034" s="19">
        <f>MAX(G1836:G2034)</f>
        <v>132.78</v>
      </c>
      <c r="N2034" s="19">
        <f t="shared" si="154"/>
        <v>-9.2709745443590919</v>
      </c>
      <c r="O2034" s="9" t="str">
        <f t="shared" si="155"/>
        <v>2024-10</v>
      </c>
    </row>
    <row r="2035" spans="1:15" x14ac:dyDescent="0.25">
      <c r="A2035" s="9" t="s">
        <v>318</v>
      </c>
      <c r="B2035" s="9" t="s">
        <v>319</v>
      </c>
      <c r="C2035" s="25" t="s">
        <v>245</v>
      </c>
      <c r="D2035" s="19">
        <v>120.47</v>
      </c>
      <c r="E2035" s="19">
        <v>120.55</v>
      </c>
      <c r="F2035" s="19">
        <v>115.8</v>
      </c>
      <c r="G2035" s="19">
        <v>116.21</v>
      </c>
      <c r="H2035" s="19">
        <v>116.21</v>
      </c>
      <c r="I2035" s="15">
        <v>3375286</v>
      </c>
      <c r="J2035" s="19">
        <f t="shared" si="157"/>
        <v>-3.5361500788578111</v>
      </c>
      <c r="K2035" s="19">
        <f t="shared" si="153"/>
        <v>120.761</v>
      </c>
      <c r="L2035" s="19">
        <f t="shared" si="156"/>
        <v>123.3348</v>
      </c>
      <c r="M2035" s="19">
        <f>MAX(G1836:G2035)</f>
        <v>132.78</v>
      </c>
      <c r="N2035" s="19">
        <f t="shared" si="154"/>
        <v>-12.479289049555661</v>
      </c>
      <c r="O2035" s="9" t="str">
        <f t="shared" si="155"/>
        <v>2024-10</v>
      </c>
    </row>
    <row r="2036" spans="1:15" x14ac:dyDescent="0.25">
      <c r="A2036" s="9" t="s">
        <v>318</v>
      </c>
      <c r="B2036" s="9" t="s">
        <v>319</v>
      </c>
      <c r="C2036" s="25" t="s">
        <v>246</v>
      </c>
      <c r="D2036" s="19">
        <v>116.21</v>
      </c>
      <c r="E2036" s="19">
        <v>116.39</v>
      </c>
      <c r="F2036" s="19">
        <v>112.28</v>
      </c>
      <c r="G2036" s="19">
        <v>112.5</v>
      </c>
      <c r="H2036" s="19">
        <v>112.5</v>
      </c>
      <c r="I2036" s="15">
        <v>1660753</v>
      </c>
      <c r="J2036" s="19">
        <f t="shared" si="157"/>
        <v>-3.1924963428276345</v>
      </c>
      <c r="K2036" s="19">
        <f t="shared" si="153"/>
        <v>120.752</v>
      </c>
      <c r="L2036" s="19">
        <f t="shared" si="156"/>
        <v>123.04060000000001</v>
      </c>
      <c r="M2036" s="19">
        <f>MAX(G1836:G2036)</f>
        <v>132.78</v>
      </c>
      <c r="N2036" s="19">
        <f t="shared" si="154"/>
        <v>-15.273384545865342</v>
      </c>
      <c r="O2036" s="9" t="str">
        <f t="shared" si="155"/>
        <v>2024-10</v>
      </c>
    </row>
    <row r="2037" spans="1:15" x14ac:dyDescent="0.25">
      <c r="A2037" s="9" t="s">
        <v>318</v>
      </c>
      <c r="B2037" s="9" t="s">
        <v>319</v>
      </c>
      <c r="C2037" s="25" t="s">
        <v>247</v>
      </c>
      <c r="D2037" s="19">
        <v>112.5</v>
      </c>
      <c r="E2037" s="19">
        <v>112.83</v>
      </c>
      <c r="F2037" s="19">
        <v>108.56</v>
      </c>
      <c r="G2037" s="19">
        <v>108.6</v>
      </c>
      <c r="H2037" s="19">
        <v>108.6</v>
      </c>
      <c r="I2037" s="15">
        <v>4451812</v>
      </c>
      <c r="J2037" s="19">
        <f t="shared" si="157"/>
        <v>-3.4666666666666721</v>
      </c>
      <c r="K2037" s="19">
        <f t="shared" si="153"/>
        <v>120.45549999999999</v>
      </c>
      <c r="L2037" s="19">
        <f t="shared" si="156"/>
        <v>122.65780000000001</v>
      </c>
      <c r="M2037" s="19">
        <f>MAX(G1836:G2037)</f>
        <v>132.78</v>
      </c>
      <c r="N2037" s="19">
        <f t="shared" si="154"/>
        <v>-18.210573881608681</v>
      </c>
      <c r="O2037" s="9" t="str">
        <f t="shared" si="155"/>
        <v>2024-10</v>
      </c>
    </row>
    <row r="2038" spans="1:15" x14ac:dyDescent="0.25">
      <c r="A2038" s="9" t="s">
        <v>318</v>
      </c>
      <c r="B2038" s="9" t="s">
        <v>319</v>
      </c>
      <c r="C2038" s="25" t="s">
        <v>248</v>
      </c>
      <c r="D2038" s="19">
        <v>108.6</v>
      </c>
      <c r="E2038" s="19">
        <v>108.95</v>
      </c>
      <c r="F2038" s="19">
        <v>106.72</v>
      </c>
      <c r="G2038" s="19">
        <v>107.03</v>
      </c>
      <c r="H2038" s="19">
        <v>107.03</v>
      </c>
      <c r="I2038" s="15">
        <v>4782796</v>
      </c>
      <c r="J2038" s="19">
        <f t="shared" si="157"/>
        <v>-1.4456721915285389</v>
      </c>
      <c r="K2038" s="19">
        <f t="shared" si="153"/>
        <v>120.024</v>
      </c>
      <c r="L2038" s="19">
        <f t="shared" si="156"/>
        <v>122.24639999999999</v>
      </c>
      <c r="M2038" s="19">
        <f>MAX(G1836:G2038)</f>
        <v>132.78</v>
      </c>
      <c r="N2038" s="19">
        <f t="shared" si="154"/>
        <v>-19.392980870613044</v>
      </c>
      <c r="O2038" s="9" t="str">
        <f t="shared" si="155"/>
        <v>2024-10</v>
      </c>
    </row>
    <row r="2039" spans="1:15" x14ac:dyDescent="0.25">
      <c r="A2039" s="9" t="s">
        <v>318</v>
      </c>
      <c r="B2039" s="9" t="s">
        <v>319</v>
      </c>
      <c r="C2039" s="25" t="s">
        <v>249</v>
      </c>
      <c r="D2039" s="19">
        <v>107.03</v>
      </c>
      <c r="E2039" s="19">
        <v>109.84</v>
      </c>
      <c r="F2039" s="19">
        <v>106.44</v>
      </c>
      <c r="G2039" s="19">
        <v>109.65</v>
      </c>
      <c r="H2039" s="19">
        <v>109.65</v>
      </c>
      <c r="I2039" s="15">
        <v>4360068</v>
      </c>
      <c r="J2039" s="19">
        <f t="shared" si="157"/>
        <v>2.4479118004297904</v>
      </c>
      <c r="K2039" s="19">
        <f t="shared" si="153"/>
        <v>119.48750000000003</v>
      </c>
      <c r="L2039" s="19">
        <f t="shared" si="156"/>
        <v>121.85659999999999</v>
      </c>
      <c r="M2039" s="19">
        <f>MAX(G1836:G2039)</f>
        <v>132.78</v>
      </c>
      <c r="N2039" s="19">
        <f t="shared" si="154"/>
        <v>-17.419792137370081</v>
      </c>
      <c r="O2039" s="9" t="str">
        <f t="shared" si="155"/>
        <v>2024-10</v>
      </c>
    </row>
    <row r="2040" spans="1:15" x14ac:dyDescent="0.25">
      <c r="A2040" s="9" t="s">
        <v>318</v>
      </c>
      <c r="B2040" s="9" t="s">
        <v>319</v>
      </c>
      <c r="C2040" s="25" t="s">
        <v>250</v>
      </c>
      <c r="D2040" s="19">
        <v>109.65</v>
      </c>
      <c r="E2040" s="19">
        <v>109.83</v>
      </c>
      <c r="F2040" s="19">
        <v>108.44</v>
      </c>
      <c r="G2040" s="19">
        <v>109.01</v>
      </c>
      <c r="H2040" s="19">
        <v>109.01</v>
      </c>
      <c r="I2040" s="15">
        <v>2950677</v>
      </c>
      <c r="J2040" s="19">
        <f t="shared" si="157"/>
        <v>-0.58367533059735577</v>
      </c>
      <c r="K2040" s="19">
        <f t="shared" si="153"/>
        <v>118.89750000000004</v>
      </c>
      <c r="L2040" s="19">
        <f t="shared" si="156"/>
        <v>121.41879999999998</v>
      </c>
      <c r="M2040" s="19">
        <f>MAX(G1836:G2040)</f>
        <v>132.78</v>
      </c>
      <c r="N2040" s="19">
        <f t="shared" si="154"/>
        <v>-17.901792438620269</v>
      </c>
      <c r="O2040" s="9" t="str">
        <f t="shared" si="155"/>
        <v>2024-10</v>
      </c>
    </row>
    <row r="2041" spans="1:15" x14ac:dyDescent="0.25">
      <c r="A2041" s="9" t="s">
        <v>318</v>
      </c>
      <c r="B2041" s="9" t="s">
        <v>319</v>
      </c>
      <c r="C2041" s="25" t="s">
        <v>251</v>
      </c>
      <c r="D2041" s="19">
        <v>109.01</v>
      </c>
      <c r="E2041" s="19">
        <v>110.32</v>
      </c>
      <c r="F2041" s="19">
        <v>109</v>
      </c>
      <c r="G2041" s="19">
        <v>110.2</v>
      </c>
      <c r="H2041" s="19">
        <v>110.2</v>
      </c>
      <c r="I2041" s="15">
        <v>2405796</v>
      </c>
      <c r="J2041" s="19">
        <f t="shared" si="157"/>
        <v>1.0916429685349947</v>
      </c>
      <c r="K2041" s="19">
        <f t="shared" si="153"/>
        <v>118.374</v>
      </c>
      <c r="L2041" s="19">
        <f t="shared" si="156"/>
        <v>120.99439999999998</v>
      </c>
      <c r="M2041" s="19">
        <f>MAX(G1836:G2041)</f>
        <v>132.78</v>
      </c>
      <c r="N2041" s="19">
        <f t="shared" si="154"/>
        <v>-17.005573128483203</v>
      </c>
      <c r="O2041" s="9" t="str">
        <f t="shared" si="155"/>
        <v>2024-10</v>
      </c>
    </row>
    <row r="2042" spans="1:15" x14ac:dyDescent="0.25">
      <c r="A2042" s="9" t="s">
        <v>318</v>
      </c>
      <c r="B2042" s="9" t="s">
        <v>319</v>
      </c>
      <c r="C2042" s="25" t="s">
        <v>252</v>
      </c>
      <c r="D2042" s="19">
        <v>110.2</v>
      </c>
      <c r="E2042" s="19">
        <v>111.58</v>
      </c>
      <c r="F2042" s="19">
        <v>109.79</v>
      </c>
      <c r="G2042" s="19">
        <v>111.49</v>
      </c>
      <c r="H2042" s="19">
        <v>111.49</v>
      </c>
      <c r="I2042" s="15">
        <v>2739252</v>
      </c>
      <c r="J2042" s="19">
        <f t="shared" si="157"/>
        <v>1.1705989110707731</v>
      </c>
      <c r="K2042" s="19">
        <f t="shared" si="153"/>
        <v>117.923</v>
      </c>
      <c r="L2042" s="19">
        <f t="shared" si="156"/>
        <v>120.62179999999998</v>
      </c>
      <c r="M2042" s="19">
        <f>MAX(G1836:G2042)</f>
        <v>132.78</v>
      </c>
      <c r="N2042" s="19">
        <f t="shared" si="154"/>
        <v>-16.034041271275797</v>
      </c>
      <c r="O2042" s="9" t="str">
        <f t="shared" si="155"/>
        <v>2024-10</v>
      </c>
    </row>
    <row r="2043" spans="1:15" x14ac:dyDescent="0.25">
      <c r="A2043" s="9" t="s">
        <v>318</v>
      </c>
      <c r="B2043" s="9" t="s">
        <v>319</v>
      </c>
      <c r="C2043" s="25" t="s">
        <v>253</v>
      </c>
      <c r="D2043" s="19">
        <v>111.49</v>
      </c>
      <c r="E2043" s="19">
        <v>113.7</v>
      </c>
      <c r="F2043" s="19">
        <v>111.47</v>
      </c>
      <c r="G2043" s="19">
        <v>113.16</v>
      </c>
      <c r="H2043" s="19">
        <v>113.16</v>
      </c>
      <c r="I2043" s="15">
        <v>5787763</v>
      </c>
      <c r="J2043" s="19">
        <f t="shared" si="157"/>
        <v>1.4978921876401488</v>
      </c>
      <c r="K2043" s="19">
        <f t="shared" si="153"/>
        <v>117.52449999999999</v>
      </c>
      <c r="L2043" s="19">
        <f t="shared" si="156"/>
        <v>120.29339999999996</v>
      </c>
      <c r="M2043" s="19">
        <f>MAX(G1836:G2043)</f>
        <v>132.78</v>
      </c>
      <c r="N2043" s="19">
        <f t="shared" si="154"/>
        <v>-14.776321735201087</v>
      </c>
      <c r="O2043" s="9" t="str">
        <f t="shared" si="155"/>
        <v>2024-10</v>
      </c>
    </row>
    <row r="2044" spans="1:15" x14ac:dyDescent="0.25">
      <c r="A2044" s="9" t="s">
        <v>318</v>
      </c>
      <c r="B2044" s="9" t="s">
        <v>319</v>
      </c>
      <c r="C2044" s="25" t="s">
        <v>254</v>
      </c>
      <c r="D2044" s="19">
        <v>113.16</v>
      </c>
      <c r="E2044" s="19">
        <v>113.37</v>
      </c>
      <c r="F2044" s="19">
        <v>111.02</v>
      </c>
      <c r="G2044" s="19">
        <v>111.63</v>
      </c>
      <c r="H2044" s="19">
        <v>111.63</v>
      </c>
      <c r="I2044" s="15">
        <v>3215585</v>
      </c>
      <c r="J2044" s="19">
        <f t="shared" si="157"/>
        <v>-1.3520678685047729</v>
      </c>
      <c r="K2044" s="19">
        <f t="shared" si="153"/>
        <v>117.02849999999998</v>
      </c>
      <c r="L2044" s="19">
        <f t="shared" si="156"/>
        <v>119.9588</v>
      </c>
      <c r="M2044" s="19">
        <f>MAX(G1836:G2044)</f>
        <v>132.78</v>
      </c>
      <c r="N2044" s="19">
        <f t="shared" si="154"/>
        <v>-15.92860370537732</v>
      </c>
      <c r="O2044" s="9" t="str">
        <f t="shared" si="155"/>
        <v>2024-10</v>
      </c>
    </row>
    <row r="2045" spans="1:15" x14ac:dyDescent="0.25">
      <c r="A2045" s="9" t="s">
        <v>318</v>
      </c>
      <c r="B2045" s="9" t="s">
        <v>319</v>
      </c>
      <c r="C2045" s="25" t="s">
        <v>255</v>
      </c>
      <c r="D2045" s="19">
        <v>111.63</v>
      </c>
      <c r="E2045" s="19">
        <v>111.66</v>
      </c>
      <c r="F2045" s="19">
        <v>110.03</v>
      </c>
      <c r="G2045" s="19">
        <v>110.12</v>
      </c>
      <c r="H2045" s="19">
        <v>110.12</v>
      </c>
      <c r="I2045" s="15">
        <v>2941724</v>
      </c>
      <c r="J2045" s="19">
        <f t="shared" si="157"/>
        <v>-1.352682970527628</v>
      </c>
      <c r="K2045" s="19">
        <f t="shared" si="153"/>
        <v>116.45549999999999</v>
      </c>
      <c r="L2045" s="19">
        <f t="shared" si="156"/>
        <v>119.53999999999998</v>
      </c>
      <c r="M2045" s="19">
        <f>MAX(G1836:G2045)</f>
        <v>132.78</v>
      </c>
      <c r="N2045" s="19">
        <f t="shared" si="154"/>
        <v>-17.065823166139477</v>
      </c>
      <c r="O2045" s="9" t="str">
        <f t="shared" si="155"/>
        <v>2024-10</v>
      </c>
    </row>
    <row r="2046" spans="1:15" x14ac:dyDescent="0.25">
      <c r="A2046" s="9" t="s">
        <v>318</v>
      </c>
      <c r="B2046" s="9" t="s">
        <v>319</v>
      </c>
      <c r="C2046" s="25" t="s">
        <v>256</v>
      </c>
      <c r="D2046" s="19">
        <v>110.12</v>
      </c>
      <c r="E2046" s="19">
        <v>110.75</v>
      </c>
      <c r="F2046" s="19">
        <v>109.16</v>
      </c>
      <c r="G2046" s="19">
        <v>110.49</v>
      </c>
      <c r="H2046" s="19">
        <v>110.49</v>
      </c>
      <c r="I2046" s="15">
        <v>3364639</v>
      </c>
      <c r="J2046" s="19">
        <f t="shared" si="157"/>
        <v>0.33599709407917755</v>
      </c>
      <c r="K2046" s="19">
        <f t="shared" si="153"/>
        <v>115.69299999999998</v>
      </c>
      <c r="L2046" s="19">
        <f t="shared" si="156"/>
        <v>119.14839999999998</v>
      </c>
      <c r="M2046" s="19">
        <f>MAX(G1836:G2046)</f>
        <v>132.78</v>
      </c>
      <c r="N2046" s="19">
        <f t="shared" si="154"/>
        <v>-16.787166741979217</v>
      </c>
      <c r="O2046" s="9" t="str">
        <f t="shared" si="155"/>
        <v>2024-10</v>
      </c>
    </row>
    <row r="2047" spans="1:15" x14ac:dyDescent="0.25">
      <c r="A2047" s="9" t="s">
        <v>318</v>
      </c>
      <c r="B2047" s="9" t="s">
        <v>319</v>
      </c>
      <c r="C2047" s="25" t="s">
        <v>257</v>
      </c>
      <c r="D2047" s="19">
        <v>110.49</v>
      </c>
      <c r="E2047" s="19">
        <v>110.7</v>
      </c>
      <c r="F2047" s="19">
        <v>108.43</v>
      </c>
      <c r="G2047" s="19">
        <v>109.46</v>
      </c>
      <c r="H2047" s="19">
        <v>109.46</v>
      </c>
      <c r="I2047" s="15">
        <v>3716836</v>
      </c>
      <c r="J2047" s="19">
        <f t="shared" si="157"/>
        <v>-0.93221105982441954</v>
      </c>
      <c r="K2047" s="19">
        <f t="shared" ref="K2047:K2110" si="158">AVERAGE(G2028:G2047)</f>
        <v>114.90299999999999</v>
      </c>
      <c r="L2047" s="19">
        <f t="shared" si="156"/>
        <v>118.7294</v>
      </c>
      <c r="M2047" s="19">
        <f>MAX(G1836:G2047)</f>
        <v>132.78</v>
      </c>
      <c r="N2047" s="19">
        <f t="shared" si="154"/>
        <v>-17.562885976803742</v>
      </c>
      <c r="O2047" s="9" t="str">
        <f t="shared" si="155"/>
        <v>2024-10</v>
      </c>
    </row>
    <row r="2048" spans="1:15" x14ac:dyDescent="0.25">
      <c r="A2048" s="9" t="s">
        <v>318</v>
      </c>
      <c r="B2048" s="9" t="s">
        <v>319</v>
      </c>
      <c r="C2048" s="25" t="s">
        <v>258</v>
      </c>
      <c r="D2048" s="19">
        <v>109.46</v>
      </c>
      <c r="E2048" s="19">
        <v>109.95</v>
      </c>
      <c r="F2048" s="19">
        <v>109.07</v>
      </c>
      <c r="G2048" s="19">
        <v>109.68</v>
      </c>
      <c r="H2048" s="19">
        <v>109.68</v>
      </c>
      <c r="I2048" s="15">
        <v>5138575</v>
      </c>
      <c r="J2048" s="19">
        <f t="shared" si="157"/>
        <v>0.20098666179427468</v>
      </c>
      <c r="K2048" s="19">
        <f t="shared" si="158"/>
        <v>114.09599999999998</v>
      </c>
      <c r="L2048" s="19">
        <f t="shared" si="156"/>
        <v>118.29559999999999</v>
      </c>
      <c r="M2048" s="19">
        <f>MAX(G1836:G2048)</f>
        <v>132.78</v>
      </c>
      <c r="N2048" s="19">
        <f t="shared" si="154"/>
        <v>-17.39719837324898</v>
      </c>
      <c r="O2048" s="9" t="str">
        <f t="shared" si="155"/>
        <v>2024-10</v>
      </c>
    </row>
    <row r="2049" spans="1:15" x14ac:dyDescent="0.25">
      <c r="A2049" s="9" t="s">
        <v>318</v>
      </c>
      <c r="B2049" s="9" t="s">
        <v>319</v>
      </c>
      <c r="C2049" s="25" t="s">
        <v>259</v>
      </c>
      <c r="D2049" s="19">
        <v>109.68</v>
      </c>
      <c r="E2049" s="19">
        <v>110.01</v>
      </c>
      <c r="F2049" s="19">
        <v>109.22</v>
      </c>
      <c r="G2049" s="19">
        <v>109.95</v>
      </c>
      <c r="H2049" s="19">
        <v>109.95</v>
      </c>
      <c r="I2049" s="15">
        <v>3005300</v>
      </c>
      <c r="J2049" s="19">
        <f t="shared" si="157"/>
        <v>0.24617067833697667</v>
      </c>
      <c r="K2049" s="19">
        <f t="shared" si="158"/>
        <v>113.43699999999998</v>
      </c>
      <c r="L2049" s="19">
        <f t="shared" si="156"/>
        <v>117.91860000000001</v>
      </c>
      <c r="M2049" s="19">
        <f>MAX(G1836:G2049)</f>
        <v>132.78</v>
      </c>
      <c r="N2049" s="19">
        <f t="shared" si="154"/>
        <v>-17.193854496159059</v>
      </c>
      <c r="O2049" s="9" t="str">
        <f t="shared" si="155"/>
        <v>2024-10</v>
      </c>
    </row>
    <row r="2050" spans="1:15" x14ac:dyDescent="0.25">
      <c r="A2050" s="9" t="s">
        <v>318</v>
      </c>
      <c r="B2050" s="9" t="s">
        <v>319</v>
      </c>
      <c r="C2050" s="25" t="s">
        <v>260</v>
      </c>
      <c r="D2050" s="19">
        <v>109.95</v>
      </c>
      <c r="E2050" s="19">
        <v>110.26</v>
      </c>
      <c r="F2050" s="19">
        <v>107.34</v>
      </c>
      <c r="G2050" s="19">
        <v>107.42</v>
      </c>
      <c r="H2050" s="19">
        <v>107.42</v>
      </c>
      <c r="I2050" s="15">
        <v>3956403</v>
      </c>
      <c r="J2050" s="19">
        <f t="shared" si="157"/>
        <v>-2.3010459299681685</v>
      </c>
      <c r="K2050" s="19">
        <f t="shared" si="158"/>
        <v>112.67150000000001</v>
      </c>
      <c r="L2050" s="19">
        <f t="shared" si="156"/>
        <v>117.46060000000001</v>
      </c>
      <c r="M2050" s="19">
        <f>MAX(G1836:G2050)</f>
        <v>132.78</v>
      </c>
      <c r="N2050" s="19">
        <f t="shared" ref="N2050:N2113" si="159">(G2050-M2050)/M2050*100</f>
        <v>-19.099261937038712</v>
      </c>
      <c r="O2050" s="9" t="str">
        <f t="shared" ref="O2050:O2097" si="160">TEXT(C2050,"yyyy-mm")</f>
        <v>2024-10</v>
      </c>
    </row>
    <row r="2051" spans="1:15" x14ac:dyDescent="0.25">
      <c r="A2051" s="9" t="s">
        <v>318</v>
      </c>
      <c r="B2051" s="9" t="s">
        <v>319</v>
      </c>
      <c r="C2051" s="25" t="s">
        <v>261</v>
      </c>
      <c r="D2051" s="19">
        <v>107.42</v>
      </c>
      <c r="E2051" s="19">
        <v>107.93</v>
      </c>
      <c r="F2051" s="19">
        <v>107.4</v>
      </c>
      <c r="G2051" s="19">
        <v>107.71</v>
      </c>
      <c r="H2051" s="19">
        <v>107.71</v>
      </c>
      <c r="I2051" s="15">
        <v>5508495</v>
      </c>
      <c r="J2051" s="19">
        <f t="shared" si="157"/>
        <v>0.26996834853843982</v>
      </c>
      <c r="K2051" s="19">
        <f t="shared" si="158"/>
        <v>111.91749999999999</v>
      </c>
      <c r="L2051" s="19">
        <f t="shared" si="156"/>
        <v>117.01960000000001</v>
      </c>
      <c r="M2051" s="19">
        <f>MAX(G1836:G2051)</f>
        <v>132.78</v>
      </c>
      <c r="N2051" s="19">
        <f t="shared" si="159"/>
        <v>-18.880855550534726</v>
      </c>
      <c r="O2051" s="9" t="str">
        <f t="shared" si="160"/>
        <v>2024-10</v>
      </c>
    </row>
    <row r="2052" spans="1:15" x14ac:dyDescent="0.25">
      <c r="A2052" s="9" t="s">
        <v>318</v>
      </c>
      <c r="B2052" s="9" t="s">
        <v>319</v>
      </c>
      <c r="C2052" s="25" t="s">
        <v>262</v>
      </c>
      <c r="D2052" s="19">
        <v>107.71</v>
      </c>
      <c r="E2052" s="19">
        <v>112.99</v>
      </c>
      <c r="F2052" s="19">
        <v>107.45</v>
      </c>
      <c r="G2052" s="19">
        <v>112.48</v>
      </c>
      <c r="H2052" s="19">
        <v>112.48</v>
      </c>
      <c r="I2052" s="15">
        <v>2782624</v>
      </c>
      <c r="J2052" s="19">
        <f t="shared" si="157"/>
        <v>4.4285581654442581</v>
      </c>
      <c r="K2052" s="19">
        <f t="shared" si="158"/>
        <v>111.3955</v>
      </c>
      <c r="L2052" s="19">
        <f t="shared" si="156"/>
        <v>116.8302</v>
      </c>
      <c r="M2052" s="19">
        <f>MAX(G1836:G2052)</f>
        <v>132.78</v>
      </c>
      <c r="N2052" s="19">
        <f t="shared" si="159"/>
        <v>-15.288447055279409</v>
      </c>
      <c r="O2052" s="9" t="str">
        <f t="shared" si="160"/>
        <v>2024-10</v>
      </c>
    </row>
    <row r="2053" spans="1:15" x14ac:dyDescent="0.25">
      <c r="A2053" s="9" t="s">
        <v>318</v>
      </c>
      <c r="B2053" s="9" t="s">
        <v>319</v>
      </c>
      <c r="C2053" s="25" t="s">
        <v>263</v>
      </c>
      <c r="D2053" s="19">
        <v>112.48</v>
      </c>
      <c r="E2053" s="19">
        <v>112.68</v>
      </c>
      <c r="F2053" s="19">
        <v>109.68</v>
      </c>
      <c r="G2053" s="19">
        <v>109.94</v>
      </c>
      <c r="H2053" s="19">
        <v>109.94</v>
      </c>
      <c r="I2053" s="15">
        <v>4736639</v>
      </c>
      <c r="J2053" s="19">
        <f t="shared" si="157"/>
        <v>-2.2581792318634482</v>
      </c>
      <c r="K2053" s="19">
        <f t="shared" si="158"/>
        <v>110.85999999999999</v>
      </c>
      <c r="L2053" s="19">
        <f t="shared" si="156"/>
        <v>116.62019999999998</v>
      </c>
      <c r="M2053" s="19">
        <f>MAX(G1836:G2053)</f>
        <v>132.78</v>
      </c>
      <c r="N2053" s="19">
        <f t="shared" si="159"/>
        <v>-17.201385750866098</v>
      </c>
      <c r="O2053" s="9" t="str">
        <f t="shared" si="160"/>
        <v>2024-10</v>
      </c>
    </row>
    <row r="2054" spans="1:15" x14ac:dyDescent="0.25">
      <c r="A2054" s="9" t="s">
        <v>318</v>
      </c>
      <c r="B2054" s="9" t="s">
        <v>319</v>
      </c>
      <c r="C2054" s="25" t="s">
        <v>264</v>
      </c>
      <c r="D2054" s="19">
        <v>109.94</v>
      </c>
      <c r="E2054" s="19">
        <v>110.12</v>
      </c>
      <c r="F2054" s="19">
        <v>108.14</v>
      </c>
      <c r="G2054" s="19">
        <v>108.57</v>
      </c>
      <c r="H2054" s="19">
        <v>108.57</v>
      </c>
      <c r="I2054" s="15">
        <v>5648697</v>
      </c>
      <c r="J2054" s="19">
        <f t="shared" si="157"/>
        <v>-1.2461342550482122</v>
      </c>
      <c r="K2054" s="19">
        <f t="shared" si="158"/>
        <v>110.26500000000001</v>
      </c>
      <c r="L2054" s="19">
        <f t="shared" si="156"/>
        <v>116.3806</v>
      </c>
      <c r="M2054" s="19">
        <f>MAX(G1836:G2054)</f>
        <v>132.78</v>
      </c>
      <c r="N2054" s="19">
        <f t="shared" si="159"/>
        <v>-18.233167645729782</v>
      </c>
      <c r="O2054" s="9" t="str">
        <f t="shared" si="160"/>
        <v>2024-10</v>
      </c>
    </row>
    <row r="2055" spans="1:15" x14ac:dyDescent="0.25">
      <c r="A2055" s="9" t="s">
        <v>318</v>
      </c>
      <c r="B2055" s="9" t="s">
        <v>319</v>
      </c>
      <c r="C2055" s="25" t="s">
        <v>265</v>
      </c>
      <c r="D2055" s="19">
        <v>108.57</v>
      </c>
      <c r="E2055" s="19">
        <v>108.78</v>
      </c>
      <c r="F2055" s="19">
        <v>106.84</v>
      </c>
      <c r="G2055" s="19">
        <v>107.02</v>
      </c>
      <c r="H2055" s="19">
        <v>107.02</v>
      </c>
      <c r="I2055" s="15">
        <v>4599960</v>
      </c>
      <c r="J2055" s="19">
        <f t="shared" si="157"/>
        <v>-1.4276503638205742</v>
      </c>
      <c r="K2055" s="19">
        <f t="shared" si="158"/>
        <v>109.80550000000001</v>
      </c>
      <c r="L2055" s="19">
        <f t="shared" si="156"/>
        <v>116.0988</v>
      </c>
      <c r="M2055" s="19">
        <f>MAX(G1836:G2055)</f>
        <v>132.78</v>
      </c>
      <c r="N2055" s="19">
        <f t="shared" si="159"/>
        <v>-19.400512125320084</v>
      </c>
      <c r="O2055" s="9" t="str">
        <f t="shared" si="160"/>
        <v>2024-11</v>
      </c>
    </row>
    <row r="2056" spans="1:15" x14ac:dyDescent="0.25">
      <c r="A2056" s="9" t="s">
        <v>318</v>
      </c>
      <c r="B2056" s="9" t="s">
        <v>319</v>
      </c>
      <c r="C2056" s="25" t="s">
        <v>266</v>
      </c>
      <c r="D2056" s="19">
        <v>107.02</v>
      </c>
      <c r="E2056" s="19">
        <v>107.59</v>
      </c>
      <c r="F2056" s="19">
        <v>106.92</v>
      </c>
      <c r="G2056" s="19">
        <v>107.41</v>
      </c>
      <c r="H2056" s="19">
        <v>107.41</v>
      </c>
      <c r="I2056" s="15">
        <v>4763161</v>
      </c>
      <c r="J2056" s="19">
        <f t="shared" si="157"/>
        <v>0.36441786581947355</v>
      </c>
      <c r="K2056" s="19">
        <f t="shared" si="158"/>
        <v>109.551</v>
      </c>
      <c r="L2056" s="19">
        <f t="shared" si="156"/>
        <v>115.79519999999998</v>
      </c>
      <c r="M2056" s="19">
        <f>MAX(G1836:G2056)</f>
        <v>132.78</v>
      </c>
      <c r="N2056" s="19">
        <f t="shared" si="159"/>
        <v>-19.106793191745748</v>
      </c>
      <c r="O2056" s="9" t="str">
        <f t="shared" si="160"/>
        <v>2024-11</v>
      </c>
    </row>
    <row r="2057" spans="1:15" x14ac:dyDescent="0.25">
      <c r="A2057" s="9" t="s">
        <v>318</v>
      </c>
      <c r="B2057" s="9" t="s">
        <v>319</v>
      </c>
      <c r="C2057" s="25" t="s">
        <v>267</v>
      </c>
      <c r="D2057" s="19">
        <v>107.41</v>
      </c>
      <c r="E2057" s="19">
        <v>107.93</v>
      </c>
      <c r="F2057" s="19">
        <v>105.93</v>
      </c>
      <c r="G2057" s="19">
        <v>105.93</v>
      </c>
      <c r="H2057" s="19">
        <v>105.93</v>
      </c>
      <c r="I2057" s="15">
        <v>3211103</v>
      </c>
      <c r="J2057" s="19">
        <f t="shared" si="157"/>
        <v>-1.3778977748812866</v>
      </c>
      <c r="K2057" s="19">
        <f t="shared" si="158"/>
        <v>109.41749999999999</v>
      </c>
      <c r="L2057" s="19">
        <f t="shared" si="156"/>
        <v>115.4328</v>
      </c>
      <c r="M2057" s="19">
        <f>MAX(G1836:G2057)</f>
        <v>132.78</v>
      </c>
      <c r="N2057" s="19">
        <f t="shared" si="159"/>
        <v>-20.2214188883868</v>
      </c>
      <c r="O2057" s="9" t="str">
        <f t="shared" si="160"/>
        <v>2024-11</v>
      </c>
    </row>
    <row r="2058" spans="1:15" x14ac:dyDescent="0.25">
      <c r="A2058" s="9" t="s">
        <v>318</v>
      </c>
      <c r="B2058" s="9" t="s">
        <v>319</v>
      </c>
      <c r="C2058" s="25" t="s">
        <v>268</v>
      </c>
      <c r="D2058" s="19">
        <v>105.93</v>
      </c>
      <c r="E2058" s="19">
        <v>106.34</v>
      </c>
      <c r="F2058" s="19">
        <v>105.21</v>
      </c>
      <c r="G2058" s="19">
        <v>105.49</v>
      </c>
      <c r="H2058" s="19">
        <v>105.49</v>
      </c>
      <c r="I2058" s="15">
        <v>4724548</v>
      </c>
      <c r="J2058" s="19">
        <f t="shared" si="157"/>
        <v>-0.41536863966771637</v>
      </c>
      <c r="K2058" s="19">
        <f t="shared" si="158"/>
        <v>109.34049999999999</v>
      </c>
      <c r="L2058" s="19">
        <f t="shared" si="156"/>
        <v>115.0282</v>
      </c>
      <c r="M2058" s="19">
        <f>MAX(G1836:G2058)</f>
        <v>132.78</v>
      </c>
      <c r="N2058" s="19">
        <f t="shared" si="159"/>
        <v>-20.552794095496314</v>
      </c>
      <c r="O2058" s="9" t="str">
        <f t="shared" si="160"/>
        <v>2024-11</v>
      </c>
    </row>
    <row r="2059" spans="1:15" x14ac:dyDescent="0.25">
      <c r="A2059" s="9" t="s">
        <v>318</v>
      </c>
      <c r="B2059" s="9" t="s">
        <v>319</v>
      </c>
      <c r="C2059" s="25" t="s">
        <v>269</v>
      </c>
      <c r="D2059" s="19">
        <v>105.49</v>
      </c>
      <c r="E2059" s="19">
        <v>105.92</v>
      </c>
      <c r="F2059" s="19">
        <v>104.65</v>
      </c>
      <c r="G2059" s="19">
        <v>104.81</v>
      </c>
      <c r="H2059" s="19">
        <v>104.81</v>
      </c>
      <c r="I2059" s="15">
        <v>3466062</v>
      </c>
      <c r="J2059" s="19">
        <f t="shared" si="157"/>
        <v>-0.6446108635889588</v>
      </c>
      <c r="K2059" s="19">
        <f t="shared" si="158"/>
        <v>109.09850000000002</v>
      </c>
      <c r="L2059" s="19">
        <f t="shared" si="156"/>
        <v>114.62019999999998</v>
      </c>
      <c r="M2059" s="19">
        <f>MAX(G1836:G2059)</f>
        <v>132.78</v>
      </c>
      <c r="N2059" s="19">
        <f t="shared" si="159"/>
        <v>-21.064919415574636</v>
      </c>
      <c r="O2059" s="9" t="str">
        <f t="shared" si="160"/>
        <v>2024-11</v>
      </c>
    </row>
    <row r="2060" spans="1:15" x14ac:dyDescent="0.25">
      <c r="A2060" s="9" t="s">
        <v>318</v>
      </c>
      <c r="B2060" s="9" t="s">
        <v>319</v>
      </c>
      <c r="C2060" s="25" t="s">
        <v>270</v>
      </c>
      <c r="D2060" s="19">
        <v>104.81</v>
      </c>
      <c r="E2060" s="19">
        <v>105.06</v>
      </c>
      <c r="F2060" s="19">
        <v>103.11</v>
      </c>
      <c r="G2060" s="19">
        <v>103.22</v>
      </c>
      <c r="H2060" s="19">
        <v>103.22</v>
      </c>
      <c r="I2060" s="15">
        <v>3011758</v>
      </c>
      <c r="J2060" s="19">
        <f t="shared" si="157"/>
        <v>-1.5170308176700729</v>
      </c>
      <c r="K2060" s="19">
        <f t="shared" si="158"/>
        <v>108.80900000000001</v>
      </c>
      <c r="L2060" s="19">
        <f t="shared" si="156"/>
        <v>114.19619999999999</v>
      </c>
      <c r="M2060" s="19">
        <f>MAX(G1836:G2060)</f>
        <v>132.78</v>
      </c>
      <c r="N2060" s="19">
        <f t="shared" si="159"/>
        <v>-22.262388913993071</v>
      </c>
      <c r="O2060" s="9" t="str">
        <f t="shared" si="160"/>
        <v>2024-11</v>
      </c>
    </row>
    <row r="2061" spans="1:15" x14ac:dyDescent="0.25">
      <c r="A2061" s="9" t="s">
        <v>318</v>
      </c>
      <c r="B2061" s="9" t="s">
        <v>319</v>
      </c>
      <c r="C2061" s="25" t="s">
        <v>271</v>
      </c>
      <c r="D2061" s="19">
        <v>103.22</v>
      </c>
      <c r="E2061" s="19">
        <v>103.77</v>
      </c>
      <c r="F2061" s="19">
        <v>102.29</v>
      </c>
      <c r="G2061" s="19">
        <v>102.34</v>
      </c>
      <c r="H2061" s="19">
        <v>102.34</v>
      </c>
      <c r="I2061" s="15">
        <v>5027906</v>
      </c>
      <c r="J2061" s="19">
        <f t="shared" si="157"/>
        <v>-0.85254795582251053</v>
      </c>
      <c r="K2061" s="19">
        <f t="shared" si="158"/>
        <v>108.41600000000001</v>
      </c>
      <c r="L2061" s="19">
        <f t="shared" si="156"/>
        <v>113.94759999999998</v>
      </c>
      <c r="M2061" s="19">
        <f>MAX(G1836:G2061)</f>
        <v>132.78</v>
      </c>
      <c r="N2061" s="19">
        <f t="shared" si="159"/>
        <v>-22.925139328212076</v>
      </c>
      <c r="O2061" s="9" t="str">
        <f t="shared" si="160"/>
        <v>2024-11</v>
      </c>
    </row>
    <row r="2062" spans="1:15" x14ac:dyDescent="0.25">
      <c r="A2062" s="9" t="s">
        <v>318</v>
      </c>
      <c r="B2062" s="9" t="s">
        <v>319</v>
      </c>
      <c r="C2062" s="25" t="s">
        <v>272</v>
      </c>
      <c r="D2062" s="19">
        <v>102.34</v>
      </c>
      <c r="E2062" s="19">
        <v>102.8</v>
      </c>
      <c r="F2062" s="19">
        <v>101.07</v>
      </c>
      <c r="G2062" s="19">
        <v>101.62</v>
      </c>
      <c r="H2062" s="19">
        <v>101.62</v>
      </c>
      <c r="I2062" s="15">
        <v>5551294</v>
      </c>
      <c r="J2062" s="19">
        <f t="shared" si="157"/>
        <v>-0.70353722884502523</v>
      </c>
      <c r="K2062" s="19">
        <f t="shared" si="158"/>
        <v>107.92249999999999</v>
      </c>
      <c r="L2062" s="19">
        <f t="shared" si="156"/>
        <v>113.649</v>
      </c>
      <c r="M2062" s="19">
        <f>MAX(G1836:G2062)</f>
        <v>132.78</v>
      </c>
      <c r="N2062" s="19">
        <f t="shared" si="159"/>
        <v>-23.467389667118539</v>
      </c>
      <c r="O2062" s="9" t="str">
        <f t="shared" si="160"/>
        <v>2024-11</v>
      </c>
    </row>
    <row r="2063" spans="1:15" x14ac:dyDescent="0.25">
      <c r="A2063" s="9" t="s">
        <v>318</v>
      </c>
      <c r="B2063" s="9" t="s">
        <v>319</v>
      </c>
      <c r="C2063" s="25" t="s">
        <v>273</v>
      </c>
      <c r="D2063" s="19">
        <v>101.62</v>
      </c>
      <c r="E2063" s="19">
        <v>104.64</v>
      </c>
      <c r="F2063" s="19">
        <v>101.16</v>
      </c>
      <c r="G2063" s="19">
        <v>104.52</v>
      </c>
      <c r="H2063" s="19">
        <v>104.52</v>
      </c>
      <c r="I2063" s="15">
        <v>4437375</v>
      </c>
      <c r="J2063" s="19">
        <f t="shared" si="157"/>
        <v>2.8537689431214242</v>
      </c>
      <c r="K2063" s="19">
        <f t="shared" si="158"/>
        <v>107.4905</v>
      </c>
      <c r="L2063" s="19">
        <f t="shared" si="156"/>
        <v>113.46520000000001</v>
      </c>
      <c r="M2063" s="19">
        <f>MAX(G1836:G2063)</f>
        <v>132.78</v>
      </c>
      <c r="N2063" s="19">
        <f t="shared" si="159"/>
        <v>-21.283325802078629</v>
      </c>
      <c r="O2063" s="9" t="str">
        <f t="shared" si="160"/>
        <v>2024-11</v>
      </c>
    </row>
    <row r="2064" spans="1:15" x14ac:dyDescent="0.25">
      <c r="A2064" s="9" t="s">
        <v>318</v>
      </c>
      <c r="B2064" s="9" t="s">
        <v>319</v>
      </c>
      <c r="C2064" s="25" t="s">
        <v>274</v>
      </c>
      <c r="D2064" s="19">
        <v>104.52</v>
      </c>
      <c r="E2064" s="19">
        <v>106.07</v>
      </c>
      <c r="F2064" s="19">
        <v>103.98</v>
      </c>
      <c r="G2064" s="19">
        <v>105.7</v>
      </c>
      <c r="H2064" s="19">
        <v>105.7</v>
      </c>
      <c r="I2064" s="15">
        <v>3828089</v>
      </c>
      <c r="J2064" s="19">
        <f t="shared" si="157"/>
        <v>1.1289705319556131</v>
      </c>
      <c r="K2064" s="19">
        <f t="shared" si="158"/>
        <v>107.19399999999999</v>
      </c>
      <c r="L2064" s="19">
        <f t="shared" si="156"/>
        <v>113.31599999999999</v>
      </c>
      <c r="M2064" s="19">
        <f>MAX(G1836:G2064)</f>
        <v>132.78</v>
      </c>
      <c r="N2064" s="19">
        <f t="shared" si="159"/>
        <v>-20.394637746648588</v>
      </c>
      <c r="O2064" s="9" t="str">
        <f t="shared" si="160"/>
        <v>2024-11</v>
      </c>
    </row>
    <row r="2065" spans="1:15" x14ac:dyDescent="0.25">
      <c r="A2065" s="9" t="s">
        <v>318</v>
      </c>
      <c r="B2065" s="9" t="s">
        <v>319</v>
      </c>
      <c r="C2065" s="25" t="s">
        <v>275</v>
      </c>
      <c r="D2065" s="19">
        <v>105.7</v>
      </c>
      <c r="E2065" s="19">
        <v>108.63</v>
      </c>
      <c r="F2065" s="19">
        <v>105.29</v>
      </c>
      <c r="G2065" s="19">
        <v>107.69</v>
      </c>
      <c r="H2065" s="19">
        <v>107.69</v>
      </c>
      <c r="I2065" s="15">
        <v>4565622</v>
      </c>
      <c r="J2065" s="19">
        <f t="shared" si="157"/>
        <v>1.8826868495742621</v>
      </c>
      <c r="K2065" s="19">
        <f t="shared" si="158"/>
        <v>107.07249999999999</v>
      </c>
      <c r="L2065" s="19">
        <f t="shared" si="156"/>
        <v>113.20119999999997</v>
      </c>
      <c r="M2065" s="19">
        <f>MAX(G1836:G2065)</f>
        <v>132.78</v>
      </c>
      <c r="N2065" s="19">
        <f t="shared" si="159"/>
        <v>-18.895918059948791</v>
      </c>
      <c r="O2065" s="9" t="str">
        <f t="shared" si="160"/>
        <v>2024-11</v>
      </c>
    </row>
    <row r="2066" spans="1:15" x14ac:dyDescent="0.25">
      <c r="A2066" s="9" t="s">
        <v>318</v>
      </c>
      <c r="B2066" s="9" t="s">
        <v>319</v>
      </c>
      <c r="C2066" s="25" t="s">
        <v>276</v>
      </c>
      <c r="D2066" s="19">
        <v>107.69</v>
      </c>
      <c r="E2066" s="19">
        <v>107.81</v>
      </c>
      <c r="F2066" s="19">
        <v>107.04</v>
      </c>
      <c r="G2066" s="19">
        <v>107.04</v>
      </c>
      <c r="H2066" s="19">
        <v>107.04</v>
      </c>
      <c r="I2066" s="15">
        <v>5475988</v>
      </c>
      <c r="J2066" s="19">
        <f t="shared" si="157"/>
        <v>-0.60358436252204617</v>
      </c>
      <c r="K2066" s="19">
        <f t="shared" si="158"/>
        <v>106.90000000000002</v>
      </c>
      <c r="L2066" s="19">
        <f t="shared" si="156"/>
        <v>113.08839999999998</v>
      </c>
      <c r="M2066" s="19">
        <f>MAX(G1836:G2066)</f>
        <v>132.78</v>
      </c>
      <c r="N2066" s="19">
        <f t="shared" si="159"/>
        <v>-19.385449615906005</v>
      </c>
      <c r="O2066" s="9" t="str">
        <f t="shared" si="160"/>
        <v>2024-11</v>
      </c>
    </row>
    <row r="2067" spans="1:15" x14ac:dyDescent="0.25">
      <c r="A2067" s="9" t="s">
        <v>318</v>
      </c>
      <c r="B2067" s="9" t="s">
        <v>319</v>
      </c>
      <c r="C2067" s="25" t="s">
        <v>277</v>
      </c>
      <c r="D2067" s="19">
        <v>107.04</v>
      </c>
      <c r="E2067" s="19">
        <v>109.46</v>
      </c>
      <c r="F2067" s="19">
        <v>106.09</v>
      </c>
      <c r="G2067" s="19">
        <v>108.85</v>
      </c>
      <c r="H2067" s="19">
        <v>108.85</v>
      </c>
      <c r="I2067" s="15">
        <v>5439204</v>
      </c>
      <c r="J2067" s="19">
        <f t="shared" si="157"/>
        <v>1.6909566517189722</v>
      </c>
      <c r="K2067" s="19">
        <f t="shared" si="158"/>
        <v>106.86949999999999</v>
      </c>
      <c r="L2067" s="19">
        <f t="shared" si="156"/>
        <v>112.9748</v>
      </c>
      <c r="M2067" s="19">
        <f>MAX(G1836:G2067)</f>
        <v>132.78</v>
      </c>
      <c r="N2067" s="19">
        <f t="shared" si="159"/>
        <v>-18.022292513932825</v>
      </c>
      <c r="O2067" s="9" t="str">
        <f t="shared" si="160"/>
        <v>2024-11</v>
      </c>
    </row>
    <row r="2068" spans="1:15" x14ac:dyDescent="0.25">
      <c r="A2068" s="9" t="s">
        <v>318</v>
      </c>
      <c r="B2068" s="9" t="s">
        <v>319</v>
      </c>
      <c r="C2068" s="25" t="s">
        <v>278</v>
      </c>
      <c r="D2068" s="19">
        <v>108.85</v>
      </c>
      <c r="E2068" s="19">
        <v>109.19</v>
      </c>
      <c r="F2068" s="19">
        <v>106.38</v>
      </c>
      <c r="G2068" s="19">
        <v>106.54</v>
      </c>
      <c r="H2068" s="19">
        <v>106.54</v>
      </c>
      <c r="I2068" s="15">
        <v>4521403</v>
      </c>
      <c r="J2068" s="19">
        <f t="shared" si="157"/>
        <v>-2.1221864951768379</v>
      </c>
      <c r="K2068" s="19">
        <f t="shared" si="158"/>
        <v>106.71250000000001</v>
      </c>
      <c r="L2068" s="19">
        <f t="shared" si="156"/>
        <v>112.79240000000001</v>
      </c>
      <c r="M2068" s="19">
        <f>MAX(G1836:G2068)</f>
        <v>132.78</v>
      </c>
      <c r="N2068" s="19">
        <f t="shared" si="159"/>
        <v>-19.762012351257717</v>
      </c>
      <c r="O2068" s="9" t="str">
        <f t="shared" si="160"/>
        <v>2024-11</v>
      </c>
    </row>
    <row r="2069" spans="1:15" x14ac:dyDescent="0.25">
      <c r="A2069" s="9" t="s">
        <v>318</v>
      </c>
      <c r="B2069" s="9" t="s">
        <v>319</v>
      </c>
      <c r="C2069" s="25" t="s">
        <v>279</v>
      </c>
      <c r="D2069" s="19">
        <v>106.54</v>
      </c>
      <c r="E2069" s="19">
        <v>107.53</v>
      </c>
      <c r="F2069" s="19">
        <v>106.15</v>
      </c>
      <c r="G2069" s="19">
        <v>107</v>
      </c>
      <c r="H2069" s="19">
        <v>107</v>
      </c>
      <c r="I2069" s="15">
        <v>4803769</v>
      </c>
      <c r="J2069" s="19">
        <f t="shared" si="157"/>
        <v>0.4317627182278897</v>
      </c>
      <c r="K2069" s="19">
        <f t="shared" si="158"/>
        <v>106.56500000000001</v>
      </c>
      <c r="L2069" s="19">
        <f t="shared" si="156"/>
        <v>112.52480000000001</v>
      </c>
      <c r="M2069" s="19">
        <f>MAX(G1836:G2069)</f>
        <v>132.78</v>
      </c>
      <c r="N2069" s="19">
        <f t="shared" si="159"/>
        <v>-19.415574634734149</v>
      </c>
      <c r="O2069" s="9" t="str">
        <f t="shared" si="160"/>
        <v>2024-11</v>
      </c>
    </row>
    <row r="2070" spans="1:15" x14ac:dyDescent="0.25">
      <c r="A2070" s="9" t="s">
        <v>318</v>
      </c>
      <c r="B2070" s="9" t="s">
        <v>319</v>
      </c>
      <c r="C2070" s="25" t="s">
        <v>280</v>
      </c>
      <c r="D2070" s="19">
        <v>107</v>
      </c>
      <c r="E2070" s="19">
        <v>109.03</v>
      </c>
      <c r="F2070" s="19">
        <v>106.97</v>
      </c>
      <c r="G2070" s="19">
        <v>108.94</v>
      </c>
      <c r="H2070" s="19">
        <v>108.94</v>
      </c>
      <c r="I2070" s="15">
        <v>4603708</v>
      </c>
      <c r="J2070" s="19">
        <f t="shared" si="157"/>
        <v>1.8130841121495305</v>
      </c>
      <c r="K2070" s="19">
        <f t="shared" si="158"/>
        <v>106.64099999999999</v>
      </c>
      <c r="L2070" s="19">
        <f t="shared" si="156"/>
        <v>112.28740000000002</v>
      </c>
      <c r="M2070" s="19">
        <f>MAX(G1836:G2070)</f>
        <v>132.78</v>
      </c>
      <c r="N2070" s="19">
        <f t="shared" si="159"/>
        <v>-17.954511221569515</v>
      </c>
      <c r="O2070" s="9" t="str">
        <f t="shared" si="160"/>
        <v>2024-11</v>
      </c>
    </row>
    <row r="2071" spans="1:15" x14ac:dyDescent="0.25">
      <c r="A2071" s="9" t="s">
        <v>318</v>
      </c>
      <c r="B2071" s="9" t="s">
        <v>319</v>
      </c>
      <c r="C2071" s="25" t="s">
        <v>281</v>
      </c>
      <c r="D2071" s="19">
        <v>108.94</v>
      </c>
      <c r="E2071" s="19">
        <v>109.39</v>
      </c>
      <c r="F2071" s="19">
        <v>108.03</v>
      </c>
      <c r="G2071" s="19">
        <v>108.37</v>
      </c>
      <c r="H2071" s="19">
        <v>108.37</v>
      </c>
      <c r="I2071" s="15">
        <v>3529382</v>
      </c>
      <c r="J2071" s="19">
        <f t="shared" si="157"/>
        <v>-0.52322379291352417</v>
      </c>
      <c r="K2071" s="19">
        <f t="shared" si="158"/>
        <v>106.67400000000001</v>
      </c>
      <c r="L2071" s="19">
        <f t="shared" si="156"/>
        <v>112.0414</v>
      </c>
      <c r="M2071" s="19">
        <f>MAX(G1836:G2071)</f>
        <v>132.78</v>
      </c>
      <c r="N2071" s="19">
        <f t="shared" si="159"/>
        <v>-18.383792739870461</v>
      </c>
      <c r="O2071" s="9" t="str">
        <f t="shared" si="160"/>
        <v>2024-11</v>
      </c>
    </row>
    <row r="2072" spans="1:15" x14ac:dyDescent="0.25">
      <c r="A2072" s="9" t="s">
        <v>318</v>
      </c>
      <c r="B2072" s="9" t="s">
        <v>319</v>
      </c>
      <c r="C2072" s="25" t="s">
        <v>282</v>
      </c>
      <c r="D2072" s="19">
        <v>108.37</v>
      </c>
      <c r="E2072" s="19">
        <v>108.74</v>
      </c>
      <c r="F2072" s="19">
        <v>107.39</v>
      </c>
      <c r="G2072" s="19">
        <v>107.79</v>
      </c>
      <c r="H2072" s="19">
        <v>107.79</v>
      </c>
      <c r="I2072" s="15">
        <v>5343093</v>
      </c>
      <c r="J2072" s="19">
        <f t="shared" si="157"/>
        <v>-0.53520346959490483</v>
      </c>
      <c r="K2072" s="19">
        <f t="shared" si="158"/>
        <v>106.4395</v>
      </c>
      <c r="L2072" s="19">
        <f t="shared" si="156"/>
        <v>111.78699999999999</v>
      </c>
      <c r="M2072" s="19">
        <f>MAX(G1836:G2072)</f>
        <v>132.78</v>
      </c>
      <c r="N2072" s="19">
        <f t="shared" si="159"/>
        <v>-18.820605512878441</v>
      </c>
      <c r="O2072" s="9" t="str">
        <f t="shared" si="160"/>
        <v>2024-11</v>
      </c>
    </row>
    <row r="2073" spans="1:15" x14ac:dyDescent="0.25">
      <c r="A2073" s="9" t="s">
        <v>318</v>
      </c>
      <c r="B2073" s="9" t="s">
        <v>319</v>
      </c>
      <c r="C2073" s="25" t="s">
        <v>283</v>
      </c>
      <c r="D2073" s="19">
        <v>107.79</v>
      </c>
      <c r="E2073" s="19">
        <v>108.42</v>
      </c>
      <c r="F2073" s="19">
        <v>107.04</v>
      </c>
      <c r="G2073" s="19">
        <v>107.28</v>
      </c>
      <c r="H2073" s="19">
        <v>107.28</v>
      </c>
      <c r="I2073" s="15">
        <v>5570460</v>
      </c>
      <c r="J2073" s="19">
        <f t="shared" si="157"/>
        <v>-0.47314222098525383</v>
      </c>
      <c r="K2073" s="19">
        <f t="shared" si="158"/>
        <v>106.3065</v>
      </c>
      <c r="L2073" s="19">
        <f t="shared" si="156"/>
        <v>111.50999999999996</v>
      </c>
      <c r="M2073" s="19">
        <f>MAX(G1836:G2073)</f>
        <v>132.78</v>
      </c>
      <c r="N2073" s="19">
        <f t="shared" si="159"/>
        <v>-19.204699502937189</v>
      </c>
      <c r="O2073" s="9" t="str">
        <f t="shared" si="160"/>
        <v>2024-11</v>
      </c>
    </row>
    <row r="2074" spans="1:15" x14ac:dyDescent="0.25">
      <c r="A2074" s="9" t="s">
        <v>318</v>
      </c>
      <c r="B2074" s="9" t="s">
        <v>319</v>
      </c>
      <c r="C2074" s="25" t="s">
        <v>284</v>
      </c>
      <c r="D2074" s="19">
        <v>107.28</v>
      </c>
      <c r="E2074" s="19">
        <v>107.69</v>
      </c>
      <c r="F2074" s="19">
        <v>102.95</v>
      </c>
      <c r="G2074" s="19">
        <v>103.52</v>
      </c>
      <c r="H2074" s="19">
        <v>103.52</v>
      </c>
      <c r="I2074" s="15">
        <v>4138989</v>
      </c>
      <c r="J2074" s="19">
        <f t="shared" si="157"/>
        <v>-3.5048471290082075</v>
      </c>
      <c r="K2074" s="19">
        <f t="shared" si="158"/>
        <v>106.05400000000002</v>
      </c>
      <c r="L2074" s="19">
        <f t="shared" si="156"/>
        <v>111.14939999999997</v>
      </c>
      <c r="M2074" s="19">
        <f>MAX(G1836:G2074)</f>
        <v>132.78</v>
      </c>
      <c r="N2074" s="19">
        <f t="shared" si="159"/>
        <v>-22.036451272782049</v>
      </c>
      <c r="O2074" s="9" t="str">
        <f t="shared" si="160"/>
        <v>2024-11</v>
      </c>
    </row>
    <row r="2075" spans="1:15" x14ac:dyDescent="0.25">
      <c r="A2075" s="9" t="s">
        <v>318</v>
      </c>
      <c r="B2075" s="9" t="s">
        <v>319</v>
      </c>
      <c r="C2075" s="25" t="s">
        <v>285</v>
      </c>
      <c r="D2075" s="19">
        <v>103.52</v>
      </c>
      <c r="E2075" s="19">
        <v>105.15</v>
      </c>
      <c r="F2075" s="19">
        <v>103.14</v>
      </c>
      <c r="G2075" s="19">
        <v>104.23</v>
      </c>
      <c r="H2075" s="19">
        <v>104.23</v>
      </c>
      <c r="I2075" s="15">
        <v>2847845</v>
      </c>
      <c r="J2075" s="19">
        <f t="shared" si="157"/>
        <v>0.68585780525503093</v>
      </c>
      <c r="K2075" s="19">
        <f t="shared" si="158"/>
        <v>105.91449999999998</v>
      </c>
      <c r="L2075" s="19">
        <f t="shared" si="156"/>
        <v>110.80239999999996</v>
      </c>
      <c r="M2075" s="19">
        <f>MAX(G1836:G2075)</f>
        <v>132.78</v>
      </c>
      <c r="N2075" s="19">
        <f t="shared" si="159"/>
        <v>-21.501732188582615</v>
      </c>
      <c r="O2075" s="9" t="str">
        <f t="shared" si="160"/>
        <v>2024-11</v>
      </c>
    </row>
    <row r="2076" spans="1:15" x14ac:dyDescent="0.25">
      <c r="A2076" s="9" t="s">
        <v>318</v>
      </c>
      <c r="B2076" s="9" t="s">
        <v>319</v>
      </c>
      <c r="C2076" s="25" t="s">
        <v>286</v>
      </c>
      <c r="D2076" s="19">
        <v>104.23</v>
      </c>
      <c r="E2076" s="19">
        <v>104.62</v>
      </c>
      <c r="F2076" s="19">
        <v>104.13</v>
      </c>
      <c r="G2076" s="19">
        <v>104.5</v>
      </c>
      <c r="H2076" s="19">
        <v>104.5</v>
      </c>
      <c r="I2076" s="15">
        <v>4083243</v>
      </c>
      <c r="J2076" s="19">
        <f t="shared" si="157"/>
        <v>0.25904250215868369</v>
      </c>
      <c r="K2076" s="19">
        <f t="shared" si="158"/>
        <v>105.76900000000001</v>
      </c>
      <c r="L2076" s="19">
        <f t="shared" si="156"/>
        <v>110.37759999999997</v>
      </c>
      <c r="M2076" s="19">
        <f>MAX(G1836:G2076)</f>
        <v>132.78</v>
      </c>
      <c r="N2076" s="19">
        <f t="shared" si="159"/>
        <v>-21.298388311492694</v>
      </c>
      <c r="O2076" s="9" t="str">
        <f t="shared" si="160"/>
        <v>2024-12</v>
      </c>
    </row>
    <row r="2077" spans="1:15" x14ac:dyDescent="0.25">
      <c r="A2077" s="9" t="s">
        <v>318</v>
      </c>
      <c r="B2077" s="9" t="s">
        <v>319</v>
      </c>
      <c r="C2077" s="25" t="s">
        <v>287</v>
      </c>
      <c r="D2077" s="19">
        <v>104.5</v>
      </c>
      <c r="E2077" s="19">
        <v>105.87</v>
      </c>
      <c r="F2077" s="19">
        <v>104.22</v>
      </c>
      <c r="G2077" s="19">
        <v>104.87</v>
      </c>
      <c r="H2077" s="19">
        <v>104.87</v>
      </c>
      <c r="I2077" s="15">
        <v>3730452</v>
      </c>
      <c r="J2077" s="19">
        <f t="shared" si="157"/>
        <v>0.35406698564593736</v>
      </c>
      <c r="K2077" s="19">
        <f t="shared" si="158"/>
        <v>105.71600000000001</v>
      </c>
      <c r="L2077" s="19">
        <f t="shared" ref="L2077:L2140" si="161">AVERAGE(G2028:G2077)</f>
        <v>109.96979999999996</v>
      </c>
      <c r="M2077" s="19">
        <f>MAX(G1836:G2077)</f>
        <v>132.78</v>
      </c>
      <c r="N2077" s="19">
        <f t="shared" si="159"/>
        <v>-21.019731887332426</v>
      </c>
      <c r="O2077" s="9" t="str">
        <f t="shared" si="160"/>
        <v>2024-12</v>
      </c>
    </row>
    <row r="2078" spans="1:15" x14ac:dyDescent="0.25">
      <c r="A2078" s="9" t="s">
        <v>318</v>
      </c>
      <c r="B2078" s="9" t="s">
        <v>319</v>
      </c>
      <c r="C2078" s="25" t="s">
        <v>288</v>
      </c>
      <c r="D2078" s="19">
        <v>104.87</v>
      </c>
      <c r="E2078" s="19">
        <v>105.87</v>
      </c>
      <c r="F2078" s="19">
        <v>103.03</v>
      </c>
      <c r="G2078" s="19">
        <v>103.32</v>
      </c>
      <c r="H2078" s="19">
        <v>103.32</v>
      </c>
      <c r="I2078" s="15">
        <v>7735492</v>
      </c>
      <c r="J2078" s="19">
        <f t="shared" si="157"/>
        <v>-1.4780204062172322</v>
      </c>
      <c r="K2078" s="19">
        <f t="shared" si="158"/>
        <v>105.60750000000003</v>
      </c>
      <c r="L2078" s="19">
        <f t="shared" si="161"/>
        <v>109.51979999999996</v>
      </c>
      <c r="M2078" s="19">
        <f>MAX(G1836:G2078)</f>
        <v>132.78</v>
      </c>
      <c r="N2078" s="19">
        <f t="shared" si="159"/>
        <v>-22.187076366922735</v>
      </c>
      <c r="O2078" s="9" t="str">
        <f t="shared" si="160"/>
        <v>2024-12</v>
      </c>
    </row>
    <row r="2079" spans="1:15" x14ac:dyDescent="0.25">
      <c r="A2079" s="9" t="s">
        <v>318</v>
      </c>
      <c r="B2079" s="9" t="s">
        <v>319</v>
      </c>
      <c r="C2079" s="25" t="s">
        <v>289</v>
      </c>
      <c r="D2079" s="19">
        <v>103.32</v>
      </c>
      <c r="E2079" s="19">
        <v>105.12</v>
      </c>
      <c r="F2079" s="19">
        <v>103.25</v>
      </c>
      <c r="G2079" s="19">
        <v>104.76</v>
      </c>
      <c r="H2079" s="19">
        <v>104.76</v>
      </c>
      <c r="I2079" s="15">
        <v>2367934</v>
      </c>
      <c r="J2079" s="19">
        <f t="shared" si="157"/>
        <v>1.3937282229965273</v>
      </c>
      <c r="K2079" s="19">
        <f t="shared" si="158"/>
        <v>105.60499999999999</v>
      </c>
      <c r="L2079" s="19">
        <f t="shared" si="161"/>
        <v>109.15239999999996</v>
      </c>
      <c r="M2079" s="19">
        <f>MAX(G1836:G2079)</f>
        <v>132.78</v>
      </c>
      <c r="N2079" s="19">
        <f t="shared" si="159"/>
        <v>-21.102575689109806</v>
      </c>
      <c r="O2079" s="9" t="str">
        <f t="shared" si="160"/>
        <v>2024-12</v>
      </c>
    </row>
    <row r="2080" spans="1:15" x14ac:dyDescent="0.25">
      <c r="A2080" s="9" t="s">
        <v>318</v>
      </c>
      <c r="B2080" s="9" t="s">
        <v>319</v>
      </c>
      <c r="C2080" s="25" t="s">
        <v>290</v>
      </c>
      <c r="D2080" s="19">
        <v>104.76</v>
      </c>
      <c r="E2080" s="19">
        <v>105.11</v>
      </c>
      <c r="F2080" s="19">
        <v>102.6</v>
      </c>
      <c r="G2080" s="19">
        <v>103.04</v>
      </c>
      <c r="H2080" s="19">
        <v>103.04</v>
      </c>
      <c r="I2080" s="15">
        <v>4585329</v>
      </c>
      <c r="J2080" s="19">
        <f t="shared" si="157"/>
        <v>-1.6418480336006098</v>
      </c>
      <c r="K2080" s="19">
        <f t="shared" si="158"/>
        <v>105.596</v>
      </c>
      <c r="L2080" s="19">
        <f t="shared" si="161"/>
        <v>108.75859999999997</v>
      </c>
      <c r="M2080" s="19">
        <f>MAX(G1836:G2080)</f>
        <v>132.78</v>
      </c>
      <c r="N2080" s="19">
        <f t="shared" si="159"/>
        <v>-22.397951498719681</v>
      </c>
      <c r="O2080" s="9" t="str">
        <f t="shared" si="160"/>
        <v>2024-12</v>
      </c>
    </row>
    <row r="2081" spans="1:15" x14ac:dyDescent="0.25">
      <c r="A2081" s="9" t="s">
        <v>318</v>
      </c>
      <c r="B2081" s="9" t="s">
        <v>319</v>
      </c>
      <c r="C2081" s="25" t="s">
        <v>291</v>
      </c>
      <c r="D2081" s="19">
        <v>103.04</v>
      </c>
      <c r="E2081" s="19">
        <v>103.09</v>
      </c>
      <c r="F2081" s="19">
        <v>101.75</v>
      </c>
      <c r="G2081" s="19">
        <v>101.77</v>
      </c>
      <c r="H2081" s="19">
        <v>101.77</v>
      </c>
      <c r="I2081" s="15">
        <v>4341790</v>
      </c>
      <c r="J2081" s="19">
        <f t="shared" si="157"/>
        <v>-1.2325310559006308</v>
      </c>
      <c r="K2081" s="19">
        <f t="shared" si="158"/>
        <v>105.5675</v>
      </c>
      <c r="L2081" s="19">
        <f t="shared" si="161"/>
        <v>108.33819999999996</v>
      </c>
      <c r="M2081" s="19">
        <f>MAX(G1836:G2081)</f>
        <v>132.78</v>
      </c>
      <c r="N2081" s="19">
        <f t="shared" si="159"/>
        <v>-23.354420846513033</v>
      </c>
      <c r="O2081" s="9" t="str">
        <f t="shared" si="160"/>
        <v>2024-12</v>
      </c>
    </row>
    <row r="2082" spans="1:15" x14ac:dyDescent="0.25">
      <c r="A2082" s="9" t="s">
        <v>318</v>
      </c>
      <c r="B2082" s="9" t="s">
        <v>319</v>
      </c>
      <c r="C2082" s="25" t="s">
        <v>292</v>
      </c>
      <c r="D2082" s="19">
        <v>101.77</v>
      </c>
      <c r="E2082" s="19">
        <v>101.78</v>
      </c>
      <c r="F2082" s="19">
        <v>99.98</v>
      </c>
      <c r="G2082" s="19">
        <v>100.83</v>
      </c>
      <c r="H2082" s="19">
        <v>100.83</v>
      </c>
      <c r="I2082" s="15">
        <v>6450613</v>
      </c>
      <c r="J2082" s="19">
        <f t="shared" si="157"/>
        <v>-0.92365137073793635</v>
      </c>
      <c r="K2082" s="19">
        <f t="shared" si="158"/>
        <v>105.52799999999999</v>
      </c>
      <c r="L2082" s="19">
        <f t="shared" si="161"/>
        <v>107.89639999999997</v>
      </c>
      <c r="M2082" s="19">
        <f>MAX(G1836:G2082)</f>
        <v>132.78</v>
      </c>
      <c r="N2082" s="19">
        <f t="shared" si="159"/>
        <v>-24.062358788974244</v>
      </c>
      <c r="O2082" s="9" t="str">
        <f t="shared" si="160"/>
        <v>2024-12</v>
      </c>
    </row>
    <row r="2083" spans="1:15" x14ac:dyDescent="0.25">
      <c r="A2083" s="9" t="s">
        <v>318</v>
      </c>
      <c r="B2083" s="9" t="s">
        <v>319</v>
      </c>
      <c r="C2083" s="25" t="s">
        <v>293</v>
      </c>
      <c r="D2083" s="19">
        <v>100.83</v>
      </c>
      <c r="E2083" s="19">
        <v>101.28</v>
      </c>
      <c r="F2083" s="19">
        <v>100.19</v>
      </c>
      <c r="G2083" s="19">
        <v>101.12</v>
      </c>
      <c r="H2083" s="19">
        <v>101.12</v>
      </c>
      <c r="I2083" s="15">
        <v>3747613</v>
      </c>
      <c r="J2083" s="19">
        <f t="shared" si="157"/>
        <v>0.28761281364673835</v>
      </c>
      <c r="K2083" s="19">
        <f t="shared" si="158"/>
        <v>105.35799999999999</v>
      </c>
      <c r="L2083" s="19">
        <f t="shared" si="161"/>
        <v>107.50579999999998</v>
      </c>
      <c r="M2083" s="19">
        <f>MAX(G1836:G2083)</f>
        <v>132.78</v>
      </c>
      <c r="N2083" s="19">
        <f t="shared" si="159"/>
        <v>-23.843952402470247</v>
      </c>
      <c r="O2083" s="9" t="str">
        <f t="shared" si="160"/>
        <v>2024-12</v>
      </c>
    </row>
    <row r="2084" spans="1:15" x14ac:dyDescent="0.25">
      <c r="A2084" s="9" t="s">
        <v>318</v>
      </c>
      <c r="B2084" s="9" t="s">
        <v>319</v>
      </c>
      <c r="C2084" s="25" t="s">
        <v>294</v>
      </c>
      <c r="D2084" s="19">
        <v>101.12</v>
      </c>
      <c r="E2084" s="19">
        <v>101.79</v>
      </c>
      <c r="F2084" s="19">
        <v>96.49</v>
      </c>
      <c r="G2084" s="19">
        <v>96.89</v>
      </c>
      <c r="H2084" s="19">
        <v>96.89</v>
      </c>
      <c r="I2084" s="15">
        <v>3471688</v>
      </c>
      <c r="J2084" s="19">
        <f t="shared" si="157"/>
        <v>-4.1831487341772187</v>
      </c>
      <c r="K2084" s="19">
        <f t="shared" si="158"/>
        <v>104.91749999999999</v>
      </c>
      <c r="L2084" s="19">
        <f t="shared" si="161"/>
        <v>107.03419999999998</v>
      </c>
      <c r="M2084" s="19">
        <f>MAX(G1836:G2084)</f>
        <v>132.78</v>
      </c>
      <c r="N2084" s="19">
        <f t="shared" si="159"/>
        <v>-27.029673143545711</v>
      </c>
      <c r="O2084" s="9" t="str">
        <f t="shared" si="160"/>
        <v>2024-12</v>
      </c>
    </row>
    <row r="2085" spans="1:15" x14ac:dyDescent="0.25">
      <c r="A2085" s="9" t="s">
        <v>318</v>
      </c>
      <c r="B2085" s="9" t="s">
        <v>319</v>
      </c>
      <c r="C2085" s="25" t="s">
        <v>295</v>
      </c>
      <c r="D2085" s="19">
        <v>96.89</v>
      </c>
      <c r="E2085" s="19">
        <v>99.04</v>
      </c>
      <c r="F2085" s="19">
        <v>96.69</v>
      </c>
      <c r="G2085" s="19">
        <v>99.03</v>
      </c>
      <c r="H2085" s="19">
        <v>99.03</v>
      </c>
      <c r="I2085" s="15">
        <v>3773547</v>
      </c>
      <c r="J2085" s="19">
        <f t="shared" si="157"/>
        <v>2.208690267313449</v>
      </c>
      <c r="K2085" s="19">
        <f t="shared" si="158"/>
        <v>104.48449999999998</v>
      </c>
      <c r="L2085" s="19">
        <f t="shared" si="161"/>
        <v>106.69059999999998</v>
      </c>
      <c r="M2085" s="19">
        <f>MAX(G1836:G2085)</f>
        <v>132.78</v>
      </c>
      <c r="N2085" s="19">
        <f t="shared" si="159"/>
        <v>-25.417984636240398</v>
      </c>
      <c r="O2085" s="9" t="str">
        <f t="shared" si="160"/>
        <v>2024-12</v>
      </c>
    </row>
    <row r="2086" spans="1:15" x14ac:dyDescent="0.25">
      <c r="A2086" s="9" t="s">
        <v>318</v>
      </c>
      <c r="B2086" s="9" t="s">
        <v>319</v>
      </c>
      <c r="C2086" s="25" t="s">
        <v>296</v>
      </c>
      <c r="D2086" s="19">
        <v>99.03</v>
      </c>
      <c r="E2086" s="19">
        <v>99.8</v>
      </c>
      <c r="F2086" s="19">
        <v>98.16</v>
      </c>
      <c r="G2086" s="19">
        <v>99.44</v>
      </c>
      <c r="H2086" s="19">
        <v>99.44</v>
      </c>
      <c r="I2086" s="15">
        <v>3175941</v>
      </c>
      <c r="J2086" s="19">
        <f t="shared" si="157"/>
        <v>0.41401595476118003</v>
      </c>
      <c r="K2086" s="19">
        <f t="shared" si="158"/>
        <v>104.10449999999999</v>
      </c>
      <c r="L2086" s="19">
        <f t="shared" si="161"/>
        <v>106.42939999999997</v>
      </c>
      <c r="M2086" s="19">
        <f>MAX(G1836:G2086)</f>
        <v>132.78</v>
      </c>
      <c r="N2086" s="19">
        <f t="shared" si="159"/>
        <v>-25.109203193252</v>
      </c>
      <c r="O2086" s="9" t="str">
        <f t="shared" si="160"/>
        <v>2024-12</v>
      </c>
    </row>
    <row r="2087" spans="1:15" x14ac:dyDescent="0.25">
      <c r="A2087" s="9" t="s">
        <v>318</v>
      </c>
      <c r="B2087" s="9" t="s">
        <v>319</v>
      </c>
      <c r="C2087" s="25" t="s">
        <v>297</v>
      </c>
      <c r="D2087" s="19">
        <v>99.44</v>
      </c>
      <c r="E2087" s="19">
        <v>102.36</v>
      </c>
      <c r="F2087" s="19">
        <v>99.11</v>
      </c>
      <c r="G2087" s="19">
        <v>102.21</v>
      </c>
      <c r="H2087" s="19">
        <v>102.21</v>
      </c>
      <c r="I2087" s="15">
        <v>4159345</v>
      </c>
      <c r="J2087" s="19">
        <f t="shared" si="157"/>
        <v>2.7855993563958128</v>
      </c>
      <c r="K2087" s="19">
        <f t="shared" si="158"/>
        <v>103.77249999999999</v>
      </c>
      <c r="L2087" s="19">
        <f t="shared" si="161"/>
        <v>106.30159999999998</v>
      </c>
      <c r="M2087" s="19">
        <f>MAX(G1836:G2087)</f>
        <v>132.78</v>
      </c>
      <c r="N2087" s="19">
        <f t="shared" si="159"/>
        <v>-23.023045639403531</v>
      </c>
      <c r="O2087" s="9" t="str">
        <f t="shared" si="160"/>
        <v>2024-12</v>
      </c>
    </row>
    <row r="2088" spans="1:15" x14ac:dyDescent="0.25">
      <c r="A2088" s="9" t="s">
        <v>318</v>
      </c>
      <c r="B2088" s="9" t="s">
        <v>319</v>
      </c>
      <c r="C2088" s="25" t="s">
        <v>298</v>
      </c>
      <c r="D2088" s="19">
        <v>102.21</v>
      </c>
      <c r="E2088" s="19">
        <v>105.06</v>
      </c>
      <c r="F2088" s="19">
        <v>101.36</v>
      </c>
      <c r="G2088" s="19">
        <v>104.85</v>
      </c>
      <c r="H2088" s="19">
        <v>104.85</v>
      </c>
      <c r="I2088" s="15">
        <v>3973558</v>
      </c>
      <c r="J2088" s="19">
        <f t="shared" si="157"/>
        <v>2.5829175227472856</v>
      </c>
      <c r="K2088" s="19">
        <f t="shared" si="158"/>
        <v>103.68799999999999</v>
      </c>
      <c r="L2088" s="19">
        <f t="shared" si="161"/>
        <v>106.258</v>
      </c>
      <c r="M2088" s="19">
        <f>MAX(G1836:G2088)</f>
        <v>132.78</v>
      </c>
      <c r="N2088" s="19">
        <f t="shared" si="159"/>
        <v>-21.034794396746502</v>
      </c>
      <c r="O2088" s="9" t="str">
        <f t="shared" si="160"/>
        <v>2024-12</v>
      </c>
    </row>
    <row r="2089" spans="1:15" x14ac:dyDescent="0.25">
      <c r="A2089" s="9" t="s">
        <v>318</v>
      </c>
      <c r="B2089" s="9" t="s">
        <v>319</v>
      </c>
      <c r="C2089" s="25" t="s">
        <v>299</v>
      </c>
      <c r="D2089" s="19">
        <v>104.85</v>
      </c>
      <c r="E2089" s="19">
        <v>106.95</v>
      </c>
      <c r="F2089" s="19">
        <v>104.75</v>
      </c>
      <c r="G2089" s="19">
        <v>106.87</v>
      </c>
      <c r="H2089" s="19">
        <v>106.87</v>
      </c>
      <c r="I2089" s="15">
        <v>4343064</v>
      </c>
      <c r="J2089" s="19">
        <f t="shared" si="157"/>
        <v>1.926561754887945</v>
      </c>
      <c r="K2089" s="19">
        <f t="shared" si="158"/>
        <v>103.68149999999999</v>
      </c>
      <c r="L2089" s="19">
        <f t="shared" si="161"/>
        <v>106.2024</v>
      </c>
      <c r="M2089" s="19">
        <f>MAX(G1836:G2089)</f>
        <v>132.78</v>
      </c>
      <c r="N2089" s="19">
        <f t="shared" si="159"/>
        <v>-19.513480945925586</v>
      </c>
      <c r="O2089" s="9" t="str">
        <f t="shared" si="160"/>
        <v>2024-12</v>
      </c>
    </row>
    <row r="2090" spans="1:15" x14ac:dyDescent="0.25">
      <c r="A2090" s="9" t="s">
        <v>318</v>
      </c>
      <c r="B2090" s="9" t="s">
        <v>319</v>
      </c>
      <c r="C2090" s="25" t="s">
        <v>300</v>
      </c>
      <c r="D2090" s="19">
        <v>106.87</v>
      </c>
      <c r="E2090" s="19">
        <v>107.18</v>
      </c>
      <c r="F2090" s="19">
        <v>105.99</v>
      </c>
      <c r="G2090" s="19">
        <v>106.3</v>
      </c>
      <c r="H2090" s="19">
        <v>106.3</v>
      </c>
      <c r="I2090" s="15">
        <v>4023349</v>
      </c>
      <c r="J2090" s="19">
        <f t="shared" si="157"/>
        <v>-0.53335828576776212</v>
      </c>
      <c r="K2090" s="19">
        <f t="shared" si="158"/>
        <v>103.54950000000001</v>
      </c>
      <c r="L2090" s="19">
        <f t="shared" si="161"/>
        <v>106.14820000000002</v>
      </c>
      <c r="M2090" s="19">
        <f>MAX(G1836:G2090)</f>
        <v>132.78</v>
      </c>
      <c r="N2090" s="19">
        <f t="shared" si="159"/>
        <v>-19.942762464226544</v>
      </c>
      <c r="O2090" s="9" t="str">
        <f t="shared" si="160"/>
        <v>2024-12</v>
      </c>
    </row>
    <row r="2091" spans="1:15" x14ac:dyDescent="0.25">
      <c r="A2091" s="9" t="s">
        <v>318</v>
      </c>
      <c r="B2091" s="9" t="s">
        <v>319</v>
      </c>
      <c r="C2091" s="25" t="s">
        <v>301</v>
      </c>
      <c r="D2091" s="19">
        <v>106.3</v>
      </c>
      <c r="E2091" s="19">
        <v>106.48</v>
      </c>
      <c r="F2091" s="19">
        <v>105.53</v>
      </c>
      <c r="G2091" s="19">
        <v>106.07</v>
      </c>
      <c r="H2091" s="19">
        <v>106.07</v>
      </c>
      <c r="I2091" s="15">
        <v>3473279</v>
      </c>
      <c r="J2091" s="19">
        <f t="shared" si="157"/>
        <v>-0.21636876763876195</v>
      </c>
      <c r="K2091" s="19">
        <f t="shared" si="158"/>
        <v>103.43449999999999</v>
      </c>
      <c r="L2091" s="19">
        <f t="shared" si="161"/>
        <v>106.06560000000002</v>
      </c>
      <c r="M2091" s="19">
        <f>MAX(G1836:G2091)</f>
        <v>132.78</v>
      </c>
      <c r="N2091" s="19">
        <f t="shared" si="159"/>
        <v>-20.115981322488334</v>
      </c>
      <c r="O2091" s="9" t="str">
        <f t="shared" si="160"/>
        <v>2024-12</v>
      </c>
    </row>
    <row r="2092" spans="1:15" x14ac:dyDescent="0.25">
      <c r="A2092" s="9" t="s">
        <v>318</v>
      </c>
      <c r="B2092" s="9" t="s">
        <v>319</v>
      </c>
      <c r="C2092" s="25" t="s">
        <v>302</v>
      </c>
      <c r="D2092" s="19">
        <v>106.07</v>
      </c>
      <c r="E2092" s="19">
        <v>106.6</v>
      </c>
      <c r="F2092" s="19">
        <v>102.65</v>
      </c>
      <c r="G2092" s="19">
        <v>102.66</v>
      </c>
      <c r="H2092" s="19">
        <v>102.66</v>
      </c>
      <c r="I2092" s="15">
        <v>5929093</v>
      </c>
      <c r="J2092" s="19">
        <f t="shared" si="157"/>
        <v>-3.2148581125671698</v>
      </c>
      <c r="K2092" s="19">
        <f t="shared" si="158"/>
        <v>103.17799999999997</v>
      </c>
      <c r="L2092" s="19">
        <f t="shared" si="161"/>
        <v>105.889</v>
      </c>
      <c r="M2092" s="19">
        <f>MAX(G1836:G2092)</f>
        <v>132.78</v>
      </c>
      <c r="N2092" s="19">
        <f t="shared" si="159"/>
        <v>-22.684139177586989</v>
      </c>
      <c r="O2092" s="9" t="str">
        <f t="shared" si="160"/>
        <v>2024-12</v>
      </c>
    </row>
    <row r="2093" spans="1:15" x14ac:dyDescent="0.25">
      <c r="A2093" s="9" t="s">
        <v>318</v>
      </c>
      <c r="B2093" s="9" t="s">
        <v>319</v>
      </c>
      <c r="C2093" s="25" t="s">
        <v>303</v>
      </c>
      <c r="D2093" s="19">
        <v>102.66</v>
      </c>
      <c r="E2093" s="19">
        <v>102.78</v>
      </c>
      <c r="F2093" s="19">
        <v>102.46</v>
      </c>
      <c r="G2093" s="19">
        <v>102.64</v>
      </c>
      <c r="H2093" s="19">
        <v>102.64</v>
      </c>
      <c r="I2093" s="15">
        <v>2049062</v>
      </c>
      <c r="J2093" s="19">
        <f t="shared" si="157"/>
        <v>-1.9481784531459208E-2</v>
      </c>
      <c r="K2093" s="19">
        <f t="shared" si="158"/>
        <v>102.946</v>
      </c>
      <c r="L2093" s="19">
        <f t="shared" si="161"/>
        <v>105.6786</v>
      </c>
      <c r="M2093" s="19">
        <f>MAX(G1836:G2093)</f>
        <v>132.78</v>
      </c>
      <c r="N2093" s="19">
        <f t="shared" si="159"/>
        <v>-22.699201687001054</v>
      </c>
      <c r="O2093" s="9" t="str">
        <f t="shared" si="160"/>
        <v>2024-12</v>
      </c>
    </row>
    <row r="2094" spans="1:15" x14ac:dyDescent="0.25">
      <c r="A2094" s="9" t="s">
        <v>318</v>
      </c>
      <c r="B2094" s="9" t="s">
        <v>319</v>
      </c>
      <c r="C2094" s="25" t="s">
        <v>304</v>
      </c>
      <c r="D2094" s="19">
        <v>102.64</v>
      </c>
      <c r="E2094" s="19">
        <v>103.01</v>
      </c>
      <c r="F2094" s="19">
        <v>101.23</v>
      </c>
      <c r="G2094" s="19">
        <v>101.32</v>
      </c>
      <c r="H2094" s="19">
        <v>101.32</v>
      </c>
      <c r="I2094" s="15">
        <v>4120949</v>
      </c>
      <c r="J2094" s="19">
        <f t="shared" si="157"/>
        <v>-1.2860483242400695</v>
      </c>
      <c r="K2094" s="19">
        <f t="shared" si="158"/>
        <v>102.83600000000001</v>
      </c>
      <c r="L2094" s="19">
        <f t="shared" si="161"/>
        <v>105.47239999999999</v>
      </c>
      <c r="M2094" s="19">
        <f>MAX(G1836:G2094)</f>
        <v>132.78</v>
      </c>
      <c r="N2094" s="19">
        <f t="shared" si="159"/>
        <v>-23.693327308329572</v>
      </c>
      <c r="O2094" s="9" t="str">
        <f t="shared" si="160"/>
        <v>2024-12</v>
      </c>
    </row>
    <row r="2095" spans="1:15" x14ac:dyDescent="0.25">
      <c r="A2095" s="9" t="s">
        <v>318</v>
      </c>
      <c r="B2095" s="9" t="s">
        <v>319</v>
      </c>
      <c r="C2095" s="25" t="s">
        <v>305</v>
      </c>
      <c r="D2095" s="19">
        <v>101.32</v>
      </c>
      <c r="E2095" s="19">
        <v>101.83</v>
      </c>
      <c r="F2095" s="19">
        <v>100.61</v>
      </c>
      <c r="G2095" s="19">
        <v>101.41</v>
      </c>
      <c r="H2095" s="19">
        <v>101.41</v>
      </c>
      <c r="I2095" s="15">
        <v>6465386</v>
      </c>
      <c r="J2095" s="19">
        <f t="shared" si="157"/>
        <v>8.8827477299648058E-2</v>
      </c>
      <c r="K2095" s="19">
        <f t="shared" si="158"/>
        <v>102.69500000000001</v>
      </c>
      <c r="L2095" s="19">
        <f t="shared" si="161"/>
        <v>105.29819999999998</v>
      </c>
      <c r="M2095" s="19">
        <f>MAX(G1836:G2095)</f>
        <v>132.78</v>
      </c>
      <c r="N2095" s="19">
        <f t="shared" si="159"/>
        <v>-23.625546015966265</v>
      </c>
      <c r="O2095" s="9" t="str">
        <f t="shared" si="160"/>
        <v>2024-12</v>
      </c>
    </row>
    <row r="2096" spans="1:15" x14ac:dyDescent="0.25">
      <c r="A2096" s="9" t="s">
        <v>318</v>
      </c>
      <c r="B2096" s="9" t="s">
        <v>319</v>
      </c>
      <c r="C2096" s="25" t="s">
        <v>306</v>
      </c>
      <c r="D2096" s="19">
        <v>101.41</v>
      </c>
      <c r="E2096" s="19">
        <v>101.5</v>
      </c>
      <c r="F2096" s="19">
        <v>98.06</v>
      </c>
      <c r="G2096" s="19">
        <v>98.44</v>
      </c>
      <c r="H2096" s="19">
        <v>98.44</v>
      </c>
      <c r="I2096" s="15">
        <v>6789607</v>
      </c>
      <c r="J2096" s="19">
        <f t="shared" si="157"/>
        <v>-2.9287052558919227</v>
      </c>
      <c r="K2096" s="19">
        <f t="shared" si="158"/>
        <v>102.39200000000001</v>
      </c>
      <c r="L2096" s="19">
        <f t="shared" si="161"/>
        <v>105.05719999999999</v>
      </c>
      <c r="M2096" s="19">
        <f>MAX(G1836:G2096)</f>
        <v>132.78</v>
      </c>
      <c r="N2096" s="19">
        <f t="shared" si="159"/>
        <v>-25.86232866395542</v>
      </c>
      <c r="O2096" s="9" t="str">
        <f t="shared" si="160"/>
        <v>2024-12</v>
      </c>
    </row>
    <row r="2097" spans="1:15" x14ac:dyDescent="0.25">
      <c r="A2097" s="9" t="s">
        <v>318</v>
      </c>
      <c r="B2097" s="9" t="s">
        <v>319</v>
      </c>
      <c r="C2097" s="25" t="s">
        <v>307</v>
      </c>
      <c r="D2097" s="19">
        <v>98.44</v>
      </c>
      <c r="E2097" s="19">
        <v>98.64</v>
      </c>
      <c r="F2097" s="19">
        <v>97.96</v>
      </c>
      <c r="G2097" s="19">
        <v>98.43</v>
      </c>
      <c r="H2097" s="19">
        <v>98.43</v>
      </c>
      <c r="I2097" s="15">
        <v>4219045</v>
      </c>
      <c r="J2097" s="19">
        <f t="shared" si="157"/>
        <v>-1.0158472165777026E-2</v>
      </c>
      <c r="K2097" s="19">
        <f t="shared" si="158"/>
        <v>102.07000000000002</v>
      </c>
      <c r="L2097" s="19">
        <f t="shared" si="161"/>
        <v>104.8366</v>
      </c>
      <c r="M2097" s="19">
        <f>MAX(G1836:G2097)</f>
        <v>132.78</v>
      </c>
      <c r="N2097" s="19">
        <f t="shared" si="159"/>
        <v>-25.869859918662446</v>
      </c>
      <c r="O2097" s="9" t="str">
        <f t="shared" si="160"/>
        <v>2024-12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1"/>
  <sheetViews>
    <sheetView zoomScaleNormal="100" workbookViewId="0">
      <pane ySplit="1" topLeftCell="A2" activePane="bottomLeft" state="frozen"/>
      <selection pane="bottomLeft" activeCell="C11" sqref="C11"/>
    </sheetView>
  </sheetViews>
  <sheetFormatPr defaultColWidth="8.7109375" defaultRowHeight="15" x14ac:dyDescent="0.25"/>
  <cols>
    <col min="1" max="1" width="6.5703125" bestFit="1" customWidth="1"/>
    <col min="2" max="2" width="22.5703125" bestFit="1" customWidth="1"/>
    <col min="3" max="3" width="20.5703125" customWidth="1"/>
    <col min="4" max="4" width="24.140625" customWidth="1"/>
    <col min="5" max="5" width="20.5703125" customWidth="1"/>
    <col min="6" max="6" width="14.28515625" customWidth="1"/>
    <col min="7" max="7" width="13.85546875" customWidth="1"/>
    <col min="8" max="9" width="16.140625" customWidth="1"/>
  </cols>
  <sheetData>
    <row r="1" spans="1:9" ht="30" customHeight="1" x14ac:dyDescent="0.25">
      <c r="A1" s="24" t="s">
        <v>29</v>
      </c>
      <c r="B1" s="24" t="s">
        <v>30</v>
      </c>
      <c r="C1" s="24" t="s">
        <v>320</v>
      </c>
      <c r="D1" s="24" t="s">
        <v>321</v>
      </c>
      <c r="E1" s="24" t="s">
        <v>322</v>
      </c>
      <c r="F1" s="24" t="s">
        <v>323</v>
      </c>
      <c r="G1" s="24" t="s">
        <v>324</v>
      </c>
      <c r="H1" s="24" t="s">
        <v>325</v>
      </c>
      <c r="I1" s="24" t="s">
        <v>326</v>
      </c>
    </row>
    <row r="2" spans="1:9" x14ac:dyDescent="0.25">
      <c r="A2" s="9" t="s">
        <v>44</v>
      </c>
      <c r="B2" s="9" t="s">
        <v>45</v>
      </c>
      <c r="C2" s="19">
        <f>AVERAGE(Raw_Data!J3:J263)</f>
        <v>0.23517889999076391</v>
      </c>
      <c r="D2" s="19">
        <f>STDEV(Raw_Data!J3:J263)</f>
        <v>1.7240150611517215</v>
      </c>
      <c r="E2" s="19">
        <f>MIN(Raw_Data!N2:N263)</f>
        <v>-14.771322620519159</v>
      </c>
      <c r="F2" s="19">
        <f>MAX(Raw_Data!J3:J263)</f>
        <v>9.1607729576209938</v>
      </c>
      <c r="G2" s="19">
        <f>MIN(Raw_Data!J3:J263)</f>
        <v>-3.9223030821917728</v>
      </c>
      <c r="H2" s="19">
        <f>(Raw_Data!G263-Raw_Data!G2)/Raw_Data!G2*100</f>
        <v>77.70321526521559</v>
      </c>
      <c r="I2" s="9">
        <f t="shared" ref="I2:I9" si="0">RANK(D2,$D$2:$D$9,0)</f>
        <v>5</v>
      </c>
    </row>
    <row r="3" spans="1:9" x14ac:dyDescent="0.25">
      <c r="A3" s="9" t="s">
        <v>308</v>
      </c>
      <c r="B3" s="9" t="s">
        <v>309</v>
      </c>
      <c r="C3" s="19">
        <f>AVERAGE(Raw_Data!J265:J525)</f>
        <v>-0.12473221583259736</v>
      </c>
      <c r="D3" s="19">
        <f>STDEV(Raw_Data!J265:J525)</f>
        <v>1.4815939085745955</v>
      </c>
      <c r="E3" s="19">
        <f>MIN(Raw_Data!N264:N525)</f>
        <v>-37.389748966878429</v>
      </c>
      <c r="F3" s="19">
        <f>MAX(Raw_Data!J265:J525)</f>
        <v>7.4794388001935221</v>
      </c>
      <c r="G3" s="19">
        <f>MIN(Raw_Data!J265:J525)</f>
        <v>-8.941359994327458</v>
      </c>
      <c r="H3" s="19">
        <f>(Raw_Data!G525-Raw_Data!G264)/Raw_Data!G264*100</f>
        <v>-29.877327355377048</v>
      </c>
      <c r="I3" s="9">
        <f t="shared" si="0"/>
        <v>7</v>
      </c>
    </row>
    <row r="4" spans="1:9" x14ac:dyDescent="0.25">
      <c r="A4" s="9" t="s">
        <v>310</v>
      </c>
      <c r="B4" s="9" t="s">
        <v>311</v>
      </c>
      <c r="C4" s="19">
        <f>AVERAGE(Raw_Data!J527:J787)</f>
        <v>6.6863162253855163E-2</v>
      </c>
      <c r="D4" s="19">
        <f>STDEV(Raw_Data!J527:J787)</f>
        <v>1.8949963310924938</v>
      </c>
      <c r="E4" s="19">
        <f>MIN(Raw_Data!N526:N787)</f>
        <v>-24.363284143353649</v>
      </c>
      <c r="F4" s="19">
        <f>MAX(Raw_Data!J527:J787)</f>
        <v>8.5032482150897266</v>
      </c>
      <c r="G4" s="19">
        <f>MIN(Raw_Data!J527:J787)</f>
        <v>-9.0135233035498548</v>
      </c>
      <c r="H4" s="19">
        <f>(Raw_Data!G787-Raw_Data!G526)/Raw_Data!G526*100</f>
        <v>13.644761150699397</v>
      </c>
      <c r="I4" s="9">
        <f t="shared" si="0"/>
        <v>4</v>
      </c>
    </row>
    <row r="5" spans="1:9" x14ac:dyDescent="0.25">
      <c r="A5" s="9" t="s">
        <v>312</v>
      </c>
      <c r="B5" s="9" t="s">
        <v>313</v>
      </c>
      <c r="C5" s="19">
        <f>AVERAGE(Raw_Data!J789:J1049)</f>
        <v>-4.6518507215588027E-2</v>
      </c>
      <c r="D5" s="19">
        <f>STDEV(Raw_Data!J789:J1049)</f>
        <v>1.2892032906876574</v>
      </c>
      <c r="E5" s="19">
        <f>MIN(Raw_Data!N788:N1049)</f>
        <v>-20.335852225020989</v>
      </c>
      <c r="F5" s="19">
        <f>MAX(Raw_Data!J789:J1049)</f>
        <v>6.4490912644127363</v>
      </c>
      <c r="G5" s="19">
        <f>MIN(Raw_Data!J789:J1049)</f>
        <v>-8.8568683957732937</v>
      </c>
      <c r="H5" s="19">
        <f>(Raw_Data!G1049-Raw_Data!G788)/Raw_Data!G788*100</f>
        <v>-13.361847733105222</v>
      </c>
      <c r="I5" s="9">
        <f t="shared" si="0"/>
        <v>8</v>
      </c>
    </row>
    <row r="6" spans="1:9" x14ac:dyDescent="0.25">
      <c r="A6" s="9" t="s">
        <v>314</v>
      </c>
      <c r="B6" s="9" t="s">
        <v>45</v>
      </c>
      <c r="C6" s="19">
        <f>AVERAGE(Raw_Data!J1051:J1311)</f>
        <v>0.14937930144193601</v>
      </c>
      <c r="D6" s="19">
        <f>STDEV(Raw_Data!J1051:J1311)</f>
        <v>1.6482588627288677</v>
      </c>
      <c r="E6" s="19">
        <f>MIN(Raw_Data!N1050:N1311)</f>
        <v>-14.70343462516025</v>
      </c>
      <c r="F6" s="19">
        <f>MAX(Raw_Data!J1051:J1311)</f>
        <v>8.1148031092508752</v>
      </c>
      <c r="G6" s="19">
        <f>MIN(Raw_Data!J1051:J1311)</f>
        <v>-4.3938091143594109</v>
      </c>
      <c r="H6" s="19">
        <f>(Raw_Data!G1311-Raw_Data!G1050)/Raw_Data!G1050*100</f>
        <v>42.58955468726699</v>
      </c>
      <c r="I6" s="9">
        <f t="shared" si="0"/>
        <v>6</v>
      </c>
    </row>
    <row r="7" spans="1:9" x14ac:dyDescent="0.25">
      <c r="A7" s="9" t="s">
        <v>315</v>
      </c>
      <c r="B7" s="9" t="s">
        <v>45</v>
      </c>
      <c r="C7" s="19">
        <f>AVERAGE(Raw_Data!J1313:J1573)</f>
        <v>0.21879282658665281</v>
      </c>
      <c r="D7" s="19">
        <f>STDEV(Raw_Data!J1313:J1573)</f>
        <v>3.027313636292071</v>
      </c>
      <c r="E7" s="19">
        <f>MIN(Raw_Data!N1312:N1573)</f>
        <v>-34.848615172888351</v>
      </c>
      <c r="F7" s="19">
        <f>MAX(Raw_Data!J1313:J1573)</f>
        <v>8.0276557974399765</v>
      </c>
      <c r="G7" s="19">
        <f>MIN(Raw_Data!J1313:J1573)</f>
        <v>-12.566266593154923</v>
      </c>
      <c r="H7" s="19">
        <f>(Raw_Data!G1573-Raw_Data!G1312)/Raw_Data!G1312*100</f>
        <v>56.975744022019605</v>
      </c>
      <c r="I7" s="9">
        <f t="shared" si="0"/>
        <v>2</v>
      </c>
    </row>
    <row r="8" spans="1:9" x14ac:dyDescent="0.25">
      <c r="A8" s="9" t="s">
        <v>316</v>
      </c>
      <c r="B8" s="9" t="s">
        <v>317</v>
      </c>
      <c r="C8" s="19">
        <f>AVERAGE(Raw_Data!J1575:J1835)</f>
        <v>-0.16418754727952553</v>
      </c>
      <c r="D8" s="19">
        <f>STDEV(Raw_Data!J1575:J1835)</f>
        <v>3.5427906494346808</v>
      </c>
      <c r="E8" s="19">
        <f>MIN(Raw_Data!N1574:N1835)</f>
        <v>-59.185294000873469</v>
      </c>
      <c r="F8" s="19">
        <f>MAX(Raw_Data!J1575:J1835)</f>
        <v>8.7297885572139453</v>
      </c>
      <c r="G8" s="19">
        <f>MIN(Raw_Data!J1575:J1835)</f>
        <v>-10.304968027545506</v>
      </c>
      <c r="H8" s="19">
        <f>(Raw_Data!G1835-Raw_Data!G1574)/Raw_Data!G1574*100</f>
        <v>-44.758544652701211</v>
      </c>
      <c r="I8" s="9">
        <f t="shared" si="0"/>
        <v>1</v>
      </c>
    </row>
    <row r="9" spans="1:9" x14ac:dyDescent="0.25">
      <c r="A9" s="9" t="s">
        <v>318</v>
      </c>
      <c r="B9" s="9" t="s">
        <v>319</v>
      </c>
      <c r="C9" s="19">
        <f>AVERAGE(Raw_Data!J1837:J2097)</f>
        <v>1.0215379780971113E-2</v>
      </c>
      <c r="D9" s="19">
        <f>STDEV(Raw_Data!J1837:J2097)</f>
        <v>1.9778023467376848</v>
      </c>
      <c r="E9" s="19">
        <f>MIN(Raw_Data!N1836:N2097)</f>
        <v>-27.029673143545711</v>
      </c>
      <c r="F9" s="19">
        <f>MAX(Raw_Data!J1837:J2097)</f>
        <v>9.0495679854479327</v>
      </c>
      <c r="G9" s="19">
        <f>MIN(Raw_Data!J1837:J2097)</f>
        <v>-9.6701310438319048</v>
      </c>
      <c r="H9" s="19">
        <f>(Raw_Data!G2097-Raw_Data!G1836)/Raw_Data!G1836*100</f>
        <v>-2.409280190362872</v>
      </c>
      <c r="I9" s="9">
        <f t="shared" si="0"/>
        <v>3</v>
      </c>
    </row>
    <row r="11" spans="1:9" x14ac:dyDescent="0.25">
      <c r="A11" s="4"/>
      <c r="B11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1"/>
  <sheetViews>
    <sheetView zoomScaleNormal="100" workbookViewId="0">
      <pane ySplit="1" topLeftCell="A29" activePane="bottomLeft" state="frozen"/>
      <selection pane="bottomLeft" activeCell="H26" sqref="H26"/>
    </sheetView>
  </sheetViews>
  <sheetFormatPr defaultColWidth="8.7109375" defaultRowHeight="15" x14ac:dyDescent="0.25"/>
  <cols>
    <col min="1" max="1" width="8.140625" bestFit="1" customWidth="1"/>
    <col min="2" max="2" width="22.5703125" bestFit="1" customWidth="1"/>
    <col min="3" max="3" width="8.140625" bestFit="1" customWidth="1"/>
    <col min="4" max="4" width="11.28515625" bestFit="1" customWidth="1"/>
    <col min="5" max="5" width="10.42578125" bestFit="1" customWidth="1"/>
    <col min="6" max="6" width="9.42578125" bestFit="1" customWidth="1"/>
    <col min="7" max="7" width="16.28515625" bestFit="1" customWidth="1"/>
  </cols>
  <sheetData>
    <row r="1" spans="1:7" x14ac:dyDescent="0.25">
      <c r="A1" s="18" t="s">
        <v>29</v>
      </c>
      <c r="B1" s="18" t="s">
        <v>30</v>
      </c>
      <c r="C1" s="18" t="s">
        <v>327</v>
      </c>
      <c r="D1" s="18" t="s">
        <v>328</v>
      </c>
      <c r="E1" s="18" t="s">
        <v>329</v>
      </c>
      <c r="F1" s="18" t="s">
        <v>330</v>
      </c>
      <c r="G1" s="18" t="s">
        <v>331</v>
      </c>
    </row>
    <row r="2" spans="1:7" x14ac:dyDescent="0.25">
      <c r="A2" s="22" t="s">
        <v>44</v>
      </c>
      <c r="B2" s="22" t="s">
        <v>45</v>
      </c>
      <c r="C2" s="22" t="s">
        <v>332</v>
      </c>
      <c r="D2" s="23">
        <f>Raw_Data!G2</f>
        <v>171.37</v>
      </c>
      <c r="E2" s="23">
        <f>Raw_Data!G66</f>
        <v>238.75</v>
      </c>
      <c r="F2" s="23">
        <f t="shared" ref="F2:F33" si="0">(E2-D2)/D2*100</f>
        <v>39.318433798214386</v>
      </c>
      <c r="G2" s="22">
        <f t="shared" ref="G2:G9" si="1">RANK(F2,$F$2:$F$9,0)</f>
        <v>1</v>
      </c>
    </row>
    <row r="3" spans="1:7" x14ac:dyDescent="0.25">
      <c r="A3" s="22" t="s">
        <v>308</v>
      </c>
      <c r="B3" s="22" t="s">
        <v>309</v>
      </c>
      <c r="C3" s="22" t="s">
        <v>332</v>
      </c>
      <c r="D3" s="23">
        <f>Raw_Data!G264</f>
        <v>160.59</v>
      </c>
      <c r="E3" s="23">
        <f>Raw_Data!G328</f>
        <v>129.6</v>
      </c>
      <c r="F3" s="23">
        <f t="shared" si="0"/>
        <v>-19.297590136372133</v>
      </c>
      <c r="G3" s="22">
        <f t="shared" si="1"/>
        <v>6</v>
      </c>
    </row>
    <row r="4" spans="1:7" x14ac:dyDescent="0.25">
      <c r="A4" s="22" t="s">
        <v>310</v>
      </c>
      <c r="B4" s="22" t="s">
        <v>311</v>
      </c>
      <c r="C4" s="22" t="s">
        <v>332</v>
      </c>
      <c r="D4" s="23">
        <f>Raw_Data!G526</f>
        <v>151.56</v>
      </c>
      <c r="E4" s="23">
        <f>Raw_Data!G590</f>
        <v>151.04</v>
      </c>
      <c r="F4" s="23">
        <f t="shared" si="0"/>
        <v>-0.34309844286091989</v>
      </c>
      <c r="G4" s="22">
        <f t="shared" si="1"/>
        <v>3</v>
      </c>
    </row>
    <row r="5" spans="1:7" x14ac:dyDescent="0.25">
      <c r="A5" s="22" t="s">
        <v>312</v>
      </c>
      <c r="B5" s="22" t="s">
        <v>313</v>
      </c>
      <c r="C5" s="22" t="s">
        <v>332</v>
      </c>
      <c r="D5" s="23">
        <f>Raw_Data!G788</f>
        <v>58.45</v>
      </c>
      <c r="E5" s="23">
        <f>Raw_Data!G852</f>
        <v>50.96</v>
      </c>
      <c r="F5" s="23">
        <f t="shared" si="0"/>
        <v>-12.814371257485032</v>
      </c>
      <c r="G5" s="22">
        <f t="shared" si="1"/>
        <v>5</v>
      </c>
    </row>
    <row r="6" spans="1:7" x14ac:dyDescent="0.25">
      <c r="A6" s="22" t="s">
        <v>314</v>
      </c>
      <c r="B6" s="22" t="s">
        <v>45</v>
      </c>
      <c r="C6" s="22" t="s">
        <v>332</v>
      </c>
      <c r="D6" s="23">
        <f>Raw_Data!G1050</f>
        <v>335.27</v>
      </c>
      <c r="E6" s="23">
        <f>Raw_Data!G1114</f>
        <v>323.35000000000002</v>
      </c>
      <c r="F6" s="23">
        <f t="shared" si="0"/>
        <v>-3.5553434545291736</v>
      </c>
      <c r="G6" s="22">
        <f t="shared" si="1"/>
        <v>4</v>
      </c>
    </row>
    <row r="7" spans="1:7" x14ac:dyDescent="0.25">
      <c r="A7" s="22" t="s">
        <v>315</v>
      </c>
      <c r="B7" s="22" t="s">
        <v>45</v>
      </c>
      <c r="C7" s="22" t="s">
        <v>332</v>
      </c>
      <c r="D7" s="23">
        <f>Raw_Data!G1312</f>
        <v>465.04</v>
      </c>
      <c r="E7" s="23">
        <f>Raw_Data!G1376</f>
        <v>367.35</v>
      </c>
      <c r="F7" s="23">
        <f t="shared" si="0"/>
        <v>-21.006795114398759</v>
      </c>
      <c r="G7" s="22">
        <f t="shared" si="1"/>
        <v>8</v>
      </c>
    </row>
    <row r="8" spans="1:7" x14ac:dyDescent="0.25">
      <c r="A8" s="22" t="s">
        <v>316</v>
      </c>
      <c r="B8" s="22" t="s">
        <v>317</v>
      </c>
      <c r="C8" s="22" t="s">
        <v>332</v>
      </c>
      <c r="D8" s="23">
        <f>Raw_Data!G1574</f>
        <v>226.75</v>
      </c>
      <c r="E8" s="23">
        <f>Raw_Data!G1638</f>
        <v>182.35</v>
      </c>
      <c r="F8" s="23">
        <f t="shared" si="0"/>
        <v>-19.581036383682473</v>
      </c>
      <c r="G8" s="22">
        <f t="shared" si="1"/>
        <v>7</v>
      </c>
    </row>
    <row r="9" spans="1:7" x14ac:dyDescent="0.25">
      <c r="A9" s="22" t="s">
        <v>318</v>
      </c>
      <c r="B9" s="22" t="s">
        <v>319</v>
      </c>
      <c r="C9" s="22" t="s">
        <v>332</v>
      </c>
      <c r="D9" s="23">
        <f>Raw_Data!G1836</f>
        <v>100.86</v>
      </c>
      <c r="E9" s="23">
        <f>Raw_Data!G1900</f>
        <v>104</v>
      </c>
      <c r="F9" s="23">
        <f t="shared" si="0"/>
        <v>3.1132262542137625</v>
      </c>
      <c r="G9" s="22">
        <f t="shared" si="1"/>
        <v>2</v>
      </c>
    </row>
    <row r="10" spans="1:7" x14ac:dyDescent="0.25">
      <c r="A10" s="22" t="s">
        <v>44</v>
      </c>
      <c r="B10" s="22" t="s">
        <v>45</v>
      </c>
      <c r="C10" s="22" t="s">
        <v>333</v>
      </c>
      <c r="D10" s="23">
        <f>Raw_Data!G67</f>
        <v>245.74</v>
      </c>
      <c r="E10" s="23">
        <f>Raw_Data!G131</f>
        <v>259.87</v>
      </c>
      <c r="F10" s="23">
        <f t="shared" si="0"/>
        <v>5.7499796532920957</v>
      </c>
      <c r="G10" s="22">
        <f t="shared" ref="G10:G17" si="2">RANK(F10,$F$10:$F$17,0)</f>
        <v>5</v>
      </c>
    </row>
    <row r="11" spans="1:7" x14ac:dyDescent="0.25">
      <c r="A11" s="22" t="s">
        <v>308</v>
      </c>
      <c r="B11" s="22" t="s">
        <v>309</v>
      </c>
      <c r="C11" s="22" t="s">
        <v>333</v>
      </c>
      <c r="D11" s="23">
        <f>Raw_Data!G329</f>
        <v>127.62</v>
      </c>
      <c r="E11" s="23">
        <f>Raw_Data!G393</f>
        <v>112.94</v>
      </c>
      <c r="F11" s="23">
        <f t="shared" si="0"/>
        <v>-11.502899232095288</v>
      </c>
      <c r="G11" s="22">
        <f t="shared" si="2"/>
        <v>8</v>
      </c>
    </row>
    <row r="12" spans="1:7" x14ac:dyDescent="0.25">
      <c r="A12" s="22" t="s">
        <v>310</v>
      </c>
      <c r="B12" s="22" t="s">
        <v>311</v>
      </c>
      <c r="C12" s="22" t="s">
        <v>333</v>
      </c>
      <c r="D12" s="23">
        <f>Raw_Data!G591</f>
        <v>150.30000000000001</v>
      </c>
      <c r="E12" s="23">
        <f>Raw_Data!G655</f>
        <v>149</v>
      </c>
      <c r="F12" s="23">
        <f t="shared" si="0"/>
        <v>-0.86493679308051308</v>
      </c>
      <c r="G12" s="22">
        <f t="shared" si="2"/>
        <v>7</v>
      </c>
    </row>
    <row r="13" spans="1:7" x14ac:dyDescent="0.25">
      <c r="A13" s="22" t="s">
        <v>312</v>
      </c>
      <c r="B13" s="22" t="s">
        <v>313</v>
      </c>
      <c r="C13" s="22" t="s">
        <v>333</v>
      </c>
      <c r="D13" s="23">
        <f>Raw_Data!G853</f>
        <v>51.17</v>
      </c>
      <c r="E13" s="23">
        <f>Raw_Data!G917</f>
        <v>56.19</v>
      </c>
      <c r="F13" s="23">
        <f t="shared" si="0"/>
        <v>9.8104358022278593</v>
      </c>
      <c r="G13" s="22">
        <f t="shared" si="2"/>
        <v>4</v>
      </c>
    </row>
    <row r="14" spans="1:7" x14ac:dyDescent="0.25">
      <c r="A14" s="22" t="s">
        <v>314</v>
      </c>
      <c r="B14" s="22" t="s">
        <v>45</v>
      </c>
      <c r="C14" s="22" t="s">
        <v>333</v>
      </c>
      <c r="D14" s="23">
        <f>Raw_Data!G1115</f>
        <v>317.54000000000002</v>
      </c>
      <c r="E14" s="23">
        <f>Raw_Data!G1179</f>
        <v>432.74</v>
      </c>
      <c r="F14" s="23">
        <f t="shared" si="0"/>
        <v>36.278893997606595</v>
      </c>
      <c r="G14" s="22">
        <f t="shared" si="2"/>
        <v>1</v>
      </c>
    </row>
    <row r="15" spans="1:7" x14ac:dyDescent="0.25">
      <c r="A15" s="22" t="s">
        <v>315</v>
      </c>
      <c r="B15" s="22" t="s">
        <v>45</v>
      </c>
      <c r="C15" s="22" t="s">
        <v>333</v>
      </c>
      <c r="D15" s="23">
        <f>Raw_Data!G1377</f>
        <v>359.65</v>
      </c>
      <c r="E15" s="23">
        <f>Raw_Data!G1441</f>
        <v>413.35</v>
      </c>
      <c r="F15" s="23">
        <f t="shared" si="0"/>
        <v>14.931183094675394</v>
      </c>
      <c r="G15" s="22">
        <f t="shared" si="2"/>
        <v>2</v>
      </c>
    </row>
    <row r="16" spans="1:7" x14ac:dyDescent="0.25">
      <c r="A16" s="22" t="s">
        <v>316</v>
      </c>
      <c r="B16" s="22" t="s">
        <v>317</v>
      </c>
      <c r="C16" s="22" t="s">
        <v>333</v>
      </c>
      <c r="D16" s="23">
        <f>Raw_Data!G1639</f>
        <v>184.87</v>
      </c>
      <c r="E16" s="23">
        <f>Raw_Data!G1703</f>
        <v>188.44</v>
      </c>
      <c r="F16" s="23">
        <f t="shared" si="0"/>
        <v>1.9310867095797009</v>
      </c>
      <c r="G16" s="22">
        <f t="shared" si="2"/>
        <v>6</v>
      </c>
    </row>
    <row r="17" spans="1:7" x14ac:dyDescent="0.25">
      <c r="A17" s="22" t="s">
        <v>318</v>
      </c>
      <c r="B17" s="22" t="s">
        <v>319</v>
      </c>
      <c r="C17" s="22" t="s">
        <v>333</v>
      </c>
      <c r="D17" s="23">
        <f>Raw_Data!G1901</f>
        <v>102.62</v>
      </c>
      <c r="E17" s="23">
        <f>Raw_Data!G1965</f>
        <v>114.62</v>
      </c>
      <c r="F17" s="23">
        <f t="shared" si="0"/>
        <v>11.693626973299551</v>
      </c>
      <c r="G17" s="22">
        <f t="shared" si="2"/>
        <v>3</v>
      </c>
    </row>
    <row r="18" spans="1:7" x14ac:dyDescent="0.25">
      <c r="A18" s="22" t="s">
        <v>44</v>
      </c>
      <c r="B18" s="22" t="s">
        <v>45</v>
      </c>
      <c r="C18" s="22" t="s">
        <v>334</v>
      </c>
      <c r="D18" s="23">
        <f>Raw_Data!G132</f>
        <v>256.08</v>
      </c>
      <c r="E18" s="23">
        <f>Raw_Data!G197</f>
        <v>262.16000000000003</v>
      </c>
      <c r="F18" s="23">
        <f t="shared" si="0"/>
        <v>2.3742580443611532</v>
      </c>
      <c r="G18" s="22">
        <f t="shared" ref="G18:G25" si="3">RANK(F18,$F$18:$F$25,0)</f>
        <v>3</v>
      </c>
    </row>
    <row r="19" spans="1:7" x14ac:dyDescent="0.25">
      <c r="A19" s="22" t="s">
        <v>308</v>
      </c>
      <c r="B19" s="22" t="s">
        <v>309</v>
      </c>
      <c r="C19" s="22" t="s">
        <v>334</v>
      </c>
      <c r="D19" s="23">
        <f>Raw_Data!G394</f>
        <v>111.46</v>
      </c>
      <c r="E19" s="23">
        <f>Raw_Data!G459</f>
        <v>113.11</v>
      </c>
      <c r="F19" s="23">
        <f t="shared" si="0"/>
        <v>1.4803516956755838</v>
      </c>
      <c r="G19" s="22">
        <f t="shared" si="3"/>
        <v>4</v>
      </c>
    </row>
    <row r="20" spans="1:7" x14ac:dyDescent="0.25">
      <c r="A20" s="22" t="s">
        <v>310</v>
      </c>
      <c r="B20" s="22" t="s">
        <v>311</v>
      </c>
      <c r="C20" s="22" t="s">
        <v>334</v>
      </c>
      <c r="D20" s="23">
        <f>Raw_Data!G656</f>
        <v>148.11000000000001</v>
      </c>
      <c r="E20" s="23">
        <f>Raw_Data!G721</f>
        <v>148</v>
      </c>
      <c r="F20" s="23">
        <f t="shared" si="0"/>
        <v>-7.426912429951632E-2</v>
      </c>
      <c r="G20" s="22">
        <f t="shared" si="3"/>
        <v>5</v>
      </c>
    </row>
    <row r="21" spans="1:7" x14ac:dyDescent="0.25">
      <c r="A21" s="22" t="s">
        <v>312</v>
      </c>
      <c r="B21" s="22" t="s">
        <v>313</v>
      </c>
      <c r="C21" s="22" t="s">
        <v>334</v>
      </c>
      <c r="D21" s="23">
        <f>Raw_Data!G918</f>
        <v>57.05</v>
      </c>
      <c r="E21" s="23">
        <f>Raw_Data!G983</f>
        <v>53.08</v>
      </c>
      <c r="F21" s="23">
        <f t="shared" si="0"/>
        <v>-6.9588080631025395</v>
      </c>
      <c r="G21" s="22">
        <f t="shared" si="3"/>
        <v>7</v>
      </c>
    </row>
    <row r="22" spans="1:7" x14ac:dyDescent="0.25">
      <c r="A22" s="22" t="s">
        <v>314</v>
      </c>
      <c r="B22" s="22" t="s">
        <v>45</v>
      </c>
      <c r="C22" s="22" t="s">
        <v>334</v>
      </c>
      <c r="D22" s="23">
        <f>Raw_Data!G1180</f>
        <v>427.96</v>
      </c>
      <c r="E22" s="23">
        <f>Raw_Data!G1245</f>
        <v>416.15</v>
      </c>
      <c r="F22" s="23">
        <f t="shared" si="0"/>
        <v>-2.7596037012804944</v>
      </c>
      <c r="G22" s="22">
        <f t="shared" si="3"/>
        <v>6</v>
      </c>
    </row>
    <row r="23" spans="1:7" x14ac:dyDescent="0.25">
      <c r="A23" s="22" t="s">
        <v>315</v>
      </c>
      <c r="B23" s="22" t="s">
        <v>45</v>
      </c>
      <c r="C23" s="22" t="s">
        <v>334</v>
      </c>
      <c r="D23" s="23">
        <f>Raw_Data!G1442</f>
        <v>408.49</v>
      </c>
      <c r="E23" s="23">
        <f>Raw_Data!G1507</f>
        <v>434.06</v>
      </c>
      <c r="F23" s="23">
        <f t="shared" si="0"/>
        <v>6.2596391588533358</v>
      </c>
      <c r="G23" s="22">
        <f t="shared" si="3"/>
        <v>1</v>
      </c>
    </row>
    <row r="24" spans="1:7" x14ac:dyDescent="0.25">
      <c r="A24" s="22" t="s">
        <v>316</v>
      </c>
      <c r="B24" s="22" t="s">
        <v>317</v>
      </c>
      <c r="C24" s="22" t="s">
        <v>334</v>
      </c>
      <c r="D24" s="23">
        <f>Raw_Data!G1704</f>
        <v>178.82</v>
      </c>
      <c r="E24" s="23">
        <f>Raw_Data!G1769</f>
        <v>124.09</v>
      </c>
      <c r="F24" s="23">
        <f t="shared" si="0"/>
        <v>-30.606196174924499</v>
      </c>
      <c r="G24" s="22">
        <f t="shared" si="3"/>
        <v>8</v>
      </c>
    </row>
    <row r="25" spans="1:7" x14ac:dyDescent="0.25">
      <c r="A25" s="22" t="s">
        <v>318</v>
      </c>
      <c r="B25" s="22" t="s">
        <v>319</v>
      </c>
      <c r="C25" s="22" t="s">
        <v>334</v>
      </c>
      <c r="D25" s="23">
        <f>Raw_Data!G1966</f>
        <v>117.11</v>
      </c>
      <c r="E25" s="23">
        <f>Raw_Data!G2031</f>
        <v>122.79</v>
      </c>
      <c r="F25" s="23">
        <f t="shared" si="0"/>
        <v>4.8501408931773602</v>
      </c>
      <c r="G25" s="22">
        <f t="shared" si="3"/>
        <v>2</v>
      </c>
    </row>
    <row r="26" spans="1:7" x14ac:dyDescent="0.25">
      <c r="A26" s="22" t="s">
        <v>44</v>
      </c>
      <c r="B26" s="22" t="s">
        <v>45</v>
      </c>
      <c r="C26" s="22" t="s">
        <v>335</v>
      </c>
      <c r="D26" s="23">
        <f>Raw_Data!G198</f>
        <v>263.08999999999997</v>
      </c>
      <c r="E26" s="23">
        <f>Raw_Data!G263</f>
        <v>304.52999999999997</v>
      </c>
      <c r="F26" s="23">
        <f t="shared" si="0"/>
        <v>15.751263826067127</v>
      </c>
      <c r="G26" s="22">
        <f t="shared" ref="G26:G33" si="4">RANK(F26,$F$26:$F$33,0)</f>
        <v>3</v>
      </c>
    </row>
    <row r="27" spans="1:7" x14ac:dyDescent="0.25">
      <c r="A27" s="22" t="s">
        <v>308</v>
      </c>
      <c r="B27" s="22" t="s">
        <v>309</v>
      </c>
      <c r="C27" s="22" t="s">
        <v>335</v>
      </c>
      <c r="D27" s="23">
        <f>Raw_Data!G460</f>
        <v>111.39</v>
      </c>
      <c r="E27" s="23">
        <f>Raw_Data!G525</f>
        <v>112.61</v>
      </c>
      <c r="F27" s="23">
        <f t="shared" si="0"/>
        <v>1.0952509201903211</v>
      </c>
      <c r="G27" s="22">
        <f t="shared" si="4"/>
        <v>6</v>
      </c>
    </row>
    <row r="28" spans="1:7" x14ac:dyDescent="0.25">
      <c r="A28" s="22" t="s">
        <v>310</v>
      </c>
      <c r="B28" s="22" t="s">
        <v>311</v>
      </c>
      <c r="C28" s="22" t="s">
        <v>335</v>
      </c>
      <c r="D28" s="23">
        <f>Raw_Data!G722</f>
        <v>153.21</v>
      </c>
      <c r="E28" s="23">
        <f>Raw_Data!G787</f>
        <v>172.24</v>
      </c>
      <c r="F28" s="23">
        <f t="shared" si="0"/>
        <v>12.420860257163371</v>
      </c>
      <c r="G28" s="22">
        <f t="shared" si="4"/>
        <v>4</v>
      </c>
    </row>
    <row r="29" spans="1:7" x14ac:dyDescent="0.25">
      <c r="A29" s="22" t="s">
        <v>312</v>
      </c>
      <c r="B29" s="22" t="s">
        <v>313</v>
      </c>
      <c r="C29" s="22" t="s">
        <v>335</v>
      </c>
      <c r="D29" s="23">
        <f>Raw_Data!G984</f>
        <v>53.56</v>
      </c>
      <c r="E29" s="23">
        <f>Raw_Data!G1049</f>
        <v>50.64</v>
      </c>
      <c r="F29" s="23">
        <f t="shared" si="0"/>
        <v>-5.4518297236743871</v>
      </c>
      <c r="G29" s="22">
        <f t="shared" si="4"/>
        <v>7</v>
      </c>
    </row>
    <row r="30" spans="1:7" x14ac:dyDescent="0.25">
      <c r="A30" s="22" t="s">
        <v>314</v>
      </c>
      <c r="B30" s="22" t="s">
        <v>45</v>
      </c>
      <c r="C30" s="22" t="s">
        <v>335</v>
      </c>
      <c r="D30" s="23">
        <f>Raw_Data!G1246</f>
        <v>412.65</v>
      </c>
      <c r="E30" s="23">
        <f>Raw_Data!G1311</f>
        <v>478.06</v>
      </c>
      <c r="F30" s="23">
        <f t="shared" si="0"/>
        <v>15.851205622197995</v>
      </c>
      <c r="G30" s="22">
        <f t="shared" si="4"/>
        <v>2</v>
      </c>
    </row>
    <row r="31" spans="1:7" x14ac:dyDescent="0.25">
      <c r="A31" s="22" t="s">
        <v>315</v>
      </c>
      <c r="B31" s="22" t="s">
        <v>45</v>
      </c>
      <c r="C31" s="22" t="s">
        <v>335</v>
      </c>
      <c r="D31" s="23">
        <f>Raw_Data!G1508</f>
        <v>446.68</v>
      </c>
      <c r="E31" s="23">
        <f>Raw_Data!G1573</f>
        <v>730</v>
      </c>
      <c r="F31" s="23">
        <f t="shared" si="0"/>
        <v>63.427957374406731</v>
      </c>
      <c r="G31" s="22">
        <f t="shared" si="4"/>
        <v>1</v>
      </c>
    </row>
    <row r="32" spans="1:7" x14ac:dyDescent="0.25">
      <c r="A32" s="22" t="s">
        <v>316</v>
      </c>
      <c r="B32" s="22" t="s">
        <v>317</v>
      </c>
      <c r="C32" s="22" t="s">
        <v>335</v>
      </c>
      <c r="D32" s="23">
        <f>Raw_Data!G1770</f>
        <v>121.95</v>
      </c>
      <c r="E32" s="23">
        <f>Raw_Data!G1835</f>
        <v>125.26</v>
      </c>
      <c r="F32" s="23">
        <f t="shared" si="0"/>
        <v>2.7142271422714246</v>
      </c>
      <c r="G32" s="22">
        <f t="shared" si="4"/>
        <v>5</v>
      </c>
    </row>
    <row r="33" spans="1:9" x14ac:dyDescent="0.25">
      <c r="A33" s="22" t="s">
        <v>318</v>
      </c>
      <c r="B33" s="22" t="s">
        <v>319</v>
      </c>
      <c r="C33" s="22" t="s">
        <v>335</v>
      </c>
      <c r="D33" s="23">
        <f>Raw_Data!G2032</f>
        <v>122.92</v>
      </c>
      <c r="E33" s="23">
        <f>Raw_Data!G2097</f>
        <v>98.43</v>
      </c>
      <c r="F33" s="23">
        <f t="shared" si="0"/>
        <v>-19.923527497559384</v>
      </c>
      <c r="G33" s="22">
        <f t="shared" si="4"/>
        <v>8</v>
      </c>
    </row>
    <row r="37" spans="1:9" x14ac:dyDescent="0.25">
      <c r="A37" s="20" t="s">
        <v>327</v>
      </c>
      <c r="B37" s="21" t="s">
        <v>44</v>
      </c>
      <c r="C37" s="21" t="s">
        <v>308</v>
      </c>
      <c r="D37" s="21" t="s">
        <v>310</v>
      </c>
      <c r="E37" s="21" t="s">
        <v>312</v>
      </c>
      <c r="F37" s="21" t="s">
        <v>314</v>
      </c>
      <c r="G37" s="21" t="s">
        <v>315</v>
      </c>
      <c r="H37" s="21" t="s">
        <v>316</v>
      </c>
      <c r="I37" s="21" t="s">
        <v>318</v>
      </c>
    </row>
    <row r="38" spans="1:9" x14ac:dyDescent="0.25">
      <c r="A38" s="9" t="s">
        <v>332</v>
      </c>
      <c r="B38" s="19">
        <f t="shared" ref="B38:I38" si="5">INDEX($F$2:$F$9,MATCH(B$37,$A$2:$A$9,0))</f>
        <v>39.318433798214386</v>
      </c>
      <c r="C38" s="19">
        <f t="shared" si="5"/>
        <v>-19.297590136372133</v>
      </c>
      <c r="D38" s="19">
        <f t="shared" si="5"/>
        <v>-0.34309844286091989</v>
      </c>
      <c r="E38" s="19">
        <f t="shared" si="5"/>
        <v>-12.814371257485032</v>
      </c>
      <c r="F38" s="19">
        <f t="shared" si="5"/>
        <v>-3.5553434545291736</v>
      </c>
      <c r="G38" s="19">
        <f t="shared" si="5"/>
        <v>-21.006795114398759</v>
      </c>
      <c r="H38" s="19">
        <f t="shared" si="5"/>
        <v>-19.581036383682473</v>
      </c>
      <c r="I38" s="19">
        <f t="shared" si="5"/>
        <v>3.1132262542137625</v>
      </c>
    </row>
    <row r="39" spans="1:9" x14ac:dyDescent="0.25">
      <c r="A39" s="9" t="s">
        <v>333</v>
      </c>
      <c r="B39" s="19">
        <f t="shared" ref="B39:I39" si="6">INDEX($F$10:$F$17,MATCH(B$37,$A$10:$A$17,0))</f>
        <v>5.7499796532920957</v>
      </c>
      <c r="C39" s="19">
        <f t="shared" si="6"/>
        <v>-11.502899232095288</v>
      </c>
      <c r="D39" s="19">
        <f t="shared" si="6"/>
        <v>-0.86493679308051308</v>
      </c>
      <c r="E39" s="19">
        <f t="shared" si="6"/>
        <v>9.8104358022278593</v>
      </c>
      <c r="F39" s="19">
        <f t="shared" si="6"/>
        <v>36.278893997606595</v>
      </c>
      <c r="G39" s="19">
        <f t="shared" si="6"/>
        <v>14.931183094675394</v>
      </c>
      <c r="H39" s="19">
        <f t="shared" si="6"/>
        <v>1.9310867095797009</v>
      </c>
      <c r="I39" s="19">
        <f t="shared" si="6"/>
        <v>11.693626973299551</v>
      </c>
    </row>
    <row r="40" spans="1:9" x14ac:dyDescent="0.25">
      <c r="A40" s="9" t="s">
        <v>334</v>
      </c>
      <c r="B40" s="19">
        <f t="shared" ref="B40:I40" si="7">INDEX($F$18:$F$25,MATCH(B$37,$A$18:$A$25,0))</f>
        <v>2.3742580443611532</v>
      </c>
      <c r="C40" s="19">
        <f t="shared" si="7"/>
        <v>1.4803516956755838</v>
      </c>
      <c r="D40" s="19">
        <f t="shared" si="7"/>
        <v>-7.426912429951632E-2</v>
      </c>
      <c r="E40" s="19">
        <f t="shared" si="7"/>
        <v>-6.9588080631025395</v>
      </c>
      <c r="F40" s="19">
        <f t="shared" si="7"/>
        <v>-2.7596037012804944</v>
      </c>
      <c r="G40" s="19">
        <f t="shared" si="7"/>
        <v>6.2596391588533358</v>
      </c>
      <c r="H40" s="19">
        <f t="shared" si="7"/>
        <v>-30.606196174924499</v>
      </c>
      <c r="I40" s="19">
        <f t="shared" si="7"/>
        <v>4.8501408931773602</v>
      </c>
    </row>
    <row r="41" spans="1:9" x14ac:dyDescent="0.25">
      <c r="A41" s="9" t="s">
        <v>335</v>
      </c>
      <c r="B41" s="19">
        <f t="shared" ref="B41:I41" si="8">INDEX($F$26:$F$33,MATCH(B$37,$A$26:$A$33,0))</f>
        <v>15.751263826067127</v>
      </c>
      <c r="C41" s="19">
        <f t="shared" si="8"/>
        <v>1.0952509201903211</v>
      </c>
      <c r="D41" s="19">
        <f t="shared" si="8"/>
        <v>12.420860257163371</v>
      </c>
      <c r="E41" s="19">
        <f t="shared" si="8"/>
        <v>-5.4518297236743871</v>
      </c>
      <c r="F41" s="19">
        <f t="shared" si="8"/>
        <v>15.851205622197995</v>
      </c>
      <c r="G41" s="19">
        <f t="shared" si="8"/>
        <v>63.427957374406731</v>
      </c>
      <c r="H41" s="19">
        <f t="shared" si="8"/>
        <v>2.7142271422714246</v>
      </c>
      <c r="I41" s="19">
        <f t="shared" si="8"/>
        <v>-19.923527497559384</v>
      </c>
    </row>
  </sheetData>
  <conditionalFormatting sqref="F2:F3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9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M1"/>
    </sheetView>
  </sheetViews>
  <sheetFormatPr defaultColWidth="8.7109375" defaultRowHeight="15" x14ac:dyDescent="0.25"/>
  <cols>
    <col min="1" max="1" width="22.5703125" bestFit="1" customWidth="1"/>
    <col min="2" max="13" width="7.5703125" bestFit="1" customWidth="1"/>
  </cols>
  <sheetData>
    <row r="1" spans="1:13" x14ac:dyDescent="0.25">
      <c r="A1" s="18" t="s">
        <v>30</v>
      </c>
      <c r="B1" s="18" t="s">
        <v>336</v>
      </c>
      <c r="C1" s="18" t="s">
        <v>337</v>
      </c>
      <c r="D1" s="18" t="s">
        <v>338</v>
      </c>
      <c r="E1" s="18" t="s">
        <v>339</v>
      </c>
      <c r="F1" s="18" t="s">
        <v>340</v>
      </c>
      <c r="G1" s="18" t="s">
        <v>341</v>
      </c>
      <c r="H1" s="18" t="s">
        <v>342</v>
      </c>
      <c r="I1" s="18" t="s">
        <v>343</v>
      </c>
      <c r="J1" s="18" t="s">
        <v>344</v>
      </c>
      <c r="K1" s="18" t="s">
        <v>345</v>
      </c>
      <c r="L1" s="18" t="s">
        <v>346</v>
      </c>
      <c r="M1" s="18" t="s">
        <v>347</v>
      </c>
    </row>
    <row r="2" spans="1:13" x14ac:dyDescent="0.25">
      <c r="A2" s="9" t="s">
        <v>317</v>
      </c>
      <c r="B2" s="19">
        <f>AVERAGEIFS(Raw_Data!$J$2:$J$2097,Raw_Data!$B$2:$B$2097,$A2,Raw_Data!$O$2:$O$2097,B$1)</f>
        <v>0.19583892334617395</v>
      </c>
      <c r="C2" s="19">
        <f>AVERAGEIFS(Raw_Data!$J$2:$J$2097,Raw_Data!$B$2:$B$2097,$A2,Raw_Data!$O$2:$O$2097,C$1)</f>
        <v>-0.8103808363751196</v>
      </c>
      <c r="D2" s="19">
        <f>AVERAGEIFS(Raw_Data!$J$2:$J$2097,Raw_Data!$B$2:$B$2097,$A2,Raw_Data!$O$2:$O$2097,D$1)</f>
        <v>-0.21768456574014938</v>
      </c>
      <c r="E2" s="19">
        <f>AVERAGEIFS(Raw_Data!$J$2:$J$2097,Raw_Data!$B$2:$B$2097,$A2,Raw_Data!$O$2:$O$2097,E$1)</f>
        <v>-0.87728159969492403</v>
      </c>
      <c r="F2" s="19">
        <f>AVERAGEIFS(Raw_Data!$J$2:$J$2097,Raw_Data!$B$2:$B$2097,$A2,Raw_Data!$O$2:$O$2097,F$1)</f>
        <v>1.3849476637579168</v>
      </c>
      <c r="G2" s="19">
        <f>AVERAGEIFS(Raw_Data!$J$2:$J$2097,Raw_Data!$B$2:$B$2097,$A2,Raw_Data!$O$2:$O$2097,G$1)</f>
        <v>-0.26961090206146548</v>
      </c>
      <c r="H2" s="19">
        <f>AVERAGEIFS(Raw_Data!$J$2:$J$2097,Raw_Data!$B$2:$B$2097,$A2,Raw_Data!$O$2:$O$2097,H$1)</f>
        <v>-0.72813804962436124</v>
      </c>
      <c r="I2" s="19">
        <f>AVERAGEIFS(Raw_Data!$J$2:$J$2097,Raw_Data!$B$2:$B$2097,$A2,Raw_Data!$O$2:$O$2097,I$1)</f>
        <v>9.6208671263992962E-2</v>
      </c>
      <c r="J2" s="19">
        <f>AVERAGEIFS(Raw_Data!$J$2:$J$2097,Raw_Data!$B$2:$B$2097,$A2,Raw_Data!$O$2:$O$2097,J$1)</f>
        <v>-1.0752012066937608</v>
      </c>
      <c r="K2" s="19">
        <f>AVERAGEIFS(Raw_Data!$J$2:$J$2097,Raw_Data!$B$2:$B$2097,$A2,Raw_Data!$O$2:$O$2097,K$1)</f>
        <v>0.22905514959897277</v>
      </c>
      <c r="L2" s="19">
        <f>AVERAGEIFS(Raw_Data!$J$2:$J$2097,Raw_Data!$B$2:$B$2097,$A2,Raw_Data!$O$2:$O$2097,L$1)</f>
        <v>-0.23173085714167513</v>
      </c>
      <c r="M2" s="19">
        <f>AVERAGEIFS(Raw_Data!$J$2:$J$2097,Raw_Data!$B$2:$B$2097,$A2,Raw_Data!$O$2:$O$2097,M$1)</f>
        <v>0.18520334237520225</v>
      </c>
    </row>
    <row r="3" spans="1:13" x14ac:dyDescent="0.25">
      <c r="A3" s="9" t="s">
        <v>313</v>
      </c>
      <c r="B3" s="19">
        <f>AVERAGEIFS(Raw_Data!$J$2:$J$2097,Raw_Data!$B$2:$B$2097,$A3,Raw_Data!$O$2:$O$2097,B$1)</f>
        <v>-2.171641835950737E-2</v>
      </c>
      <c r="C3" s="19">
        <f>AVERAGEIFS(Raw_Data!$J$2:$J$2097,Raw_Data!$B$2:$B$2097,$A3,Raw_Data!$O$2:$O$2097,C$1)</f>
        <v>-0.50260401232135044</v>
      </c>
      <c r="D3" s="19">
        <f>AVERAGEIFS(Raw_Data!$J$2:$J$2097,Raw_Data!$B$2:$B$2097,$A3,Raw_Data!$O$2:$O$2097,D$1)</f>
        <v>-9.7169792868428667E-2</v>
      </c>
      <c r="E3" s="19">
        <f>AVERAGEIFS(Raw_Data!$J$2:$J$2097,Raw_Data!$B$2:$B$2097,$A3,Raw_Data!$O$2:$O$2097,E$1)</f>
        <v>0.32856942470901118</v>
      </c>
      <c r="F3" s="19">
        <f>AVERAGEIFS(Raw_Data!$J$2:$J$2097,Raw_Data!$B$2:$B$2097,$A3,Raw_Data!$O$2:$O$2097,F$1)</f>
        <v>0.10239274165289461</v>
      </c>
      <c r="G3" s="19">
        <f>AVERAGEIFS(Raw_Data!$J$2:$J$2097,Raw_Data!$B$2:$B$2097,$A3,Raw_Data!$O$2:$O$2097,G$1)</f>
        <v>3.7311271608327909E-2</v>
      </c>
      <c r="H3" s="19">
        <f>AVERAGEIFS(Raw_Data!$J$2:$J$2097,Raw_Data!$B$2:$B$2097,$A3,Raw_Data!$O$2:$O$2097,H$1)</f>
        <v>0.10020623590869858</v>
      </c>
      <c r="I3" s="19">
        <f>AVERAGEIFS(Raw_Data!$J$2:$J$2097,Raw_Data!$B$2:$B$2097,$A3,Raw_Data!$O$2:$O$2097,I$1)</f>
        <v>-0.3001300694063786</v>
      </c>
      <c r="J3" s="19">
        <f>AVERAGEIFS(Raw_Data!$J$2:$J$2097,Raw_Data!$B$2:$B$2097,$A3,Raw_Data!$O$2:$O$2097,J$1)</f>
        <v>-5.3016240271380403E-2</v>
      </c>
      <c r="K3" s="19">
        <f>AVERAGEIFS(Raw_Data!$J$2:$J$2097,Raw_Data!$B$2:$B$2097,$A3,Raw_Data!$O$2:$O$2097,K$1)</f>
        <v>-6.154706506019661E-2</v>
      </c>
      <c r="L3" s="19">
        <f>AVERAGEIFS(Raw_Data!$J$2:$J$2097,Raw_Data!$B$2:$B$2097,$A3,Raw_Data!$O$2:$O$2097,L$1)</f>
        <v>-0.11520710498317864</v>
      </c>
      <c r="M3" s="19">
        <f>AVERAGEIFS(Raw_Data!$J$2:$J$2097,Raw_Data!$B$2:$B$2097,$A3,Raw_Data!$O$2:$O$2097,M$1)</f>
        <v>-6.8961025629455438E-3</v>
      </c>
    </row>
    <row r="4" spans="1:13" x14ac:dyDescent="0.25">
      <c r="A4" s="9" t="s">
        <v>319</v>
      </c>
      <c r="B4" s="19">
        <f>AVERAGEIFS(Raw_Data!$J$2:$J$2097,Raw_Data!$B$2:$B$2097,$A4,Raw_Data!$O$2:$O$2097,B$1)</f>
        <v>0.54330574958499311</v>
      </c>
      <c r="C4" s="19">
        <f>AVERAGEIFS(Raw_Data!$J$2:$J$2097,Raw_Data!$B$2:$B$2097,$A4,Raw_Data!$O$2:$O$2097,C$1)</f>
        <v>-0.14518650180912088</v>
      </c>
      <c r="D4" s="19">
        <f>AVERAGEIFS(Raw_Data!$J$2:$J$2097,Raw_Data!$B$2:$B$2097,$A4,Raw_Data!$O$2:$O$2097,D$1)</f>
        <v>-0.22815727803258387</v>
      </c>
      <c r="E4" s="19">
        <f>AVERAGEIFS(Raw_Data!$J$2:$J$2097,Raw_Data!$B$2:$B$2097,$A4,Raw_Data!$O$2:$O$2097,E$1)</f>
        <v>0.21933770318171744</v>
      </c>
      <c r="F4" s="19">
        <f>AVERAGEIFS(Raw_Data!$J$2:$J$2097,Raw_Data!$B$2:$B$2097,$A4,Raw_Data!$O$2:$O$2097,F$1)</f>
        <v>0.68397531160087044</v>
      </c>
      <c r="G4" s="19">
        <f>AVERAGEIFS(Raw_Data!$J$2:$J$2097,Raw_Data!$B$2:$B$2097,$A4,Raw_Data!$O$2:$O$2097,G$1)</f>
        <v>-0.44733155481082088</v>
      </c>
      <c r="H4" s="19">
        <f>AVERAGEIFS(Raw_Data!$J$2:$J$2097,Raw_Data!$B$2:$B$2097,$A4,Raw_Data!$O$2:$O$2097,H$1)</f>
        <v>0.47894707971287998</v>
      </c>
      <c r="I4" s="19">
        <f>AVERAGEIFS(Raw_Data!$J$2:$J$2097,Raw_Data!$B$2:$B$2097,$A4,Raw_Data!$O$2:$O$2097,I$1)</f>
        <v>-0.10079525766146918</v>
      </c>
      <c r="J4" s="19">
        <f>AVERAGEIFS(Raw_Data!$J$2:$J$2097,Raw_Data!$B$2:$B$2097,$A4,Raw_Data!$O$2:$O$2097,J$1)</f>
        <v>-3.6717360015317967E-2</v>
      </c>
      <c r="K4" s="19">
        <f>AVERAGEIFS(Raw_Data!$J$2:$J$2097,Raw_Data!$B$2:$B$2097,$A4,Raw_Data!$O$2:$O$2097,K$1)</f>
        <v>-0.51596977192287496</v>
      </c>
      <c r="L4" s="19">
        <f>AVERAGEIFS(Raw_Data!$J$2:$J$2097,Raw_Data!$B$2:$B$2097,$A4,Raw_Data!$O$2:$O$2097,L$1)</f>
        <v>-0.18330122079403438</v>
      </c>
      <c r="M4" s="19">
        <f>AVERAGEIFS(Raw_Data!$J$2:$J$2097,Raw_Data!$B$2:$B$2097,$A4,Raw_Data!$O$2:$O$2097,M$1)</f>
        <v>-0.24395980661742467</v>
      </c>
    </row>
    <row r="5" spans="1:13" x14ac:dyDescent="0.25">
      <c r="A5" s="9" t="s">
        <v>311</v>
      </c>
      <c r="B5" s="19">
        <f>AVERAGEIFS(Raw_Data!$J$2:$J$2097,Raw_Data!$B$2:$B$2097,$A5,Raw_Data!$O$2:$O$2097,B$1)</f>
        <v>0.38133276600400307</v>
      </c>
      <c r="C5" s="19">
        <f>AVERAGEIFS(Raw_Data!$J$2:$J$2097,Raw_Data!$B$2:$B$2097,$A5,Raw_Data!$O$2:$O$2097,C$1)</f>
        <v>-0.39325912734468449</v>
      </c>
      <c r="D5" s="19">
        <f>AVERAGEIFS(Raw_Data!$J$2:$J$2097,Raw_Data!$B$2:$B$2097,$A5,Raw_Data!$O$2:$O$2097,D$1)</f>
        <v>2.6166451774665145E-2</v>
      </c>
      <c r="E5" s="19">
        <f>AVERAGEIFS(Raw_Data!$J$2:$J$2097,Raw_Data!$B$2:$B$2097,$A5,Raw_Data!$O$2:$O$2097,E$1)</f>
        <v>0.31309519994154128</v>
      </c>
      <c r="F5" s="19">
        <f>AVERAGEIFS(Raw_Data!$J$2:$J$2097,Raw_Data!$B$2:$B$2097,$A5,Raw_Data!$O$2:$O$2097,F$1)</f>
        <v>0.18620258326142339</v>
      </c>
      <c r="G5" s="19">
        <f>AVERAGEIFS(Raw_Data!$J$2:$J$2097,Raw_Data!$B$2:$B$2097,$A5,Raw_Data!$O$2:$O$2097,G$1)</f>
        <v>-0.56076609391852705</v>
      </c>
      <c r="H5" s="19">
        <f>AVERAGEIFS(Raw_Data!$J$2:$J$2097,Raw_Data!$B$2:$B$2097,$A5,Raw_Data!$O$2:$O$2097,H$1)</f>
        <v>-0.17003830776631199</v>
      </c>
      <c r="I5" s="19">
        <f>AVERAGEIFS(Raw_Data!$J$2:$J$2097,Raw_Data!$B$2:$B$2097,$A5,Raw_Data!$O$2:$O$2097,I$1)</f>
        <v>-0.1918857220465833</v>
      </c>
      <c r="J5" s="19">
        <f>AVERAGEIFS(Raw_Data!$J$2:$J$2097,Raw_Data!$B$2:$B$2097,$A5,Raw_Data!$O$2:$O$2097,J$1)</f>
        <v>0.40621348520852762</v>
      </c>
      <c r="K5" s="19">
        <f>AVERAGEIFS(Raw_Data!$J$2:$J$2097,Raw_Data!$B$2:$B$2097,$A5,Raw_Data!$O$2:$O$2097,K$1)</f>
        <v>0.73806433225024881</v>
      </c>
      <c r="L5" s="19">
        <f>AVERAGEIFS(Raw_Data!$J$2:$J$2097,Raw_Data!$B$2:$B$2097,$A5,Raw_Data!$O$2:$O$2097,L$1)</f>
        <v>-6.5470005182214644E-2</v>
      </c>
      <c r="M5" s="19">
        <f>AVERAGEIFS(Raw_Data!$J$2:$J$2097,Raw_Data!$B$2:$B$2097,$A5,Raw_Data!$O$2:$O$2097,M$1)</f>
        <v>3.7125135869280054E-2</v>
      </c>
    </row>
    <row r="6" spans="1:13" x14ac:dyDescent="0.25">
      <c r="A6" s="9" t="s">
        <v>309</v>
      </c>
      <c r="B6" s="19">
        <f>AVERAGEIFS(Raw_Data!$J$2:$J$2097,Raw_Data!$B$2:$B$2097,$A6,Raw_Data!$O$2:$O$2097,B$1)</f>
        <v>-0.12903517383815688</v>
      </c>
      <c r="C6" s="19">
        <f>AVERAGEIFS(Raw_Data!$J$2:$J$2097,Raw_Data!$B$2:$B$2097,$A6,Raw_Data!$O$2:$O$2097,C$1)</f>
        <v>-0.20533447587416781</v>
      </c>
      <c r="D6" s="19">
        <f>AVERAGEIFS(Raw_Data!$J$2:$J$2097,Raw_Data!$B$2:$B$2097,$A6,Raw_Data!$O$2:$O$2097,D$1)</f>
        <v>-0.63374664189272267</v>
      </c>
      <c r="E6" s="19">
        <f>AVERAGEIFS(Raw_Data!$J$2:$J$2097,Raw_Data!$B$2:$B$2097,$A6,Raw_Data!$O$2:$O$2097,E$1)</f>
        <v>-7.655812952725982E-3</v>
      </c>
      <c r="F6" s="19">
        <f>AVERAGEIFS(Raw_Data!$J$2:$J$2097,Raw_Data!$B$2:$B$2097,$A6,Raw_Data!$O$2:$O$2097,F$1)</f>
        <v>-0.40101633171153556</v>
      </c>
      <c r="G6" s="19">
        <f>AVERAGEIFS(Raw_Data!$J$2:$J$2097,Raw_Data!$B$2:$B$2097,$A6,Raw_Data!$O$2:$O$2097,G$1)</f>
        <v>-0.1944189991110796</v>
      </c>
      <c r="H6" s="19">
        <f>AVERAGEIFS(Raw_Data!$J$2:$J$2097,Raw_Data!$B$2:$B$2097,$A6,Raw_Data!$O$2:$O$2097,H$1)</f>
        <v>-0.31093689817642056</v>
      </c>
      <c r="I6" s="19">
        <f>AVERAGEIFS(Raw_Data!$J$2:$J$2097,Raw_Data!$B$2:$B$2097,$A6,Raw_Data!$O$2:$O$2097,I$1)</f>
        <v>0.23298880310924305</v>
      </c>
      <c r="J6" s="19">
        <f>AVERAGEIFS(Raw_Data!$J$2:$J$2097,Raw_Data!$B$2:$B$2097,$A6,Raw_Data!$O$2:$O$2097,J$1)</f>
        <v>0.15724017127155665</v>
      </c>
      <c r="K6" s="19">
        <f>AVERAGEIFS(Raw_Data!$J$2:$J$2097,Raw_Data!$B$2:$B$2097,$A6,Raw_Data!$O$2:$O$2097,K$1)</f>
        <v>-3.0453132377888506E-2</v>
      </c>
      <c r="L6" s="19">
        <f>AVERAGEIFS(Raw_Data!$J$2:$J$2097,Raw_Data!$B$2:$B$2097,$A6,Raw_Data!$O$2:$O$2097,L$1)</f>
        <v>-2.2892706956230452E-3</v>
      </c>
      <c r="M6" s="19">
        <f>AVERAGEIFS(Raw_Data!$J$2:$J$2097,Raw_Data!$B$2:$B$2097,$A6,Raw_Data!$O$2:$O$2097,M$1)</f>
        <v>2.9854572001555713E-2</v>
      </c>
    </row>
    <row r="7" spans="1:13" x14ac:dyDescent="0.25">
      <c r="A7" s="9" t="s">
        <v>45</v>
      </c>
      <c r="B7" s="19">
        <f>AVERAGEIFS(Raw_Data!$J$2:$J$2097,Raw_Data!$B$2:$B$2097,$A7,Raw_Data!$O$2:$O$2097,B$1)</f>
        <v>-8.916221355551894E-2</v>
      </c>
      <c r="C7" s="19">
        <f>AVERAGEIFS(Raw_Data!$J$2:$J$2097,Raw_Data!$B$2:$B$2097,$A7,Raw_Data!$O$2:$O$2097,C$1)</f>
        <v>7.1690652984303049E-2</v>
      </c>
      <c r="D7" s="19">
        <f>AVERAGEIFS(Raw_Data!$J$2:$J$2097,Raw_Data!$B$2:$B$2097,$A7,Raw_Data!$O$2:$O$2097,D$1)</f>
        <v>0.19555516226145483</v>
      </c>
      <c r="E7" s="19">
        <f>AVERAGEIFS(Raw_Data!$J$2:$J$2097,Raw_Data!$B$2:$B$2097,$A7,Raw_Data!$O$2:$O$2097,E$1)</f>
        <v>-7.9010090190672812E-3</v>
      </c>
      <c r="F7" s="19">
        <f>AVERAGEIFS(Raw_Data!$J$2:$J$2097,Raw_Data!$B$2:$B$2097,$A7,Raw_Data!$O$2:$O$2097,F$1)</f>
        <v>0.23769288429146368</v>
      </c>
      <c r="G7" s="19">
        <f>AVERAGEIFS(Raw_Data!$J$2:$J$2097,Raw_Data!$B$2:$B$2097,$A7,Raw_Data!$O$2:$O$2097,G$1)</f>
        <v>0.63505612339078943</v>
      </c>
      <c r="H7" s="19">
        <f>AVERAGEIFS(Raw_Data!$J$2:$J$2097,Raw_Data!$B$2:$B$2097,$A7,Raw_Data!$O$2:$O$2097,H$1)</f>
        <v>0.34521305373157773</v>
      </c>
      <c r="I7" s="19">
        <f>AVERAGEIFS(Raw_Data!$J$2:$J$2097,Raw_Data!$B$2:$B$2097,$A7,Raw_Data!$O$2:$O$2097,I$1)</f>
        <v>-0.35036439821137666</v>
      </c>
      <c r="J7" s="19">
        <f>AVERAGEIFS(Raw_Data!$J$2:$J$2097,Raw_Data!$B$2:$B$2097,$A7,Raw_Data!$O$2:$O$2097,J$1)</f>
        <v>0.10855375563288161</v>
      </c>
      <c r="K7" s="19">
        <f>AVERAGEIFS(Raw_Data!$J$2:$J$2097,Raw_Data!$B$2:$B$2097,$A7,Raw_Data!$O$2:$O$2097,K$1)</f>
        <v>0.21181548076011378</v>
      </c>
      <c r="L7" s="19">
        <f>AVERAGEIFS(Raw_Data!$J$2:$J$2097,Raw_Data!$B$2:$B$2097,$A7,Raw_Data!$O$2:$O$2097,L$1)</f>
        <v>0.60028807338491474</v>
      </c>
      <c r="M7" s="19">
        <f>AVERAGEIFS(Raw_Data!$J$2:$J$2097,Raw_Data!$B$2:$B$2097,$A7,Raw_Data!$O$2:$O$2097,M$1)</f>
        <v>0.49351779389144901</v>
      </c>
    </row>
    <row r="9" spans="1:13" x14ac:dyDescent="0.25">
      <c r="A9" s="4"/>
    </row>
  </sheetData>
  <conditionalFormatting sqref="B2:M7">
    <cfRule type="colorScale" priority="2">
      <colorScale>
        <cfvo type="min"/>
        <cfvo type="num" val="0"/>
        <cfvo type="max"/>
        <color rgb="FFF8696B"/>
        <color rgb="FFFFFFFF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3"/>
  <sheetViews>
    <sheetView zoomScaleNormal="100" workbookViewId="0">
      <selection activeCell="E2" sqref="E2"/>
    </sheetView>
  </sheetViews>
  <sheetFormatPr defaultColWidth="8.7109375" defaultRowHeight="15" x14ac:dyDescent="0.25"/>
  <cols>
    <col min="1" max="1" width="6.5703125" bestFit="1" customWidth="1"/>
    <col min="2" max="2" width="10.42578125" bestFit="1" customWidth="1"/>
    <col min="3" max="3" width="10.140625" bestFit="1" customWidth="1"/>
    <col min="4" max="4" width="16.85546875" bestFit="1" customWidth="1"/>
    <col min="5" max="5" width="15.140625" bestFit="1" customWidth="1"/>
  </cols>
  <sheetData>
    <row r="1" spans="1:5" x14ac:dyDescent="0.25">
      <c r="A1" s="17" t="s">
        <v>29</v>
      </c>
      <c r="B1" s="18" t="s">
        <v>31</v>
      </c>
      <c r="C1" s="18" t="s">
        <v>37</v>
      </c>
      <c r="D1" s="18" t="s">
        <v>348</v>
      </c>
      <c r="E1" s="17" t="s">
        <v>349</v>
      </c>
    </row>
    <row r="2" spans="1:5" x14ac:dyDescent="0.25">
      <c r="A2" s="9" t="s">
        <v>315</v>
      </c>
      <c r="B2" s="9" t="s">
        <v>272</v>
      </c>
      <c r="C2" s="15">
        <v>41304838</v>
      </c>
      <c r="D2" s="15">
        <v>7733846</v>
      </c>
      <c r="E2" s="16">
        <v>5.34</v>
      </c>
    </row>
    <row r="3" spans="1:5" x14ac:dyDescent="0.25">
      <c r="A3" s="9" t="s">
        <v>308</v>
      </c>
      <c r="B3" s="9" t="s">
        <v>148</v>
      </c>
      <c r="C3" s="15">
        <v>21169490</v>
      </c>
      <c r="D3" s="15">
        <v>4164438</v>
      </c>
      <c r="E3" s="16">
        <v>5.08</v>
      </c>
    </row>
    <row r="4" spans="1:5" x14ac:dyDescent="0.25">
      <c r="A4" s="9" t="s">
        <v>308</v>
      </c>
      <c r="B4" s="9" t="s">
        <v>98</v>
      </c>
      <c r="C4" s="15">
        <v>20955666</v>
      </c>
      <c r="D4" s="15">
        <v>4201782</v>
      </c>
      <c r="E4" s="16">
        <v>4.99</v>
      </c>
    </row>
    <row r="5" spans="1:5" x14ac:dyDescent="0.25">
      <c r="A5" s="9" t="s">
        <v>314</v>
      </c>
      <c r="B5" s="9" t="s">
        <v>194</v>
      </c>
      <c r="C5" s="15">
        <v>35810613</v>
      </c>
      <c r="D5" s="15">
        <v>8123003</v>
      </c>
      <c r="E5" s="16">
        <v>4.41</v>
      </c>
    </row>
    <row r="6" spans="1:5" x14ac:dyDescent="0.25">
      <c r="A6" s="9" t="s">
        <v>44</v>
      </c>
      <c r="B6" s="9" t="s">
        <v>89</v>
      </c>
      <c r="C6" s="15">
        <v>37250795</v>
      </c>
      <c r="D6" s="15">
        <v>8708258</v>
      </c>
      <c r="E6" s="16">
        <v>4.28</v>
      </c>
    </row>
    <row r="7" spans="1:5" x14ac:dyDescent="0.25">
      <c r="A7" s="9" t="s">
        <v>315</v>
      </c>
      <c r="B7" s="9" t="s">
        <v>109</v>
      </c>
      <c r="C7" s="15">
        <v>32701697</v>
      </c>
      <c r="D7" s="15">
        <v>7751418</v>
      </c>
      <c r="E7" s="16">
        <v>4.22</v>
      </c>
    </row>
    <row r="8" spans="1:5" x14ac:dyDescent="0.25">
      <c r="A8" s="9" t="s">
        <v>315</v>
      </c>
      <c r="B8" s="9" t="s">
        <v>115</v>
      </c>
      <c r="C8" s="15">
        <v>35073548</v>
      </c>
      <c r="D8" s="15">
        <v>8706319</v>
      </c>
      <c r="E8" s="16">
        <v>4.03</v>
      </c>
    </row>
    <row r="9" spans="1:5" x14ac:dyDescent="0.25">
      <c r="A9" s="9" t="s">
        <v>316</v>
      </c>
      <c r="B9" s="9" t="s">
        <v>289</v>
      </c>
      <c r="C9" s="15">
        <v>19064715</v>
      </c>
      <c r="D9" s="15">
        <v>4779121</v>
      </c>
      <c r="E9" s="16">
        <v>3.99</v>
      </c>
    </row>
    <row r="10" spans="1:5" x14ac:dyDescent="0.25">
      <c r="A10" s="9" t="s">
        <v>315</v>
      </c>
      <c r="B10" s="9" t="s">
        <v>204</v>
      </c>
      <c r="C10" s="15">
        <v>33996713</v>
      </c>
      <c r="D10" s="15">
        <v>8731405</v>
      </c>
      <c r="E10" s="16">
        <v>3.89</v>
      </c>
    </row>
    <row r="11" spans="1:5" x14ac:dyDescent="0.25">
      <c r="A11" s="9" t="s">
        <v>316</v>
      </c>
      <c r="B11" s="9" t="s">
        <v>279</v>
      </c>
      <c r="C11" s="15">
        <v>15225167</v>
      </c>
      <c r="D11" s="15">
        <v>3947507</v>
      </c>
      <c r="E11" s="16">
        <v>3.86</v>
      </c>
    </row>
    <row r="12" spans="1:5" x14ac:dyDescent="0.25">
      <c r="A12" s="9" t="s">
        <v>312</v>
      </c>
      <c r="B12" s="9" t="s">
        <v>112</v>
      </c>
      <c r="C12" s="15">
        <v>15750519</v>
      </c>
      <c r="D12" s="15">
        <v>4205411</v>
      </c>
      <c r="E12" s="16">
        <v>3.75</v>
      </c>
    </row>
    <row r="13" spans="1:5" x14ac:dyDescent="0.25">
      <c r="A13" s="9" t="s">
        <v>316</v>
      </c>
      <c r="B13" s="9" t="s">
        <v>76</v>
      </c>
      <c r="C13" s="15">
        <v>19719175</v>
      </c>
      <c r="D13" s="15">
        <v>5270422</v>
      </c>
      <c r="E13" s="16">
        <v>3.74</v>
      </c>
    </row>
    <row r="14" spans="1:5" x14ac:dyDescent="0.25">
      <c r="A14" s="9" t="s">
        <v>318</v>
      </c>
      <c r="B14" s="9" t="s">
        <v>166</v>
      </c>
      <c r="C14" s="15">
        <v>15787503</v>
      </c>
      <c r="D14" s="15">
        <v>4220506</v>
      </c>
      <c r="E14" s="16">
        <v>3.74</v>
      </c>
    </row>
    <row r="15" spans="1:5" x14ac:dyDescent="0.25">
      <c r="A15" s="9" t="s">
        <v>316</v>
      </c>
      <c r="B15" s="9" t="s">
        <v>86</v>
      </c>
      <c r="C15" s="15">
        <v>17854929</v>
      </c>
      <c r="D15" s="15">
        <v>4828661</v>
      </c>
      <c r="E15" s="16">
        <v>3.7</v>
      </c>
    </row>
    <row r="16" spans="1:5" x14ac:dyDescent="0.25">
      <c r="A16" s="9" t="s">
        <v>316</v>
      </c>
      <c r="B16" s="9" t="s">
        <v>176</v>
      </c>
      <c r="C16" s="15">
        <v>18855008</v>
      </c>
      <c r="D16" s="15">
        <v>5092250</v>
      </c>
      <c r="E16" s="16">
        <v>3.7</v>
      </c>
    </row>
    <row r="17" spans="1:5" x14ac:dyDescent="0.25">
      <c r="A17" s="9" t="s">
        <v>315</v>
      </c>
      <c r="B17" s="9" t="s">
        <v>166</v>
      </c>
      <c r="C17" s="15">
        <v>34119550</v>
      </c>
      <c r="D17" s="15">
        <v>9388422</v>
      </c>
      <c r="E17" s="16">
        <v>3.63</v>
      </c>
    </row>
    <row r="18" spans="1:5" x14ac:dyDescent="0.25">
      <c r="A18" s="9" t="s">
        <v>314</v>
      </c>
      <c r="B18" s="9" t="s">
        <v>157</v>
      </c>
      <c r="C18" s="15">
        <v>28850568</v>
      </c>
      <c r="D18" s="15">
        <v>8076875</v>
      </c>
      <c r="E18" s="16">
        <v>3.57</v>
      </c>
    </row>
    <row r="19" spans="1:5" x14ac:dyDescent="0.25">
      <c r="A19" s="9" t="s">
        <v>316</v>
      </c>
      <c r="B19" s="9" t="s">
        <v>180</v>
      </c>
      <c r="C19" s="15">
        <v>17505748</v>
      </c>
      <c r="D19" s="15">
        <v>4955728</v>
      </c>
      <c r="E19" s="16">
        <v>3.53</v>
      </c>
    </row>
    <row r="20" spans="1:5" x14ac:dyDescent="0.25">
      <c r="A20" s="9" t="s">
        <v>318</v>
      </c>
      <c r="B20" s="9" t="s">
        <v>171</v>
      </c>
      <c r="C20" s="15">
        <v>15062270</v>
      </c>
      <c r="D20" s="15">
        <v>4583816</v>
      </c>
      <c r="E20" s="16">
        <v>3.29</v>
      </c>
    </row>
    <row r="21" spans="1:5" x14ac:dyDescent="0.25">
      <c r="A21" s="9" t="s">
        <v>308</v>
      </c>
      <c r="B21" s="9" t="s">
        <v>183</v>
      </c>
      <c r="C21" s="15">
        <v>13136427</v>
      </c>
      <c r="D21" s="15">
        <v>4079589</v>
      </c>
      <c r="E21" s="16">
        <v>3.22</v>
      </c>
    </row>
    <row r="23" spans="1:5" ht="32.85" customHeight="1" x14ac:dyDescent="0.25">
      <c r="A23" s="1"/>
      <c r="B23" s="1"/>
      <c r="C23" s="1"/>
      <c r="D23" s="1"/>
      <c r="E23" s="1"/>
    </row>
  </sheetData>
  <mergeCells count="1">
    <mergeCell ref="A23:E2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Dashboard</vt:lpstr>
      <vt:lpstr>Raw_Data</vt:lpstr>
      <vt:lpstr>Ticker_Summary</vt:lpstr>
      <vt:lpstr>Quarterly_Return</vt:lpstr>
      <vt:lpstr>Sector_Trend</vt:lpstr>
      <vt:lpstr>Volume_Spike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FAIZAL</cp:lastModifiedBy>
  <cp:revision>1</cp:revision>
  <dcterms:created xsi:type="dcterms:W3CDTF">2026-08-05T17:06:00Z</dcterms:created>
  <dcterms:modified xsi:type="dcterms:W3CDTF">2026-08-11T16:28:28Z</dcterms:modified>
  <dc:language>en-US</dc:language>
</cp:coreProperties>
</file>